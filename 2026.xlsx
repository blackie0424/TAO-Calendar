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蘭嶼潮汐與日曆 2026 與正本對照版" sheetId="1" r:id="rId5"/>
    <sheet state="visible" name="calendar" sheetId="2" r:id="rId6"/>
    <sheet state="visible" name="蘭嶼潮汐與日曆 2026" sheetId="3" r:id="rId7"/>
    <sheet state="visible" name="「蘭嶼潮汐與日曆 2026」的副本" sheetId="4" r:id="rId8"/>
    <sheet state="visible" name="月相變化" sheetId="5" r:id="rId9"/>
    <sheet state="visible" name="2026國定假日" sheetId="6" r:id="rId10"/>
    <sheet state="visible" name="「蘭嶼潮汐曆 2026」的副本" sheetId="7" r:id="rId11"/>
    <sheet state="visible" name="月相日曆" sheetId="8" r:id="rId12"/>
  </sheets>
  <definedNames/>
  <calcPr/>
</workbook>
</file>

<file path=xl/sharedStrings.xml><?xml version="1.0" encoding="utf-8"?>
<sst xmlns="http://schemas.openxmlformats.org/spreadsheetml/2006/main" count="22141" uniqueCount="933">
  <si>
    <t>傳統月份</t>
  </si>
  <si>
    <t>現代月份</t>
  </si>
  <si>
    <t>日期</t>
  </si>
  <si>
    <t>星期幾</t>
  </si>
  <si>
    <t>行事曆事件</t>
  </si>
  <si>
    <t>月相</t>
  </si>
  <si>
    <t>潮汐事件 1 狀態</t>
  </si>
  <si>
    <t>潮汐事件 1 時間</t>
  </si>
  <si>
    <t>潮汐事件 1 MSL 高度</t>
  </si>
  <si>
    <t>潮汐事件 2 狀態</t>
  </si>
  <si>
    <t>潮汐事件 2 時間</t>
  </si>
  <si>
    <t>潮汐事件 2 MSL 高度</t>
  </si>
  <si>
    <t>潮汐事件 3 狀態</t>
  </si>
  <si>
    <t>潮汐事件 3 時間</t>
  </si>
  <si>
    <t>潮汐事件 3 MSL 高度</t>
  </si>
  <si>
    <t>潮汐事件 4 狀態</t>
  </si>
  <si>
    <t>潮汐事件 4 時間</t>
  </si>
  <si>
    <t>潮汐事件 4 MSL 高度</t>
  </si>
  <si>
    <t>第一次潮差</t>
  </si>
  <si>
    <t>第二次潮差</t>
  </si>
  <si>
    <t>最大潮差</t>
  </si>
  <si>
    <t>潮水狀態</t>
  </si>
  <si>
    <t>大潮標準</t>
  </si>
  <si>
    <t>小潮標準</t>
  </si>
  <si>
    <t>Kaowan</t>
  </si>
  <si>
    <t>一</t>
  </si>
  <si>
    <t>四</t>
  </si>
  <si>
    <t>行事曆: 中華民國開國紀念日</t>
  </si>
  <si>
    <t>滿潮</t>
  </si>
  <si>
    <t>3cm</t>
  </si>
  <si>
    <t>乾潮</t>
  </si>
  <si>
    <t>-52cm</t>
  </si>
  <si>
    <t>54cm</t>
  </si>
  <si>
    <t>-105cm</t>
  </si>
  <si>
    <t>五</t>
  </si>
  <si>
    <t>🌕Tazanganay</t>
  </si>
  <si>
    <t>7cm</t>
  </si>
  <si>
    <t>-55cm</t>
  </si>
  <si>
    <t>65cm</t>
  </si>
  <si>
    <t>小潮</t>
  </si>
  <si>
    <t>2026 Kasyaman (Month 1)</t>
  </si>
  <si>
    <t>六</t>
  </si>
  <si>
    <t>行事曆: 例假日</t>
  </si>
  <si>
    <t>-114cm</t>
  </si>
  <si>
    <t>10cm</t>
  </si>
  <si>
    <t>-59cm</t>
  </si>
  <si>
    <t>72cm</t>
  </si>
  <si>
    <t>大潮</t>
  </si>
  <si>
    <t>Mon</t>
  </si>
  <si>
    <t>Tue</t>
  </si>
  <si>
    <t>Wed</t>
  </si>
  <si>
    <t>Thu</t>
  </si>
  <si>
    <t>Fri</t>
  </si>
  <si>
    <t>Sat</t>
  </si>
  <si>
    <t>Sun</t>
  </si>
  <si>
    <t>日</t>
  </si>
  <si>
    <t>-117cm</t>
  </si>
  <si>
    <t>13cm</t>
  </si>
  <si>
    <t>-63cm</t>
  </si>
  <si>
    <t>74cm</t>
  </si>
  <si>
    <t>-</t>
  </si>
  <si>
    <t>1
行事曆: 中華民國開國紀念日
大潮</t>
  </si>
  <si>
    <t>2
小潮</t>
  </si>
  <si>
    <t>3
行事曆: 例假日
🌕Tazanganay
大潮</t>
  </si>
  <si>
    <t>4
行事曆: 例假日
大潮</t>
  </si>
  <si>
    <t>15cm</t>
  </si>
  <si>
    <t>-65cm</t>
  </si>
  <si>
    <t>71cm</t>
  </si>
  <si>
    <t>5
大潮</t>
  </si>
  <si>
    <t>6
大潮</t>
  </si>
  <si>
    <t>7
中潮</t>
  </si>
  <si>
    <t>8
中潮</t>
  </si>
  <si>
    <t>9
小潮</t>
  </si>
  <si>
    <t>10
行事曆: 例假日
🌗matazing
小潮</t>
  </si>
  <si>
    <t>11
行事曆: 例假日
小潮</t>
  </si>
  <si>
    <t>二</t>
  </si>
  <si>
    <t>-107cm</t>
  </si>
  <si>
    <t>16cm</t>
  </si>
  <si>
    <t>62cm</t>
  </si>
  <si>
    <t>12
小潮</t>
  </si>
  <si>
    <t>13
小潮</t>
  </si>
  <si>
    <t>14
中潮</t>
  </si>
  <si>
    <t>15
中潮</t>
  </si>
  <si>
    <t>16
大潮</t>
  </si>
  <si>
    <t>17
行事曆: 例假日
小潮</t>
  </si>
  <si>
    <t>18
行事曆: 例假日
中潮</t>
  </si>
  <si>
    <t>三</t>
  </si>
  <si>
    <t>-97cm</t>
  </si>
  <si>
    <t>-62cm</t>
  </si>
  <si>
    <t>49cm</t>
  </si>
  <si>
    <t>中潮</t>
  </si>
  <si>
    <t>19
🌑kabohen
中潮</t>
  </si>
  <si>
    <t>20
大潮</t>
  </si>
  <si>
    <t>21
大潮</t>
  </si>
  <si>
    <t>22
大潮</t>
  </si>
  <si>
    <t>23
中潮</t>
  </si>
  <si>
    <t>24
行事曆: 例假日
中潮</t>
  </si>
  <si>
    <t>25
行事曆: 例假日
中潮</t>
  </si>
  <si>
    <t>-84cm</t>
  </si>
  <si>
    <t>-58cm</t>
  </si>
  <si>
    <t>33cm</t>
  </si>
  <si>
    <t>26
🌓matazing
小潮</t>
  </si>
  <si>
    <t>27
小潮</t>
  </si>
  <si>
    <t>28
中潮</t>
  </si>
  <si>
    <t>29
中潮</t>
  </si>
  <si>
    <t>30
大潮</t>
  </si>
  <si>
    <t>31
行事曆: 例假日
小潮</t>
  </si>
  <si>
    <t>🌗matazing</t>
  </si>
  <si>
    <t>-72cm</t>
  </si>
  <si>
    <t>17cm</t>
  </si>
  <si>
    <t>-61cm</t>
  </si>
  <si>
    <t>14cm</t>
  </si>
  <si>
    <t>-47cm</t>
  </si>
  <si>
    <t>2cm</t>
  </si>
  <si>
    <t>-51cm</t>
  </si>
  <si>
    <t>-45cm</t>
  </si>
  <si>
    <t>-11cm</t>
  </si>
  <si>
    <t>-44cm</t>
  </si>
  <si>
    <t>-49cm</t>
  </si>
  <si>
    <t>-16cm</t>
  </si>
  <si>
    <t>-39cm</t>
  </si>
  <si>
    <t>-14cm</t>
  </si>
  <si>
    <t>-37cm</t>
  </si>
  <si>
    <t>23cm</t>
  </si>
  <si>
    <t>-69cm</t>
  </si>
  <si>
    <t>2026 Kapooan (Month 2)</t>
  </si>
  <si>
    <t>-8cm</t>
  </si>
  <si>
    <t>-40cm</t>
  </si>
  <si>
    <t>31cm</t>
  </si>
  <si>
    <t>-78cm</t>
  </si>
  <si>
    <t>-2cm</t>
  </si>
  <si>
    <t>40cm</t>
  </si>
  <si>
    <t>-86cm</t>
  </si>
  <si>
    <t>1
行事曆: 例假日
大潮</t>
  </si>
  <si>
    <t>-50cm</t>
  </si>
  <si>
    <t>48cm</t>
  </si>
  <si>
    <t>2
🌕Tazanganay
大潮</t>
  </si>
  <si>
    <t>3
大潮</t>
  </si>
  <si>
    <t>4
大潮</t>
  </si>
  <si>
    <t>5
中潮</t>
  </si>
  <si>
    <t>6
中潮</t>
  </si>
  <si>
    <t>7
行事曆: 例假日
中潮</t>
  </si>
  <si>
    <t>8
行事曆: 例假日
小潮</t>
  </si>
  <si>
    <t>🌑kabohen</t>
  </si>
  <si>
    <t>-92cm</t>
  </si>
  <si>
    <t>8cm</t>
  </si>
  <si>
    <t>-56cm</t>
  </si>
  <si>
    <t>55cm</t>
  </si>
  <si>
    <t>9
🌗matazing
小潮</t>
  </si>
  <si>
    <t>10
小潮</t>
  </si>
  <si>
    <t>11
小潮</t>
  </si>
  <si>
    <t>13
中潮</t>
  </si>
  <si>
    <t>14
行事曆: 例假日
中潮</t>
  </si>
  <si>
    <t>15
行事曆: 小年夜
小潮</t>
  </si>
  <si>
    <t>Kasyaman</t>
  </si>
  <si>
    <t>一</t>
  </si>
  <si>
    <t>-96cm</t>
  </si>
  <si>
    <t>12cm</t>
  </si>
  <si>
    <t>61cm</t>
  </si>
  <si>
    <t>16
行事曆: 農曆除夕
中潮</t>
  </si>
  <si>
    <t>17
行事曆: 春節
🌑kabohen
大潮</t>
  </si>
  <si>
    <t>18
行事曆: 春節
大潮</t>
  </si>
  <si>
    <t>19
行事曆: 春節
大潮</t>
  </si>
  <si>
    <t>20
行事曆: 補假
大潮</t>
  </si>
  <si>
    <t>21
行事曆: 例假日
大潮</t>
  </si>
  <si>
    <t>22
行事曆: 例假日
中潮</t>
  </si>
  <si>
    <t>-98cm</t>
  </si>
  <si>
    <t>63cm</t>
  </si>
  <si>
    <t>24
🌓matazing
小潮</t>
  </si>
  <si>
    <t>25
小潮</t>
  </si>
  <si>
    <t>26
中潮</t>
  </si>
  <si>
    <t>27
行事曆: 補假
中潮</t>
  </si>
  <si>
    <t>28
行事曆: 和平紀念日
大潮</t>
  </si>
  <si>
    <t>21cm</t>
  </si>
  <si>
    <t>-68cm</t>
  </si>
  <si>
    <t>-94cm</t>
  </si>
  <si>
    <t>24cm</t>
  </si>
  <si>
    <t>-89cm</t>
  </si>
  <si>
    <t>26cm</t>
  </si>
  <si>
    <t>45cm</t>
  </si>
  <si>
    <t>-81cm</t>
  </si>
  <si>
    <t>28cm</t>
  </si>
  <si>
    <t>-66cm</t>
  </si>
  <si>
    <t>32cm</t>
  </si>
  <si>
    <t>🌓matazing</t>
  </si>
  <si>
    <t>-71cm</t>
  </si>
  <si>
    <t>-60cm</t>
  </si>
  <si>
    <t>0cm</t>
  </si>
  <si>
    <t>2026 Peykaokaod (Month 3)</t>
  </si>
  <si>
    <t>27cm</t>
  </si>
  <si>
    <t>30cm</t>
  </si>
  <si>
    <t>-36cm</t>
  </si>
  <si>
    <t>39cm</t>
  </si>
  <si>
    <t>3
🌕Tazanganay
大潮</t>
  </si>
  <si>
    <t>8
行事曆: 例假日
中潮</t>
  </si>
  <si>
    <t>52cm</t>
  </si>
  <si>
    <t>9
中潮</t>
  </si>
  <si>
    <t>11
🌗matazing
小潮</t>
  </si>
  <si>
    <t>14
行事曆: 例假日
小潮</t>
  </si>
  <si>
    <t>15
行事曆: 例假日
中潮</t>
  </si>
  <si>
    <t>-48cm</t>
  </si>
  <si>
    <t>17
大潮</t>
  </si>
  <si>
    <t>18
中潮</t>
  </si>
  <si>
    <t>19
🌑kabohen
大潮</t>
  </si>
  <si>
    <t>22
行事曆: 例假日
大潮</t>
  </si>
  <si>
    <t>73cm</t>
  </si>
  <si>
    <t>23
大潮</t>
  </si>
  <si>
    <t>24
中潮</t>
  </si>
  <si>
    <t>27
中潮</t>
  </si>
  <si>
    <t>28
行事曆: 例假日
中潮</t>
  </si>
  <si>
    <t>29
行事曆: 例假日
中潮</t>
  </si>
  <si>
    <t>76cm</t>
  </si>
  <si>
    <t>31
大潮</t>
  </si>
  <si>
    <t>-104cm</t>
  </si>
  <si>
    <t>29cm</t>
  </si>
  <si>
    <t>-73cm</t>
  </si>
  <si>
    <t>64cm</t>
  </si>
  <si>
    <t>-88cm</t>
  </si>
  <si>
    <t>34cm</t>
  </si>
  <si>
    <t>-77cm</t>
  </si>
  <si>
    <t>37cm</t>
  </si>
  <si>
    <t>2026 Papatow (Month 4)</t>
  </si>
  <si>
    <t>6cm</t>
  </si>
  <si>
    <t>-46cm</t>
  </si>
  <si>
    <t>-43cm</t>
  </si>
  <si>
    <t>-9cm</t>
  </si>
  <si>
    <t>1
中潮</t>
  </si>
  <si>
    <t>3
行事曆: 補假
大潮</t>
  </si>
  <si>
    <t>4
行事曆: 兒童節
中潮</t>
  </si>
  <si>
    <t>5
行事曆: 清明節
中潮</t>
  </si>
  <si>
    <t>19cm</t>
  </si>
  <si>
    <t>6
行事曆: 補假
中潮</t>
  </si>
  <si>
    <t>8
小潮</t>
  </si>
  <si>
    <t>10
🌗matazing
小潮</t>
  </si>
  <si>
    <t>12
行事曆: 例假日
小潮</t>
  </si>
  <si>
    <t>-18cm</t>
  </si>
  <si>
    <t>-27cm</t>
  </si>
  <si>
    <t>15
大潮</t>
  </si>
  <si>
    <t>17
🌑kabohen
大潮</t>
  </si>
  <si>
    <t>18
行事曆: 例假日
大潮</t>
  </si>
  <si>
    <t>19
行事曆: 例假日
大潮</t>
  </si>
  <si>
    <t>-23cm</t>
  </si>
  <si>
    <t>22
中潮</t>
  </si>
  <si>
    <t>23
小潮</t>
  </si>
  <si>
    <t>24
🌓matazing
中潮</t>
  </si>
  <si>
    <t>25
行事曆: 例假日
小潮</t>
  </si>
  <si>
    <t>26
行事曆: 例假日
中潮</t>
  </si>
  <si>
    <t>-5cm</t>
  </si>
  <si>
    <t>-26cm</t>
  </si>
  <si>
    <t>4cm</t>
  </si>
  <si>
    <t>-33cm</t>
  </si>
  <si>
    <t>42cm</t>
  </si>
  <si>
    <t>-75cm</t>
  </si>
  <si>
    <t>行事曆: 小年夜</t>
  </si>
  <si>
    <t>行事曆: 農曆除夕</t>
  </si>
  <si>
    <t>-82cm</t>
  </si>
  <si>
    <t>22cm</t>
  </si>
  <si>
    <t>-53cm</t>
  </si>
  <si>
    <t>Kapooan</t>
  </si>
  <si>
    <t>行事曆: 春節</t>
  </si>
  <si>
    <t>-87cm</t>
  </si>
  <si>
    <t>-90cm</t>
  </si>
  <si>
    <t>38cm</t>
  </si>
  <si>
    <t>2026 Peypilapila (Month 5)</t>
  </si>
  <si>
    <t>行事曆: 補假</t>
  </si>
  <si>
    <t>50cm</t>
  </si>
  <si>
    <t>-80cm</t>
  </si>
  <si>
    <t>53cm</t>
  </si>
  <si>
    <t>1
行事曆: 勞動節
大潮</t>
  </si>
  <si>
    <t>2
行事曆: 例假日
🌕Tazanganay
中潮</t>
  </si>
  <si>
    <t>3
行事曆: 例假日
中潮</t>
  </si>
  <si>
    <t>4
中潮</t>
  </si>
  <si>
    <t>7
小潮</t>
  </si>
  <si>
    <t>9
行事曆: 例假日
小潮</t>
  </si>
  <si>
    <t>-67cm</t>
  </si>
  <si>
    <t>16
行事曆: 例假日
大潮</t>
  </si>
  <si>
    <t>17
行事曆: 例假日
🌑kabohen
大潮</t>
  </si>
  <si>
    <t>-57cm</t>
  </si>
  <si>
    <t>-4cm</t>
  </si>
  <si>
    <t>18
大潮</t>
  </si>
  <si>
    <t>19
大潮</t>
  </si>
  <si>
    <t>20
中潮</t>
  </si>
  <si>
    <t>21
中潮</t>
  </si>
  <si>
    <t>22
小潮</t>
  </si>
  <si>
    <t>23
行事曆: 例假日
🌓matazing
小潮</t>
  </si>
  <si>
    <t>24
行事曆: 例假日
小潮</t>
  </si>
  <si>
    <t>-35cm</t>
  </si>
  <si>
    <t>26
小潮</t>
  </si>
  <si>
    <t>30
行事曆: 例假日
大潮</t>
  </si>
  <si>
    <t>31
行事曆: 例假日
🌕Tazanganay
大潮</t>
  </si>
  <si>
    <t>-13cm</t>
  </si>
  <si>
    <t>-22cm</t>
  </si>
  <si>
    <t>41cm</t>
  </si>
  <si>
    <t>-74cm</t>
  </si>
  <si>
    <t>行事曆: 和平紀念日</t>
  </si>
  <si>
    <t>-32cm</t>
  </si>
  <si>
    <t>20cm</t>
  </si>
  <si>
    <t>67cm</t>
  </si>
  <si>
    <t>75cm</t>
  </si>
  <si>
    <t>2026 Apiya vehan (Month 6)</t>
  </si>
  <si>
    <t>-85cm</t>
  </si>
  <si>
    <t>47cm</t>
  </si>
  <si>
    <t>-79cm</t>
  </si>
  <si>
    <t>2
中潮</t>
  </si>
  <si>
    <t>3
中潮</t>
  </si>
  <si>
    <t>6
行事曆: 例假日
小潮</t>
  </si>
  <si>
    <t>7
行事曆: 例假日
小潮</t>
  </si>
  <si>
    <t>51cm</t>
  </si>
  <si>
    <t>8
🌗matazing
小潮</t>
  </si>
  <si>
    <t>11
中潮</t>
  </si>
  <si>
    <t>12
中潮</t>
  </si>
  <si>
    <t>13
行事曆: 例假日
大潮</t>
  </si>
  <si>
    <t>14
行事曆: 例假日
大潮</t>
  </si>
  <si>
    <t>-64cm</t>
  </si>
  <si>
    <t>-70cm</t>
  </si>
  <si>
    <t>15
🌑kabohen
大潮</t>
  </si>
  <si>
    <t>19
行事曆: 端午節
中潮</t>
  </si>
  <si>
    <t>20
行事曆: 例假日
中潮</t>
  </si>
  <si>
    <t>21
行事曆: 例假日
小潮</t>
  </si>
  <si>
    <t>22
🌓matazing
小潮</t>
  </si>
  <si>
    <t>24
小潮</t>
  </si>
  <si>
    <t>27
行事曆: 例假日
中潮</t>
  </si>
  <si>
    <t>28
行事曆: 例假日
大潮</t>
  </si>
  <si>
    <t>11cm</t>
  </si>
  <si>
    <t>29
大潮</t>
  </si>
  <si>
    <t>30
🌕Tazanganay
大潮</t>
  </si>
  <si>
    <t>-38cm</t>
  </si>
  <si>
    <t>-28cm</t>
  </si>
  <si>
    <t>-34cm</t>
  </si>
  <si>
    <t>-12cm</t>
  </si>
  <si>
    <t>無資料</t>
  </si>
  <si>
    <t>-7cm</t>
  </si>
  <si>
    <t>-10cm</t>
  </si>
  <si>
    <t>-42cm</t>
  </si>
  <si>
    <t>-25cm</t>
  </si>
  <si>
    <t>46cm</t>
  </si>
  <si>
    <t>2026 Pehhakow (Month 7)</t>
  </si>
  <si>
    <t>59cm</t>
  </si>
  <si>
    <t>69cm</t>
  </si>
  <si>
    <t>4
行事曆: 例假日
中潮</t>
  </si>
  <si>
    <t>5
行事曆: 例假日
中潮</t>
  </si>
  <si>
    <t>6
小潮</t>
  </si>
  <si>
    <t>10
中潮</t>
  </si>
  <si>
    <t>11
行事曆: 例假日
中潮</t>
  </si>
  <si>
    <t>12
行事曆: 例假日
大潮</t>
  </si>
  <si>
    <t>Peykaokaod</t>
  </si>
  <si>
    <t>77cm</t>
  </si>
  <si>
    <t>13
大潮</t>
  </si>
  <si>
    <t>14
🌑kabohen
大潮</t>
  </si>
  <si>
    <t>19
行事曆: 例假日
中潮</t>
  </si>
  <si>
    <t>20
小潮</t>
  </si>
  <si>
    <t>21
🌓matazing
小潮</t>
  </si>
  <si>
    <t>28
大潮</t>
  </si>
  <si>
    <t>29
🌕Tazanganay
大潮</t>
  </si>
  <si>
    <t>30
中潮</t>
  </si>
  <si>
    <t>-21cm</t>
  </si>
  <si>
    <t>-3cm</t>
  </si>
  <si>
    <t>36cm</t>
  </si>
  <si>
    <t>2026 Peytanatana (Month 8)</t>
  </si>
  <si>
    <t>9cm</t>
  </si>
  <si>
    <t>44cm</t>
  </si>
  <si>
    <t>2
行事曆: 例假日
大潮</t>
  </si>
  <si>
    <t>5
小潮</t>
  </si>
  <si>
    <t>6
🌗matazing
小潮</t>
  </si>
  <si>
    <t>9
行事曆: 例假日
中潮</t>
  </si>
  <si>
    <t>10
大潮</t>
  </si>
  <si>
    <t>11
大潮</t>
  </si>
  <si>
    <t>12
大潮</t>
  </si>
  <si>
    <t>13
🌑kabohen
大潮</t>
  </si>
  <si>
    <t>14
大潮</t>
  </si>
  <si>
    <t>15
行事曆: 例假日
大潮</t>
  </si>
  <si>
    <t>17
中潮</t>
  </si>
  <si>
    <t>18
小潮</t>
  </si>
  <si>
    <t>19
小潮</t>
  </si>
  <si>
    <t>20
🌓matazing
小潮</t>
  </si>
  <si>
    <t>21
小潮</t>
  </si>
  <si>
    <t>22
行事曆: 例假日
小潮</t>
  </si>
  <si>
    <t>23
行事曆: 例假日
小潮</t>
  </si>
  <si>
    <t>60cm</t>
  </si>
  <si>
    <t>25
中潮</t>
  </si>
  <si>
    <t>26
大潮</t>
  </si>
  <si>
    <t>27
大潮</t>
  </si>
  <si>
    <t>28
🌕Tazanganay
大潮</t>
  </si>
  <si>
    <t>29
行事曆: 例假日
大潮</t>
  </si>
  <si>
    <t>行事曆: 兒童節</t>
  </si>
  <si>
    <t>66cm</t>
  </si>
  <si>
    <t>-76cm</t>
  </si>
  <si>
    <t>行事曆: 清明節</t>
  </si>
  <si>
    <t>56cm</t>
  </si>
  <si>
    <t>-31cm</t>
  </si>
  <si>
    <t>2026 Kalimman (Month 9)</t>
  </si>
  <si>
    <t>-30cm</t>
  </si>
  <si>
    <t>1
大潮</t>
  </si>
  <si>
    <t>3
小潮</t>
  </si>
  <si>
    <t>4
🌗matazing
小潮</t>
  </si>
  <si>
    <t>5
行事曆: 例假日
小潮</t>
  </si>
  <si>
    <t>6
行事曆: 例假日
中潮</t>
  </si>
  <si>
    <t>1cm</t>
  </si>
  <si>
    <t>-6cm</t>
  </si>
  <si>
    <t>8
大潮</t>
  </si>
  <si>
    <t>9
大潮</t>
  </si>
  <si>
    <t>11
🌑kabohen
大潮</t>
  </si>
  <si>
    <t>35cm</t>
  </si>
  <si>
    <t>16
小潮</t>
  </si>
  <si>
    <t>17
小潮</t>
  </si>
  <si>
    <t>19
行事曆: 例假日
🌓matazing
小潮</t>
  </si>
  <si>
    <t>20
行事曆: 例假日
小潮</t>
  </si>
  <si>
    <t>25
行事曆: 中秋節
大潮</t>
  </si>
  <si>
    <t>26
行事曆: 例假日
大潮</t>
  </si>
  <si>
    <t>27
行事曆: 例假日
🌕Tazanganay
大潮</t>
  </si>
  <si>
    <t>57cm</t>
  </si>
  <si>
    <t>28
行事曆: 教師節
大潮</t>
  </si>
  <si>
    <t>70cm</t>
  </si>
  <si>
    <t>Papatow</t>
  </si>
  <si>
    <t>85cm</t>
  </si>
  <si>
    <t>-93cm</t>
  </si>
  <si>
    <t>89cm</t>
  </si>
  <si>
    <t>87cm</t>
  </si>
  <si>
    <t>2026 Kaneman (Month 10)</t>
  </si>
  <si>
    <t>80cm</t>
  </si>
  <si>
    <t>3
行事曆: 例假日
🌗matazing
小潮</t>
  </si>
  <si>
    <t>4
行事曆: 例假日
小潮</t>
  </si>
  <si>
    <t>-24cm</t>
  </si>
  <si>
    <t>9
行事曆: 補假
大潮</t>
  </si>
  <si>
    <t>10
行事曆: 國慶日
🌑kabohen
大潮</t>
  </si>
  <si>
    <t>11
行事曆: 例假日
大潮</t>
  </si>
  <si>
    <t>5cm</t>
  </si>
  <si>
    <t>-15cm</t>
  </si>
  <si>
    <t>15
小潮</t>
  </si>
  <si>
    <t>18
行事曆: 例假日
小潮</t>
  </si>
  <si>
    <t>19
🌓matazing
小潮</t>
  </si>
  <si>
    <t>24
行事曆: 例假日
大潮</t>
  </si>
  <si>
    <t>25
行事曆: 臺灣光復暨金門古寧頭大捷紀念日
大潮</t>
  </si>
  <si>
    <t>26
行事曆: 補假
🌕Tazanganay
中潮</t>
  </si>
  <si>
    <t>58cm</t>
  </si>
  <si>
    <t>行事曆: 勞動節</t>
  </si>
  <si>
    <t>68cm</t>
  </si>
  <si>
    <t>2026 Kapitoan (Month 11)</t>
  </si>
  <si>
    <t>1
行事曆: 例假日
小潮</t>
  </si>
  <si>
    <t>2
🌗matazing
小潮</t>
  </si>
  <si>
    <t>7
行事曆: 例假日
大潮</t>
  </si>
  <si>
    <t>8
行事曆: 例假日
大潮</t>
  </si>
  <si>
    <t>9
🌑kabohen
小潮</t>
  </si>
  <si>
    <t>15
行事曆: 例假日
小潮</t>
  </si>
  <si>
    <t>17
🌓matazing
小潮</t>
  </si>
  <si>
    <t>21
行事曆: 例假日
中潮</t>
  </si>
  <si>
    <t>-41cm</t>
  </si>
  <si>
    <t>24
🌕Tazanganay
中潮</t>
  </si>
  <si>
    <t>25
大潮</t>
  </si>
  <si>
    <t>30
小潮</t>
  </si>
  <si>
    <t>2026 Kaowan (Month 12)</t>
  </si>
  <si>
    <t>83cm</t>
  </si>
  <si>
    <t>1
🌗matazing
小潮</t>
  </si>
  <si>
    <t>6
行事曆: 例假日
大潮</t>
  </si>
  <si>
    <t>Peypilapila</t>
  </si>
  <si>
    <t>90cm</t>
  </si>
  <si>
    <t>-95cm</t>
  </si>
  <si>
    <t>7
大潮</t>
  </si>
  <si>
    <t>9
🌑kabohen
中潮</t>
  </si>
  <si>
    <t>12
行事曆: 例假日
中潮</t>
  </si>
  <si>
    <t>13
行事曆: 例假日
中潮</t>
  </si>
  <si>
    <t>94cm</t>
  </si>
  <si>
    <t>14
小潮</t>
  </si>
  <si>
    <t>19
行事曆: 例假日
小潮</t>
  </si>
  <si>
    <t>92cm</t>
  </si>
  <si>
    <t>24
🌕Tazanganay
大潮</t>
  </si>
  <si>
    <t>25
行事曆: 行憲紀念日
大潮</t>
  </si>
  <si>
    <t>27
行事曆: 例假日
大潮</t>
  </si>
  <si>
    <t>31
🌗matazing
小潮</t>
  </si>
  <si>
    <t>-54cm</t>
  </si>
  <si>
    <t>18cm</t>
  </si>
  <si>
    <t>25cm</t>
  </si>
  <si>
    <t>43cm</t>
  </si>
  <si>
    <t>84cm</t>
  </si>
  <si>
    <t>Apiya vehan</t>
  </si>
  <si>
    <t>-91cm</t>
  </si>
  <si>
    <t>97cm</t>
  </si>
  <si>
    <t>96cm</t>
  </si>
  <si>
    <t>91cm</t>
  </si>
  <si>
    <t>行事曆: 端午節</t>
  </si>
  <si>
    <t>-29cm</t>
  </si>
  <si>
    <t>-19cm</t>
  </si>
  <si>
    <t>七</t>
  </si>
  <si>
    <t>-17cm</t>
  </si>
  <si>
    <t>86cm</t>
  </si>
  <si>
    <t>Pehhakow</t>
  </si>
  <si>
    <t>103cm</t>
  </si>
  <si>
    <t>八</t>
  </si>
  <si>
    <t>82cm</t>
  </si>
  <si>
    <t>101cm</t>
  </si>
  <si>
    <t>Peytanatana</t>
  </si>
  <si>
    <t>106cm</t>
  </si>
  <si>
    <t>95cm</t>
  </si>
  <si>
    <t>81cm</t>
  </si>
  <si>
    <t>-20cm</t>
  </si>
  <si>
    <t>79cm</t>
  </si>
  <si>
    <t>九</t>
  </si>
  <si>
    <t>78cm</t>
  </si>
  <si>
    <t>Kalimman</t>
  </si>
  <si>
    <t>行事曆: 中秋節</t>
  </si>
  <si>
    <t>行事曆: 教師節</t>
  </si>
  <si>
    <t>十</t>
  </si>
  <si>
    <t>Kaneman</t>
  </si>
  <si>
    <t>行事曆: 國慶日</t>
  </si>
  <si>
    <t>行事曆: 臺灣光復暨金門古寧頭大捷紀念日</t>
  </si>
  <si>
    <t>-83cm</t>
  </si>
  <si>
    <t>十一</t>
  </si>
  <si>
    <t>Kapitoan</t>
  </si>
  <si>
    <t>-100cm</t>
  </si>
  <si>
    <t>-108cm</t>
  </si>
  <si>
    <t>-110cm</t>
  </si>
  <si>
    <t>-99cm</t>
  </si>
  <si>
    <t>十二</t>
  </si>
  <si>
    <t>-106cm</t>
  </si>
  <si>
    <t>行事曆: 行憲紀念日</t>
  </si>
  <si>
    <t>-118cm</t>
  </si>
  <si>
    <t>-116cm</t>
  </si>
  <si>
    <t>Subject</t>
  </si>
  <si>
    <t>Location</t>
  </si>
  <si>
    <t>Start Date</t>
  </si>
  <si>
    <t>All Day Event</t>
  </si>
  <si>
    <t>Description</t>
  </si>
  <si>
    <t xml:space="preserve">Kaowan Mazapao </t>
  </si>
  <si>
    <t>Iraraley 朗島部落</t>
  </si>
  <si>
    <t>Mazapao</t>
  </si>
  <si>
    <t xml:space="preserve">Kaowan 🌕Tazanganay </t>
  </si>
  <si>
    <t xml:space="preserve">Kaowan Manoma towod </t>
  </si>
  <si>
    <t>Manoma towod</t>
  </si>
  <si>
    <t xml:space="preserve">Kaowan Manowjia toeaod </t>
  </si>
  <si>
    <t>Manowjia toeaod</t>
  </si>
  <si>
    <t xml:space="preserve">Kaowan Masacin </t>
  </si>
  <si>
    <t>Masacin</t>
  </si>
  <si>
    <t xml:space="preserve">Kaowan Malyo </t>
  </si>
  <si>
    <t>Malyo</t>
  </si>
  <si>
    <t xml:space="preserve">Kaowan Manaongdong </t>
  </si>
  <si>
    <t>Manaongdong</t>
  </si>
  <si>
    <t xml:space="preserve">Kaowan Malayra </t>
  </si>
  <si>
    <t>Malayra</t>
  </si>
  <si>
    <t xml:space="preserve">Kaowan Malaw </t>
  </si>
  <si>
    <t>Malaw</t>
  </si>
  <si>
    <t xml:space="preserve">Kaowan 🌗matazing </t>
  </si>
  <si>
    <t xml:space="preserve">Kaowan Maogto </t>
  </si>
  <si>
    <t>Maogto</t>
  </si>
  <si>
    <t xml:space="preserve">Kaowan Mahavos </t>
  </si>
  <si>
    <t>Mahavos</t>
  </si>
  <si>
    <t xml:space="preserve">Kaowan Mahakaw </t>
  </si>
  <si>
    <t>Mahakaw</t>
  </si>
  <si>
    <t xml:space="preserve">Kaowan Mavahawat </t>
  </si>
  <si>
    <t>Mavahawat</t>
  </si>
  <si>
    <t xml:space="preserve">Kaowan Manoma savonot </t>
  </si>
  <si>
    <t>Manoma savonot</t>
  </si>
  <si>
    <t xml:space="preserve">Kaowan Manaowjia savonot </t>
  </si>
  <si>
    <t>Manaowjia savonot</t>
  </si>
  <si>
    <t xml:space="preserve">Kaowan 🌑kabohen </t>
  </si>
  <si>
    <t xml:space="preserve">Kasyaman Samorang </t>
  </si>
  <si>
    <t>Samorang</t>
  </si>
  <si>
    <t xml:space="preserve">Kasyaman Mavavay </t>
  </si>
  <si>
    <t>Mavavay</t>
  </si>
  <si>
    <t xml:space="preserve">Kasyaman Manoma reymay </t>
  </si>
  <si>
    <t>Manoma reymay</t>
  </si>
  <si>
    <t xml:space="preserve">Kasyaman Manowjia reymay </t>
  </si>
  <si>
    <t>Manowjia reymay</t>
  </si>
  <si>
    <t xml:space="preserve">Kasyaman Mavahawat </t>
  </si>
  <si>
    <t xml:space="preserve">Kasyaman Mawaswas </t>
  </si>
  <si>
    <t>Mawaswas</t>
  </si>
  <si>
    <t xml:space="preserve">Kasyaman Malaw </t>
  </si>
  <si>
    <t xml:space="preserve">Kasyaman 🌓matazing </t>
  </si>
  <si>
    <t xml:space="preserve">Kasyaman Manoma ogto </t>
  </si>
  <si>
    <t>Manoma ogto</t>
  </si>
  <si>
    <t xml:space="preserve">Kasyaman Manowjia ogto </t>
  </si>
  <si>
    <t>Manowjia ogto</t>
  </si>
  <si>
    <t xml:space="preserve">Kasyaman Mahavos </t>
  </si>
  <si>
    <t xml:space="preserve">Kasyaman Mahakaw </t>
  </si>
  <si>
    <t>Mahakaw</t>
  </si>
  <si>
    <t xml:space="preserve">Kasyaman Mazapao </t>
  </si>
  <si>
    <t xml:space="preserve">Kasyaman 🌕Tazanganay </t>
  </si>
  <si>
    <t xml:space="preserve">Kasyaman Manoma towod </t>
  </si>
  <si>
    <t xml:space="preserve">Kasyaman Manowjia toeaod </t>
  </si>
  <si>
    <t xml:space="preserve">Kasyaman Masacin </t>
  </si>
  <si>
    <t xml:space="preserve">Kasyaman Malyo </t>
  </si>
  <si>
    <t xml:space="preserve">Kasyaman Manaongdong </t>
  </si>
  <si>
    <t xml:space="preserve">Kasyaman Malayra </t>
  </si>
  <si>
    <t xml:space="preserve">Kasyaman 🌗matazing </t>
  </si>
  <si>
    <t xml:space="preserve">Kasyaman Maogto </t>
  </si>
  <si>
    <t xml:space="preserve">Kasyaman Manoma savonot </t>
  </si>
  <si>
    <t xml:space="preserve">Kasyaman Manaowjia savonot | 🌑kabohen </t>
  </si>
  <si>
    <t>Manaowjia savonot | 🌑kabohen</t>
  </si>
  <si>
    <t xml:space="preserve">Kapooan Samorang </t>
  </si>
  <si>
    <t>Kapooan Mavavay 聖灰星期三</t>
  </si>
  <si>
    <t>聖灰星期三</t>
  </si>
  <si>
    <t xml:space="preserve">Kapooan Manoma reymay </t>
  </si>
  <si>
    <t xml:space="preserve">Kapooan Manowjia reymay </t>
  </si>
  <si>
    <t xml:space="preserve">Kapooan Mavahawat </t>
  </si>
  <si>
    <t>Kapooan Mawaswas 四旬期第一主日</t>
  </si>
  <si>
    <t>四旬期第一主日</t>
  </si>
  <si>
    <t xml:space="preserve">Kapooan Malaw </t>
  </si>
  <si>
    <t xml:space="preserve">Kapooan 🌓matazing </t>
  </si>
  <si>
    <t xml:space="preserve">Kapooan Manoma ogto </t>
  </si>
  <si>
    <t xml:space="preserve">Kapooan Manowjia ogto </t>
  </si>
  <si>
    <t xml:space="preserve">Kapooan Mahavos </t>
  </si>
  <si>
    <t xml:space="preserve">Kapooan Mahakaw </t>
  </si>
  <si>
    <t>Kapooan Mazapao 四旬期第二主日</t>
  </si>
  <si>
    <t>四旬期第二主日</t>
  </si>
  <si>
    <t xml:space="preserve">Kapooan 🌕Tazanganay </t>
  </si>
  <si>
    <t xml:space="preserve">Kapooan Manoma towod </t>
  </si>
  <si>
    <t xml:space="preserve">Kapooan Manowjia towod </t>
  </si>
  <si>
    <t>Manowjia towod</t>
  </si>
  <si>
    <t xml:space="preserve">Kapooan Masacin </t>
  </si>
  <si>
    <t xml:space="preserve">Kapooan Malyo </t>
  </si>
  <si>
    <t xml:space="preserve">Kapooan Manaongdong </t>
  </si>
  <si>
    <t>Kapooan Malayra 四旬期第三主日</t>
  </si>
  <si>
    <t>四旬期第三主日</t>
  </si>
  <si>
    <t xml:space="preserve">Kapooan 🌗matazing </t>
  </si>
  <si>
    <t xml:space="preserve">Kapooan Maogto </t>
  </si>
  <si>
    <t xml:space="preserve">Kapooan Mazapao </t>
  </si>
  <si>
    <t>Kapooan Mavahawat 四旬期第四主日</t>
  </si>
  <si>
    <t>四旬期第四主日</t>
  </si>
  <si>
    <t xml:space="preserve">Kapooan Manoma savonot </t>
  </si>
  <si>
    <t xml:space="preserve">Kapooan Manaowjia savonot </t>
  </si>
  <si>
    <t xml:space="preserve">Kapooan 🌑kabohen </t>
  </si>
  <si>
    <t xml:space="preserve">Peykaokaod Samorang </t>
  </si>
  <si>
    <t xml:space="preserve">Peykaokaod Mavavay </t>
  </si>
  <si>
    <t xml:space="preserve">Peykaokaod Manoma reymay </t>
  </si>
  <si>
    <t>Peykaokaod Manowjia reymay 四旬期第五主日</t>
  </si>
  <si>
    <t>四旬期第五主日</t>
  </si>
  <si>
    <t xml:space="preserve">Peykaokaod Mavahawat </t>
  </si>
  <si>
    <t xml:space="preserve">Peykaokaod Mawaswas </t>
  </si>
  <si>
    <t xml:space="preserve">Peykaokaod Malaw </t>
  </si>
  <si>
    <t xml:space="preserve">Peykaokaod 🌓matazing </t>
  </si>
  <si>
    <t xml:space="preserve">Peykaokaod Manoma ogto </t>
  </si>
  <si>
    <t xml:space="preserve">Peykaokaod Manowjia ogto </t>
  </si>
  <si>
    <t>Peykaokaod Mahavos 聖枝主日</t>
  </si>
  <si>
    <t>聖枝主日</t>
  </si>
  <si>
    <t xml:space="preserve">Peykaokaod Mahakaw </t>
  </si>
  <si>
    <t xml:space="preserve">Peykaokaod Mazapao </t>
  </si>
  <si>
    <t xml:space="preserve">Peykaokaod 🌕Tazanganay </t>
  </si>
  <si>
    <t>Peykaokaod Manoma towod 聖週四：主的晚餐</t>
  </si>
  <si>
    <t>聖週四：主的晚餐</t>
  </si>
  <si>
    <t>Peykaokaod Manowjia towod 聖週五：救主受難記念</t>
  </si>
  <si>
    <t>聖週五：救主受難記念</t>
  </si>
  <si>
    <t>Peykaokaod Masacin 聖週六：復活前夕</t>
  </si>
  <si>
    <t>聖週六：復活前夕</t>
  </si>
  <si>
    <t>Peykaokaod Malyo 耶穌復活主日</t>
  </si>
  <si>
    <t>耶穌復活主日</t>
  </si>
  <si>
    <t xml:space="preserve">Peykaokaod Manaongdong </t>
  </si>
  <si>
    <t xml:space="preserve">Peykaokaod Malayra </t>
  </si>
  <si>
    <t xml:space="preserve">Peykaokaod 🌗matazing </t>
  </si>
  <si>
    <t xml:space="preserve">Peykaokaod Maogto </t>
  </si>
  <si>
    <t xml:space="preserve">Peykaokaod Mahavos </t>
  </si>
  <si>
    <t xml:space="preserve">Peykaokaod Manoma savonot </t>
  </si>
  <si>
    <t xml:space="preserve">Peykaokaod Manowjia savonot | 🌑kabohen </t>
  </si>
  <si>
    <t>Manowjia savonot | 🌑kabohen</t>
  </si>
  <si>
    <t xml:space="preserve">Papatow Samorang </t>
  </si>
  <si>
    <t xml:space="preserve">Papatow Mavavay </t>
  </si>
  <si>
    <t xml:space="preserve">Papatow Manoma reymay </t>
  </si>
  <si>
    <t xml:space="preserve">Papatow Manowjia reymay </t>
  </si>
  <si>
    <t xml:space="preserve">Papatow Mavahawat </t>
  </si>
  <si>
    <t xml:space="preserve">Papatow Mawaswas </t>
  </si>
  <si>
    <t xml:space="preserve">Papatow Malaw </t>
  </si>
  <si>
    <t xml:space="preserve">Papatow 🌓matazing </t>
  </si>
  <si>
    <t xml:space="preserve">Papatow Manoma ogto </t>
  </si>
  <si>
    <t xml:space="preserve">Papatow Manowjia ogto </t>
  </si>
  <si>
    <t xml:space="preserve">Papatow Mahavos </t>
  </si>
  <si>
    <t xml:space="preserve">Papatow Mahakaw </t>
  </si>
  <si>
    <t xml:space="preserve">Papatow Mazapao </t>
  </si>
  <si>
    <t xml:space="preserve">Papatow 🌕Tazanganay </t>
  </si>
  <si>
    <t xml:space="preserve">Papatow Manoma towod </t>
  </si>
  <si>
    <t xml:space="preserve">Papatow Manowjia towod </t>
  </si>
  <si>
    <t xml:space="preserve">Papatow Masacin </t>
  </si>
  <si>
    <t xml:space="preserve">Papatow Malyo </t>
  </si>
  <si>
    <t xml:space="preserve">Papatow Manaongdong </t>
  </si>
  <si>
    <t xml:space="preserve">Papatow Malayra </t>
  </si>
  <si>
    <t xml:space="preserve">Papatow 🌗matazing </t>
  </si>
  <si>
    <t xml:space="preserve">Papatow Maogto </t>
  </si>
  <si>
    <t>Papatow Manoma savonot 耶穌升天節</t>
  </si>
  <si>
    <t>耶穌升天節</t>
  </si>
  <si>
    <t xml:space="preserve">Papatow Manaowjia savonot </t>
  </si>
  <si>
    <t xml:space="preserve">Papatow 🌑kabohen </t>
  </si>
  <si>
    <t xml:space="preserve">Peypilapila Samorang </t>
  </si>
  <si>
    <t xml:space="preserve">Peypilapila Mavavay </t>
  </si>
  <si>
    <t xml:space="preserve">Peypilapila Manoma reymay </t>
  </si>
  <si>
    <t xml:space="preserve">Peypilapila Manowjia reymay </t>
  </si>
  <si>
    <t xml:space="preserve">Peypilapila Mavahawat </t>
  </si>
  <si>
    <t xml:space="preserve">Peypilapila Mawaswas </t>
  </si>
  <si>
    <t xml:space="preserve">Peypilapila Malaw </t>
  </si>
  <si>
    <t xml:space="preserve">Peypilapila 🌓matazing </t>
  </si>
  <si>
    <t xml:space="preserve">Peypilapila Manoma ogto </t>
  </si>
  <si>
    <t xml:space="preserve">Peypilapila Manowjia ogto </t>
  </si>
  <si>
    <t xml:space="preserve">Peypilapila Mahavos </t>
  </si>
  <si>
    <t xml:space="preserve">Peypilapila Mahakaw </t>
  </si>
  <si>
    <t xml:space="preserve">Peypilapila Mazapao </t>
  </si>
  <si>
    <t xml:space="preserve">Peypilapila 🌕Tazanganay </t>
  </si>
  <si>
    <t xml:space="preserve">Peypilapila Manoma towod </t>
  </si>
  <si>
    <t xml:space="preserve">Peypilapila Manowjia towod </t>
  </si>
  <si>
    <t xml:space="preserve">Peypilapila Masacin </t>
  </si>
  <si>
    <t xml:space="preserve">Peypilapila Malyo </t>
  </si>
  <si>
    <t xml:space="preserve">Peypilapila Manaongdong </t>
  </si>
  <si>
    <t xml:space="preserve">Peypilapila Malayra </t>
  </si>
  <si>
    <t xml:space="preserve">Peypilapila 🌗matazing </t>
  </si>
  <si>
    <t xml:space="preserve">Peypilapila Maogto </t>
  </si>
  <si>
    <t xml:space="preserve">Peypilapila Manoma savonot </t>
  </si>
  <si>
    <t xml:space="preserve">Peypilapila Manaowjia savonot | 🌑kabohen </t>
  </si>
  <si>
    <t xml:space="preserve">Apiya vehan Samorang </t>
  </si>
  <si>
    <t xml:space="preserve">Apiya vehan Mavavay </t>
  </si>
  <si>
    <t xml:space="preserve">Apiya vehan Manoma reymay </t>
  </si>
  <si>
    <t xml:space="preserve">Apiya vehan Manowjia reymay </t>
  </si>
  <si>
    <t xml:space="preserve">Apiya vehan Mavahawat </t>
  </si>
  <si>
    <t xml:space="preserve">Apiya vehan Mawaswas </t>
  </si>
  <si>
    <t xml:space="preserve">Apiya vehan Malaw </t>
  </si>
  <si>
    <t xml:space="preserve">Apiya vehan 🌓matazing </t>
  </si>
  <si>
    <t xml:space="preserve">Apiya vehan Manoma ogto </t>
  </si>
  <si>
    <t xml:space="preserve">Apiya vehan Manowjia ogto </t>
  </si>
  <si>
    <t xml:space="preserve">Apiya vehan Mahavos </t>
  </si>
  <si>
    <t xml:space="preserve">Apiya vehan Mahakaw </t>
  </si>
  <si>
    <t xml:space="preserve">Apiya vehan Mazapao </t>
  </si>
  <si>
    <t xml:space="preserve">Apiya vehan 🌕Tazanganay </t>
  </si>
  <si>
    <t xml:space="preserve">Apiya vehan Manoma towod </t>
  </si>
  <si>
    <t xml:space="preserve">Apiya vehan Manowjia towod </t>
  </si>
  <si>
    <t xml:space="preserve">Apiya vehan Masacin </t>
  </si>
  <si>
    <t xml:space="preserve">Apiya vehan Malyo </t>
  </si>
  <si>
    <t xml:space="preserve">Apiya vehan Manaongdong </t>
  </si>
  <si>
    <t xml:space="preserve">Apiya vehan Malayra </t>
  </si>
  <si>
    <t xml:space="preserve">Apiya vehan 🌗matazing </t>
  </si>
  <si>
    <t xml:space="preserve">Apiya vehan Maogto </t>
  </si>
  <si>
    <t xml:space="preserve">Apiya vehan Manoma savonot </t>
  </si>
  <si>
    <t xml:space="preserve">Apiya vehan Manaowjia savonot | 🌑kabohen </t>
  </si>
  <si>
    <t xml:space="preserve">Pehhakow Samorang </t>
  </si>
  <si>
    <t xml:space="preserve">Pehhakow Mavavay </t>
  </si>
  <si>
    <t xml:space="preserve">Pehhakow Manoma reymay </t>
  </si>
  <si>
    <t xml:space="preserve">Pehhakow Manowjia reymay </t>
  </si>
  <si>
    <t xml:space="preserve">Pehhakow Mavahawat </t>
  </si>
  <si>
    <t xml:space="preserve">Pehhakow Mawaswas </t>
  </si>
  <si>
    <t xml:space="preserve">Pehhakow Malaw </t>
  </si>
  <si>
    <t xml:space="preserve">Pehhakow 🌓matazing </t>
  </si>
  <si>
    <t xml:space="preserve">Pehhakow Manoma ogto </t>
  </si>
  <si>
    <t xml:space="preserve">Pehhakow Manowjia ogto </t>
  </si>
  <si>
    <t xml:space="preserve">Pehhakow Mahavos </t>
  </si>
  <si>
    <t xml:space="preserve">Pehhakow Mahakaw </t>
  </si>
  <si>
    <t xml:space="preserve">Pehhakow Mazapao </t>
  </si>
  <si>
    <t xml:space="preserve">Pehhakow 🌕Tazanganay </t>
  </si>
  <si>
    <t xml:space="preserve">Pehhakow Manoma towod </t>
  </si>
  <si>
    <t xml:space="preserve">Pehhakow Manowjia towod </t>
  </si>
  <si>
    <t xml:space="preserve">Pehhakow Masacin </t>
  </si>
  <si>
    <t xml:space="preserve">Pehhakow Malyo </t>
  </si>
  <si>
    <t xml:space="preserve">Pehhakow Manaongdong </t>
  </si>
  <si>
    <t xml:space="preserve">Pehhakow Malayra </t>
  </si>
  <si>
    <t xml:space="preserve">Pehhakow 🌗matazing </t>
  </si>
  <si>
    <t xml:space="preserve">Pehhakow Maogto </t>
  </si>
  <si>
    <t xml:space="preserve">Pehhakow Manoma savonot </t>
  </si>
  <si>
    <t xml:space="preserve">Pehhakow Manaowjia savonot </t>
  </si>
  <si>
    <t xml:space="preserve">Pehhakow 🌑kabohen </t>
  </si>
  <si>
    <t xml:space="preserve">Peytanatana Samorang </t>
  </si>
  <si>
    <t xml:space="preserve">Peytanatana Mavavay </t>
  </si>
  <si>
    <t>Peytanatana Manoma reymay 聖母蒙召升天節</t>
  </si>
  <si>
    <t>聖母蒙召升天節</t>
  </si>
  <si>
    <t xml:space="preserve">Peytanatana Manowjia reymay </t>
  </si>
  <si>
    <t xml:space="preserve">Peytanatana Mavahawat </t>
  </si>
  <si>
    <t xml:space="preserve">Peytanatana Mawaswas </t>
  </si>
  <si>
    <t xml:space="preserve">Peytanatana Malaw </t>
  </si>
  <si>
    <t xml:space="preserve">Peytanatana 🌓matazing </t>
  </si>
  <si>
    <t xml:space="preserve">Peytanatana Manoma ogto </t>
  </si>
  <si>
    <t xml:space="preserve">Peytanatana Manowjia ogto </t>
  </si>
  <si>
    <t xml:space="preserve">Peytanatana Mahavos </t>
  </si>
  <si>
    <t xml:space="preserve">Peytanatana Mahakaw </t>
  </si>
  <si>
    <t xml:space="preserve">Peytanatana Mazapao </t>
  </si>
  <si>
    <t xml:space="preserve">Peytanatana 🌕Tazanganay </t>
  </si>
  <si>
    <t xml:space="preserve">Peytanatana Manoma towod </t>
  </si>
  <si>
    <t xml:space="preserve">Peytanatana Manowjia towod </t>
  </si>
  <si>
    <t xml:space="preserve">Peytanatana Masacin </t>
  </si>
  <si>
    <t xml:space="preserve">Peytanatana Malyo </t>
  </si>
  <si>
    <t xml:space="preserve">Peytanatana Manaongdong </t>
  </si>
  <si>
    <t xml:space="preserve">Peytanatana Malayra </t>
  </si>
  <si>
    <t xml:space="preserve">Peytanatana 🌗matazing </t>
  </si>
  <si>
    <t xml:space="preserve">Peytanatana Maogto </t>
  </si>
  <si>
    <t xml:space="preserve">Peytanatana Manoma savonot </t>
  </si>
  <si>
    <t xml:space="preserve">Peytanatana Manaowjia savonot | 🌑kabohen </t>
  </si>
  <si>
    <t xml:space="preserve">Kalimman Samorang </t>
  </si>
  <si>
    <t xml:space="preserve">Kalimman Mavavay </t>
  </si>
  <si>
    <t xml:space="preserve">Kalimman Manoma reymay </t>
  </si>
  <si>
    <t xml:space="preserve">Kalimman Manowjia reymay </t>
  </si>
  <si>
    <t xml:space="preserve">Kalimman Mavahawat </t>
  </si>
  <si>
    <t xml:space="preserve">Kalimman Mawaswas </t>
  </si>
  <si>
    <t xml:space="preserve">Kalimman Malaw </t>
  </si>
  <si>
    <t xml:space="preserve">Kalimman 🌓matazing </t>
  </si>
  <si>
    <t xml:space="preserve">Kalimman Manoma ogto </t>
  </si>
  <si>
    <t xml:space="preserve">Kalimman Manowjia ogto </t>
  </si>
  <si>
    <t xml:space="preserve">Kalimman Mahavos </t>
  </si>
  <si>
    <t xml:space="preserve">Kalimman Mahakaw </t>
  </si>
  <si>
    <t xml:space="preserve">Kalimman Mazapao </t>
  </si>
  <si>
    <t xml:space="preserve">Kalimman 🌕Tazanganay </t>
  </si>
  <si>
    <t xml:space="preserve">Kalimman Manoma towod </t>
  </si>
  <si>
    <t xml:space="preserve">Kalimman Manowjia towod </t>
  </si>
  <si>
    <t xml:space="preserve">Kalimman Masacin </t>
  </si>
  <si>
    <t xml:space="preserve">Kalimman Malyo </t>
  </si>
  <si>
    <t xml:space="preserve">Kalimman Manaongdong </t>
  </si>
  <si>
    <t xml:space="preserve">Kalimman Malayra </t>
  </si>
  <si>
    <t xml:space="preserve">Kalimman 🌗matazing </t>
  </si>
  <si>
    <t xml:space="preserve">Kalimman Maogto </t>
  </si>
  <si>
    <t xml:space="preserve">Kalimman Manoma savonot </t>
  </si>
  <si>
    <t xml:space="preserve">Kalimman Manaowjia savonot | 🌑kabohen </t>
  </si>
  <si>
    <t xml:space="preserve">Kaneman Samorang </t>
  </si>
  <si>
    <t xml:space="preserve">Kaneman Mavavay </t>
  </si>
  <si>
    <t xml:space="preserve">Kaneman Manoma reymay </t>
  </si>
  <si>
    <t xml:space="preserve">Kaneman Manowjia reymay </t>
  </si>
  <si>
    <t xml:space="preserve">Kaneman Mavahawat </t>
  </si>
  <si>
    <t xml:space="preserve">Kaneman Mawaswas </t>
  </si>
  <si>
    <t xml:space="preserve">Kaneman Malaw </t>
  </si>
  <si>
    <t xml:space="preserve">Kaneman 🌓matazing </t>
  </si>
  <si>
    <t xml:space="preserve">Kaneman Manoma ogto </t>
  </si>
  <si>
    <t xml:space="preserve">Kaneman Manowjia ogto </t>
  </si>
  <si>
    <t xml:space="preserve">Kaneman Mahavos </t>
  </si>
  <si>
    <t xml:space="preserve">Kaneman Mahakaw </t>
  </si>
  <si>
    <t xml:space="preserve">Kaneman Mazapao </t>
  </si>
  <si>
    <t xml:space="preserve">Kaneman 🌕Tazanganay </t>
  </si>
  <si>
    <t xml:space="preserve">Kaneman Manoma towod </t>
  </si>
  <si>
    <t xml:space="preserve">Kaneman Manowjia towod </t>
  </si>
  <si>
    <t xml:space="preserve">Kaneman Masacin </t>
  </si>
  <si>
    <t xml:space="preserve">Kaneman Malyo </t>
  </si>
  <si>
    <t xml:space="preserve">Kaneman Manaongdong </t>
  </si>
  <si>
    <t xml:space="preserve">Kaneman Malayra </t>
  </si>
  <si>
    <t xml:space="preserve">Kaneman 🌗matazing </t>
  </si>
  <si>
    <t>Kaneman Maogto 諸聖節 / 煉靈月</t>
  </si>
  <si>
    <t>諸聖節 / 煉靈月</t>
  </si>
  <si>
    <t xml:space="preserve">Kaneman Manoma savonot </t>
  </si>
  <si>
    <t xml:space="preserve">Kaneman Manaowjia savonot </t>
  </si>
  <si>
    <t xml:space="preserve">Kaneman 🌑kabohen </t>
  </si>
  <si>
    <t xml:space="preserve">Kapitoan Samorang </t>
  </si>
  <si>
    <t xml:space="preserve">Kapitoan Mavavay </t>
  </si>
  <si>
    <t xml:space="preserve">Kapitoan Manoma reymay </t>
  </si>
  <si>
    <t xml:space="preserve">Kapitoan Manowjia reymay </t>
  </si>
  <si>
    <t xml:space="preserve">Kapitoan Mavahawat </t>
  </si>
  <si>
    <t xml:space="preserve">Kapitoan Mawaswas </t>
  </si>
  <si>
    <t xml:space="preserve">Kapitoan Malaw </t>
  </si>
  <si>
    <t xml:space="preserve">Kapitoan 🌓matazing </t>
  </si>
  <si>
    <t xml:space="preserve">Kapitoan Manoma ogto </t>
  </si>
  <si>
    <t xml:space="preserve">Kapitoan Manowjia ogto </t>
  </si>
  <si>
    <t xml:space="preserve">Kapitoan Mahavos </t>
  </si>
  <si>
    <t xml:space="preserve">Kapitoan Mahakaw </t>
  </si>
  <si>
    <t xml:space="preserve">Kapitoan Mazapao </t>
  </si>
  <si>
    <t>Kapitoan 🌕Tazanganay 耶穌基督普世君王節</t>
  </si>
  <si>
    <t>耶穌基督普世君王節</t>
  </si>
  <si>
    <t xml:space="preserve">Kapitoan Manoma towod </t>
  </si>
  <si>
    <t xml:space="preserve">Kapitoan Manowjia towod </t>
  </si>
  <si>
    <t xml:space="preserve">Kapitoan Masacin </t>
  </si>
  <si>
    <t xml:space="preserve">Kapitoan Malyo </t>
  </si>
  <si>
    <t xml:space="preserve">Kapitoan Manaongdong </t>
  </si>
  <si>
    <t xml:space="preserve">Kapitoan Malayra </t>
  </si>
  <si>
    <t>Kapitoan Malaw 將臨期第一主日</t>
  </si>
  <si>
    <t>將臨期第一主日</t>
  </si>
  <si>
    <t xml:space="preserve">Kapitoan 🌗matazing </t>
  </si>
  <si>
    <t xml:space="preserve">Kapitoan Maogto </t>
  </si>
  <si>
    <t>Kapitoan Manoma savonot 將臨期第二主日</t>
  </si>
  <si>
    <t>將臨期第二主日</t>
  </si>
  <si>
    <t xml:space="preserve">Kapitoan Manaowjia savonot </t>
  </si>
  <si>
    <t xml:space="preserve">Kapitoan 🌑kabohen </t>
  </si>
  <si>
    <t xml:space="preserve">Kaowan Samorang </t>
  </si>
  <si>
    <t xml:space="preserve">Kaowan Mavavay </t>
  </si>
  <si>
    <t xml:space="preserve">Kaowan Manoma reymay </t>
  </si>
  <si>
    <t xml:space="preserve">Kaowan Manowjia reymay </t>
  </si>
  <si>
    <t>Kaowan Mavahawat 將臨期第三主日</t>
  </si>
  <si>
    <t>將臨期第三主日</t>
  </si>
  <si>
    <t xml:space="preserve">Kaowan Mawaswas </t>
  </si>
  <si>
    <t xml:space="preserve">Kaowan 🌓matazing </t>
  </si>
  <si>
    <t xml:space="preserve">Kaowan Manoma ogto </t>
  </si>
  <si>
    <t xml:space="preserve">Kaowan Manowjia ogto </t>
  </si>
  <si>
    <t>Kaowan Mahakaw 將臨期第四主日</t>
  </si>
  <si>
    <t>將臨期第四主日</t>
  </si>
  <si>
    <t xml:space="preserve">Kaowan Manowjia towod </t>
  </si>
  <si>
    <t>Kaowan Masacin 耶穌聖誕節</t>
  </si>
  <si>
    <t>耶穌聖誕節</t>
  </si>
  <si>
    <t xml:space="preserve">Kaowan Mahakaw </t>
  </si>
  <si>
    <t>月份</t>
  </si>
  <si>
    <t>3
行事曆: 例假日
大潮</t>
  </si>
  <si>
    <t>10
行事曆: 例假日
小潮</t>
  </si>
  <si>
    <t>19
中潮</t>
  </si>
  <si>
    <t>2
大潮</t>
  </si>
  <si>
    <t>17
行事曆: 春節
大潮</t>
  </si>
  <si>
    <t>2
行事曆: 例假日
中潮</t>
  </si>
  <si>
    <t>17
行事曆: 例假日
大潮</t>
  </si>
  <si>
    <t>31
行事曆: 例假日
大潮</t>
  </si>
  <si>
    <t>4
小潮</t>
  </si>
  <si>
    <t>3
行事曆: 例假日
小潮</t>
  </si>
  <si>
    <t>10
行事曆: 國慶日
大潮</t>
  </si>
  <si>
    <t>26
行事曆: 補假
中潮</t>
  </si>
  <si>
    <t>1
小潮</t>
  </si>
  <si>
    <t>24
大潮</t>
  </si>
  <si>
    <t>31
小潮</t>
  </si>
  <si>
    <t>samorang</t>
  </si>
  <si>
    <t>mavavay</t>
  </si>
  <si>
    <t>manoma reymay</t>
  </si>
  <si>
    <t>manowjia reymay</t>
  </si>
  <si>
    <t>mavahawat</t>
  </si>
  <si>
    <t>mawaswas</t>
  </si>
  <si>
    <t>malaw</t>
  </si>
  <si>
    <t>manoma ogto</t>
  </si>
  <si>
    <t>manowjia ogto</t>
  </si>
  <si>
    <t>mahavos</t>
  </si>
  <si>
    <t>mahakaw</t>
  </si>
  <si>
    <t>mazapao</t>
  </si>
  <si>
    <t>manoma towod</t>
  </si>
  <si>
    <t>manowjia towod</t>
  </si>
  <si>
    <t>masacin</t>
  </si>
  <si>
    <t>malyo</t>
  </si>
  <si>
    <t>manaongdong</t>
  </si>
  <si>
    <t>malayra</t>
  </si>
  <si>
    <t>maogto</t>
  </si>
  <si>
    <t>mahakow</t>
  </si>
  <si>
    <t>manoma savonot</t>
  </si>
  <si>
    <t>manowjia savonot</t>
  </si>
  <si>
    <t>Start Time</t>
  </si>
  <si>
    <t>End Date</t>
  </si>
  <si>
    <t>End Time</t>
  </si>
  <si>
    <t>中華民國開國紀念日</t>
  </si>
  <si>
    <t>例假日</t>
  </si>
  <si>
    <t>小年夜</t>
  </si>
  <si>
    <t>農曆除夕</t>
  </si>
  <si>
    <t>春節</t>
  </si>
  <si>
    <t>補假</t>
  </si>
  <si>
    <t>和平紀念日</t>
  </si>
  <si>
    <t>兒童節</t>
  </si>
  <si>
    <t>清明節</t>
  </si>
  <si>
    <t>勞動節</t>
  </si>
  <si>
    <t>端午節</t>
  </si>
  <si>
    <t>中秋節</t>
  </si>
  <si>
    <t>教師節</t>
  </si>
  <si>
    <t>國慶日</t>
  </si>
  <si>
    <t>臺灣光復暨金門古寧頭大捷紀念日</t>
  </si>
  <si>
    <t>行憲紀念日</t>
  </si>
  <si>
    <t>月相時分</t>
  </si>
  <si>
    <t>🌓</t>
  </si>
  <si>
    <t>🌕</t>
  </si>
  <si>
    <t>🌗</t>
  </si>
  <si>
    <t>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</si>
</sst>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/d"/>
    <numFmt numFmtId="166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CC0000"/>
      <name val="Arial"/>
      <scheme val="minor"/>
    </font>
    <font>
      <sz val="11.0"/>
      <color rgb="FF000000"/>
      <name val="Arial"/>
    </font>
    <font>
      <sz val="12.0"/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20" xfId="0" applyAlignment="1" applyFont="1" applyNumberFormat="1">
      <alignment readingOrder="0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center" readingOrder="0" shrinkToFit="0" vertical="top" wrapText="1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4.88"/>
    <col customWidth="1" min="4" max="4" width="3.13"/>
    <col customWidth="1" min="5" max="5" width="26.38"/>
    <col customWidth="1" min="6" max="6" width="15.25"/>
    <col customWidth="1" min="7" max="8" width="7.0"/>
    <col customWidth="1" min="9" max="9" width="10.63"/>
    <col customWidth="1" min="10" max="11" width="7.0"/>
    <col customWidth="1" min="12" max="12" width="10.63"/>
    <col customWidth="1" min="13" max="14" width="7.0"/>
    <col customWidth="1" min="15" max="15" width="10.63"/>
    <col customWidth="1" min="16" max="17" width="7.0"/>
    <col customWidth="1" min="18" max="18" width="10.63"/>
    <col customWidth="1" min="19" max="19" width="12.88"/>
    <col customWidth="1" min="20" max="20" width="14.13"/>
    <col customWidth="1" min="21" max="21" width="10.38"/>
    <col customWidth="1" min="22" max="22" width="12.88"/>
    <col customWidth="1" min="23" max="24" width="24.38"/>
    <col customWidth="1" min="25" max="25" width="9.5"/>
    <col customWidth="1" min="26" max="26" width="9.0"/>
    <col customWidth="1" min="27" max="27" width="10.0"/>
    <col customWidth="1" min="28" max="28" width="25.13"/>
    <col customWidth="1" min="29" max="29" width="24.25"/>
    <col customWidth="1" min="30" max="41" width="26.0"/>
    <col customWidth="1" min="42" max="42" width="26.5"/>
    <col customWidth="1" min="43" max="51" width="26.0"/>
    <col customWidth="1" min="52" max="53" width="25.63"/>
    <col customWidth="1" min="54" max="55" width="24.25"/>
    <col customWidth="1" min="56" max="57" width="26.0"/>
    <col customWidth="1" min="58" max="58" width="26.5"/>
    <col customWidth="1" min="59" max="59" width="24.38"/>
    <col customWidth="1" min="60" max="60" width="26.0"/>
    <col customWidth="1" min="61" max="61" width="25.63"/>
    <col customWidth="1" min="62" max="62" width="24.38"/>
    <col customWidth="1" min="63" max="64" width="26.0"/>
    <col customWidth="1" min="65" max="66" width="26.5"/>
    <col customWidth="1" min="67" max="67" width="24.38"/>
    <col customWidth="1" min="68" max="68" width="24.63"/>
    <col customWidth="1" min="69" max="69" width="25.63"/>
    <col customWidth="1" min="70" max="74" width="24.38"/>
    <col customWidth="1" min="75" max="75" width="25.13"/>
    <col customWidth="1" min="76" max="77" width="25.63"/>
    <col customWidth="1" min="78" max="78" width="25.13"/>
    <col customWidth="1" min="79" max="80" width="26.0"/>
    <col customWidth="1" min="81" max="84" width="25.63"/>
    <col customWidth="1" min="85" max="88" width="26.0"/>
    <col customWidth="1" min="89" max="89" width="25.63"/>
    <col customWidth="1" min="90" max="90" width="25.13"/>
    <col customWidth="1" min="91" max="95" width="26.0"/>
    <col customWidth="1" min="96" max="96" width="25.63"/>
    <col customWidth="1" min="97" max="97" width="26.0"/>
    <col customWidth="1" min="98" max="98" width="25.63"/>
    <col customWidth="1" min="99" max="101" width="26.0"/>
    <col customWidth="1" min="102" max="102" width="25.63"/>
    <col customWidth="1" min="103" max="116" width="26.0"/>
    <col customWidth="1" min="117" max="117" width="24.63"/>
    <col customWidth="1" min="118" max="132" width="26.0"/>
    <col customWidth="1" min="133" max="133" width="25.13"/>
    <col customWidth="1" min="134" max="137" width="26.0"/>
    <col customWidth="1" min="138" max="138" width="25.63"/>
    <col customWidth="1" min="139" max="144" width="26.0"/>
    <col customWidth="1" min="145" max="145" width="24.38"/>
    <col customWidth="1" min="146" max="146" width="25.63"/>
    <col customWidth="1" min="147" max="147" width="24.63"/>
    <col customWidth="1" min="148" max="148" width="25.63"/>
    <col customWidth="1" min="149" max="149" width="26.0"/>
    <col customWidth="1" min="150" max="153" width="25.63"/>
    <col customWidth="1" min="154" max="154" width="24.38"/>
    <col customWidth="1" min="155" max="155" width="25.13"/>
    <col customWidth="1" min="156" max="162" width="24.38"/>
    <col customWidth="1" min="163" max="173" width="24.25"/>
    <col customWidth="1" min="174" max="174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2">
        <v>1.0</v>
      </c>
      <c r="D2" s="1" t="s">
        <v>26</v>
      </c>
      <c r="E2" s="1" t="s">
        <v>27</v>
      </c>
      <c r="F2" s="3"/>
      <c r="G2" s="1" t="s">
        <v>28</v>
      </c>
      <c r="H2" s="4">
        <v>0.18958333333333333</v>
      </c>
      <c r="I2" s="1" t="s">
        <v>29</v>
      </c>
      <c r="J2" s="1" t="s">
        <v>30</v>
      </c>
      <c r="K2" s="4">
        <v>0.40555555555555556</v>
      </c>
      <c r="L2" s="1" t="s">
        <v>31</v>
      </c>
      <c r="M2" s="1" t="s">
        <v>28</v>
      </c>
      <c r="N2" s="4">
        <v>0.6743055555555556</v>
      </c>
      <c r="O2" s="1" t="s">
        <v>32</v>
      </c>
      <c r="P2" s="1" t="s">
        <v>30</v>
      </c>
      <c r="Q2" s="4">
        <v>0.9694444444444444</v>
      </c>
      <c r="R2" s="1" t="s">
        <v>33</v>
      </c>
      <c r="S2" s="1">
        <f t="shared" ref="S2:S366" si="1">LET(
  clean, LAMBDA(x, IF(x="", 0, VALUE(SUBSTITUTE(TRIM(x), "cm", "")))),
  a, clean(I2),
  b, clean(L2),
  MAX(a, b) - MIN(a, b)
)</f>
        <v>55</v>
      </c>
      <c r="T2" s="1">
        <f t="shared" ref="T2:T366" si="2">LET(
  clean, LAMBDA(x, IF(x="", 0, VALUE(SUBSTITUTE(TRIM(x), "cm", "")))),
  a, clean(O2),
  b, clean(R2),
  MAX(a, b) - MIN(a, b)
)</f>
        <v>159</v>
      </c>
      <c r="U2" s="5">
        <f t="shared" ref="U2:U366" si="3">max(S2,T2)</f>
        <v>159</v>
      </c>
      <c r="V2" s="5" t="str">
        <f t="array" ref="V2:V366">IF(U2:U366 = "", "", LET( big, W2, small, X2, IF(U2:U366 &gt;= big, "大潮", IF(U2:U366 &gt;= small, "中潮", "小潮")) ) )</f>
        <v>大潮</v>
      </c>
      <c r="W2" s="5">
        <f>IFERROR(__xludf.DUMMYFUNCTION("LET( data, FILTER(U2:U366, U2:U366 &lt;&gt; """"), n, COUNTA(data), k, ROUNDUP(n/3, 0), sorted, SORT(data, 1, FALSE), INDEX(sorted, k) )"),124.0)</f>
        <v>124</v>
      </c>
      <c r="X2" s="5">
        <f>IFERROR(__xludf.DUMMYFUNCTION("LET( data, FILTER(U2:U366, U2:U366 &lt;&gt; """"), n, COUNTA(data), k, ROUNDUP(n/3, 0), sorted, SORT(data, 1, FALSE), INDEX(sorted, n - k + 1) )"),91.0)</f>
        <v>91</v>
      </c>
      <c r="Z2" s="6"/>
      <c r="AA2" s="6"/>
      <c r="AB2" s="6"/>
      <c r="AC2" s="6"/>
      <c r="AD2" s="6"/>
      <c r="AE2" s="6"/>
      <c r="AF2" s="6"/>
    </row>
    <row r="3">
      <c r="A3" s="1" t="s">
        <v>24</v>
      </c>
      <c r="B3" s="1" t="s">
        <v>25</v>
      </c>
      <c r="C3" s="2">
        <v>2.0</v>
      </c>
      <c r="D3" s="1" t="s">
        <v>34</v>
      </c>
      <c r="E3" s="6"/>
      <c r="F3" s="7" t="s">
        <v>35</v>
      </c>
      <c r="G3" s="1" t="s">
        <v>28</v>
      </c>
      <c r="H3" s="4">
        <v>0.23055555555555557</v>
      </c>
      <c r="I3" s="1" t="s">
        <v>36</v>
      </c>
      <c r="J3" s="1" t="s">
        <v>30</v>
      </c>
      <c r="K3" s="4">
        <v>0.4444444444444444</v>
      </c>
      <c r="L3" s="1" t="s">
        <v>37</v>
      </c>
      <c r="M3" s="1" t="s">
        <v>28</v>
      </c>
      <c r="N3" s="4">
        <v>0.7118055555555556</v>
      </c>
      <c r="O3" s="1" t="s">
        <v>38</v>
      </c>
      <c r="S3" s="1">
        <f t="shared" si="1"/>
        <v>62</v>
      </c>
      <c r="T3" s="1">
        <f t="shared" si="2"/>
        <v>65</v>
      </c>
      <c r="U3" s="5">
        <f t="shared" si="3"/>
        <v>65</v>
      </c>
      <c r="V3" s="5" t="s">
        <v>39</v>
      </c>
      <c r="Z3" s="8" t="s">
        <v>40</v>
      </c>
    </row>
    <row r="4">
      <c r="A4" s="1" t="s">
        <v>24</v>
      </c>
      <c r="B4" s="1" t="s">
        <v>25</v>
      </c>
      <c r="C4" s="2">
        <v>3.0</v>
      </c>
      <c r="D4" s="1" t="s">
        <v>41</v>
      </c>
      <c r="E4" s="1" t="s">
        <v>42</v>
      </c>
      <c r="F4" s="3"/>
      <c r="G4" s="1" t="s">
        <v>30</v>
      </c>
      <c r="H4" s="4">
        <v>0.00625</v>
      </c>
      <c r="I4" s="1" t="s">
        <v>43</v>
      </c>
      <c r="J4" s="1" t="s">
        <v>28</v>
      </c>
      <c r="K4" s="4">
        <v>0.2659722222222222</v>
      </c>
      <c r="L4" s="1" t="s">
        <v>44</v>
      </c>
      <c r="M4" s="1" t="s">
        <v>30</v>
      </c>
      <c r="N4" s="4">
        <v>0.48055555555555557</v>
      </c>
      <c r="O4" s="1" t="s">
        <v>45</v>
      </c>
      <c r="P4" s="1" t="s">
        <v>28</v>
      </c>
      <c r="Q4" s="4">
        <v>0.7472222222222222</v>
      </c>
      <c r="R4" s="1" t="s">
        <v>46</v>
      </c>
      <c r="S4" s="1">
        <f t="shared" si="1"/>
        <v>124</v>
      </c>
      <c r="T4" s="1">
        <f t="shared" si="2"/>
        <v>131</v>
      </c>
      <c r="U4" s="5">
        <f t="shared" si="3"/>
        <v>131</v>
      </c>
      <c r="V4" s="5" t="s">
        <v>47</v>
      </c>
      <c r="Z4" s="9" t="s">
        <v>48</v>
      </c>
      <c r="AA4" s="9" t="s">
        <v>49</v>
      </c>
      <c r="AB4" s="9" t="s">
        <v>50</v>
      </c>
      <c r="AC4" s="9" t="s">
        <v>51</v>
      </c>
      <c r="AD4" s="9" t="s">
        <v>52</v>
      </c>
      <c r="AE4" s="9" t="s">
        <v>53</v>
      </c>
      <c r="AF4" s="9" t="s">
        <v>54</v>
      </c>
    </row>
    <row r="5">
      <c r="A5" s="1" t="s">
        <v>24</v>
      </c>
      <c r="B5" s="1" t="s">
        <v>25</v>
      </c>
      <c r="C5" s="2">
        <v>4.0</v>
      </c>
      <c r="D5" s="1" t="s">
        <v>55</v>
      </c>
      <c r="E5" s="1" t="s">
        <v>42</v>
      </c>
      <c r="F5" s="3"/>
      <c r="G5" s="1" t="s">
        <v>30</v>
      </c>
      <c r="H5" s="4">
        <v>0.04027777777777778</v>
      </c>
      <c r="I5" s="1" t="s">
        <v>56</v>
      </c>
      <c r="J5" s="1" t="s">
        <v>28</v>
      </c>
      <c r="K5" s="4">
        <v>0.2972222222222222</v>
      </c>
      <c r="L5" s="1" t="s">
        <v>57</v>
      </c>
      <c r="M5" s="1" t="s">
        <v>30</v>
      </c>
      <c r="N5" s="4">
        <v>0.5152777777777777</v>
      </c>
      <c r="O5" s="1" t="s">
        <v>58</v>
      </c>
      <c r="P5" s="1" t="s">
        <v>28</v>
      </c>
      <c r="Q5" s="4">
        <v>0.7798611111111111</v>
      </c>
      <c r="R5" s="1" t="s">
        <v>59</v>
      </c>
      <c r="S5" s="1">
        <f t="shared" si="1"/>
        <v>130</v>
      </c>
      <c r="T5" s="1">
        <f t="shared" si="2"/>
        <v>137</v>
      </c>
      <c r="U5" s="5">
        <f t="shared" si="3"/>
        <v>137</v>
      </c>
      <c r="V5" s="5" t="s">
        <v>47</v>
      </c>
      <c r="Z5" s="10" t="s">
        <v>60</v>
      </c>
      <c r="AA5" s="10" t="s">
        <v>60</v>
      </c>
      <c r="AB5" s="10" t="s">
        <v>60</v>
      </c>
      <c r="AC5" s="10" t="s">
        <v>61</v>
      </c>
      <c r="AD5" s="10" t="s">
        <v>62</v>
      </c>
      <c r="AE5" s="11" t="s">
        <v>63</v>
      </c>
      <c r="AF5" s="11" t="s">
        <v>64</v>
      </c>
    </row>
    <row r="6">
      <c r="A6" s="1" t="s">
        <v>24</v>
      </c>
      <c r="B6" s="1" t="s">
        <v>25</v>
      </c>
      <c r="C6" s="2">
        <v>5.0</v>
      </c>
      <c r="D6" s="1" t="s">
        <v>25</v>
      </c>
      <c r="E6" s="6"/>
      <c r="F6" s="3"/>
      <c r="G6" s="1" t="s">
        <v>30</v>
      </c>
      <c r="H6" s="4">
        <v>0.07222222222222222</v>
      </c>
      <c r="I6" s="1" t="s">
        <v>43</v>
      </c>
      <c r="J6" s="1" t="s">
        <v>28</v>
      </c>
      <c r="K6" s="4">
        <v>0.32708333333333334</v>
      </c>
      <c r="L6" s="1" t="s">
        <v>65</v>
      </c>
      <c r="M6" s="1" t="s">
        <v>30</v>
      </c>
      <c r="N6" s="4">
        <v>0.5479166666666667</v>
      </c>
      <c r="O6" s="1" t="s">
        <v>66</v>
      </c>
      <c r="P6" s="1" t="s">
        <v>28</v>
      </c>
      <c r="Q6" s="4">
        <v>0.8111111111111111</v>
      </c>
      <c r="R6" s="1" t="s">
        <v>67</v>
      </c>
      <c r="S6" s="1">
        <f t="shared" si="1"/>
        <v>129</v>
      </c>
      <c r="T6" s="1">
        <f t="shared" si="2"/>
        <v>136</v>
      </c>
      <c r="U6" s="5">
        <f t="shared" si="3"/>
        <v>136</v>
      </c>
      <c r="V6" s="5" t="s">
        <v>47</v>
      </c>
      <c r="Z6" s="10" t="s">
        <v>68</v>
      </c>
      <c r="AA6" s="10" t="s">
        <v>69</v>
      </c>
      <c r="AB6" s="10" t="s">
        <v>70</v>
      </c>
      <c r="AC6" s="10" t="s">
        <v>71</v>
      </c>
      <c r="AD6" s="10" t="s">
        <v>72</v>
      </c>
      <c r="AE6" s="11" t="s">
        <v>73</v>
      </c>
      <c r="AF6" s="11" t="s">
        <v>74</v>
      </c>
    </row>
    <row r="7">
      <c r="A7" s="1" t="s">
        <v>24</v>
      </c>
      <c r="B7" s="1" t="s">
        <v>25</v>
      </c>
      <c r="C7" s="2">
        <v>6.0</v>
      </c>
      <c r="D7" s="1" t="s">
        <v>75</v>
      </c>
      <c r="E7" s="6"/>
      <c r="F7" s="3"/>
      <c r="G7" s="1" t="s">
        <v>30</v>
      </c>
      <c r="H7" s="4">
        <v>0.10138888888888889</v>
      </c>
      <c r="I7" s="1" t="s">
        <v>76</v>
      </c>
      <c r="J7" s="1" t="s">
        <v>28</v>
      </c>
      <c r="K7" s="4">
        <v>0.3541666666666667</v>
      </c>
      <c r="L7" s="1" t="s">
        <v>77</v>
      </c>
      <c r="M7" s="1" t="s">
        <v>30</v>
      </c>
      <c r="N7" s="4">
        <v>0.5805555555555556</v>
      </c>
      <c r="O7" s="1" t="s">
        <v>66</v>
      </c>
      <c r="P7" s="1" t="s">
        <v>28</v>
      </c>
      <c r="Q7" s="4">
        <v>0.8409722222222222</v>
      </c>
      <c r="R7" s="1" t="s">
        <v>78</v>
      </c>
      <c r="S7" s="1">
        <f t="shared" si="1"/>
        <v>123</v>
      </c>
      <c r="T7" s="1">
        <f t="shared" si="2"/>
        <v>127</v>
      </c>
      <c r="U7" s="5">
        <f t="shared" si="3"/>
        <v>127</v>
      </c>
      <c r="V7" s="5" t="s">
        <v>47</v>
      </c>
      <c r="Z7" s="10" t="s">
        <v>79</v>
      </c>
      <c r="AA7" s="10" t="s">
        <v>80</v>
      </c>
      <c r="AB7" s="10" t="s">
        <v>81</v>
      </c>
      <c r="AC7" s="10" t="s">
        <v>82</v>
      </c>
      <c r="AD7" s="10" t="s">
        <v>83</v>
      </c>
      <c r="AE7" s="11" t="s">
        <v>84</v>
      </c>
      <c r="AF7" s="11" t="s">
        <v>85</v>
      </c>
    </row>
    <row r="8">
      <c r="A8" s="1" t="s">
        <v>24</v>
      </c>
      <c r="B8" s="1" t="s">
        <v>25</v>
      </c>
      <c r="C8" s="2">
        <v>7.0</v>
      </c>
      <c r="D8" s="1" t="s">
        <v>86</v>
      </c>
      <c r="E8" s="6"/>
      <c r="F8" s="3"/>
      <c r="G8" s="1" t="s">
        <v>30</v>
      </c>
      <c r="H8" s="4">
        <v>0.12777777777777777</v>
      </c>
      <c r="I8" s="1" t="s">
        <v>87</v>
      </c>
      <c r="J8" s="1" t="s">
        <v>28</v>
      </c>
      <c r="K8" s="4">
        <v>0.38125</v>
      </c>
      <c r="L8" s="1" t="s">
        <v>77</v>
      </c>
      <c r="M8" s="1" t="s">
        <v>30</v>
      </c>
      <c r="N8" s="4">
        <v>0.6125</v>
      </c>
      <c r="O8" s="1" t="s">
        <v>88</v>
      </c>
      <c r="P8" s="1" t="s">
        <v>28</v>
      </c>
      <c r="Q8" s="4">
        <v>0.8701388888888889</v>
      </c>
      <c r="R8" s="1" t="s">
        <v>89</v>
      </c>
      <c r="S8" s="1">
        <f t="shared" si="1"/>
        <v>113</v>
      </c>
      <c r="T8" s="1">
        <f t="shared" si="2"/>
        <v>111</v>
      </c>
      <c r="U8" s="5">
        <f t="shared" si="3"/>
        <v>113</v>
      </c>
      <c r="V8" s="5" t="s">
        <v>90</v>
      </c>
      <c r="Z8" s="10" t="s">
        <v>91</v>
      </c>
      <c r="AA8" s="10" t="s">
        <v>92</v>
      </c>
      <c r="AB8" s="10" t="s">
        <v>93</v>
      </c>
      <c r="AC8" s="10" t="s">
        <v>94</v>
      </c>
      <c r="AD8" s="10" t="s">
        <v>95</v>
      </c>
      <c r="AE8" s="11" t="s">
        <v>96</v>
      </c>
      <c r="AF8" s="11" t="s">
        <v>97</v>
      </c>
    </row>
    <row r="9">
      <c r="A9" s="1" t="s">
        <v>24</v>
      </c>
      <c r="B9" s="1" t="s">
        <v>25</v>
      </c>
      <c r="C9" s="2">
        <v>8.0</v>
      </c>
      <c r="D9" s="1" t="s">
        <v>26</v>
      </c>
      <c r="E9" s="6"/>
      <c r="F9" s="3"/>
      <c r="G9" s="1" t="s">
        <v>30</v>
      </c>
      <c r="H9" s="4">
        <v>0.15208333333333332</v>
      </c>
      <c r="I9" s="1" t="s">
        <v>98</v>
      </c>
      <c r="J9" s="1" t="s">
        <v>28</v>
      </c>
      <c r="K9" s="4">
        <v>0.40694444444444444</v>
      </c>
      <c r="L9" s="1" t="s">
        <v>77</v>
      </c>
      <c r="M9" s="1" t="s">
        <v>30</v>
      </c>
      <c r="N9" s="4">
        <v>0.6458333333333334</v>
      </c>
      <c r="O9" s="1" t="s">
        <v>99</v>
      </c>
      <c r="P9" s="1" t="s">
        <v>28</v>
      </c>
      <c r="Q9" s="4">
        <v>0.8993055555555556</v>
      </c>
      <c r="R9" s="1" t="s">
        <v>100</v>
      </c>
      <c r="S9" s="1">
        <f t="shared" si="1"/>
        <v>100</v>
      </c>
      <c r="T9" s="1">
        <f t="shared" si="2"/>
        <v>91</v>
      </c>
      <c r="U9" s="5">
        <f t="shared" si="3"/>
        <v>100</v>
      </c>
      <c r="V9" s="5" t="s">
        <v>90</v>
      </c>
      <c r="Z9" s="10" t="s">
        <v>101</v>
      </c>
      <c r="AA9" s="10" t="s">
        <v>102</v>
      </c>
      <c r="AB9" s="10" t="s">
        <v>103</v>
      </c>
      <c r="AC9" s="10" t="s">
        <v>104</v>
      </c>
      <c r="AD9" s="10" t="s">
        <v>105</v>
      </c>
      <c r="AE9" s="11" t="s">
        <v>106</v>
      </c>
      <c r="AF9" s="10" t="s">
        <v>60</v>
      </c>
    </row>
    <row r="10">
      <c r="A10" s="1" t="s">
        <v>24</v>
      </c>
      <c r="B10" s="1" t="s">
        <v>25</v>
      </c>
      <c r="C10" s="2">
        <v>9.0</v>
      </c>
      <c r="D10" s="1" t="s">
        <v>34</v>
      </c>
      <c r="E10" s="6"/>
      <c r="F10" s="7" t="s">
        <v>107</v>
      </c>
      <c r="G10" s="1" t="s">
        <v>30</v>
      </c>
      <c r="H10" s="4">
        <v>0.17569444444444443</v>
      </c>
      <c r="I10" s="1" t="s">
        <v>108</v>
      </c>
      <c r="J10" s="1" t="s">
        <v>28</v>
      </c>
      <c r="K10" s="4">
        <v>0.43472222222222223</v>
      </c>
      <c r="L10" s="1" t="s">
        <v>65</v>
      </c>
      <c r="M10" s="1" t="s">
        <v>30</v>
      </c>
      <c r="N10" s="4">
        <v>0.6819444444444445</v>
      </c>
      <c r="O10" s="1" t="s">
        <v>31</v>
      </c>
      <c r="P10" s="1" t="s">
        <v>28</v>
      </c>
      <c r="Q10" s="4">
        <v>0.9305555555555556</v>
      </c>
      <c r="R10" s="1" t="s">
        <v>109</v>
      </c>
      <c r="S10" s="1">
        <f t="shared" si="1"/>
        <v>87</v>
      </c>
      <c r="T10" s="1">
        <f t="shared" si="2"/>
        <v>69</v>
      </c>
      <c r="U10" s="5">
        <f t="shared" si="3"/>
        <v>87</v>
      </c>
      <c r="V10" s="5" t="s">
        <v>39</v>
      </c>
      <c r="Z10" s="10" t="s">
        <v>60</v>
      </c>
      <c r="AA10" s="10" t="s">
        <v>60</v>
      </c>
      <c r="AB10" s="10" t="s">
        <v>60</v>
      </c>
      <c r="AC10" s="10" t="s">
        <v>60</v>
      </c>
      <c r="AD10" s="10" t="s">
        <v>60</v>
      </c>
      <c r="AE10" s="10" t="s">
        <v>60</v>
      </c>
      <c r="AF10" s="10" t="s">
        <v>60</v>
      </c>
    </row>
    <row r="11">
      <c r="A11" s="1" t="s">
        <v>24</v>
      </c>
      <c r="B11" s="1" t="s">
        <v>25</v>
      </c>
      <c r="C11" s="2">
        <v>10.0</v>
      </c>
      <c r="D11" s="1" t="s">
        <v>41</v>
      </c>
      <c r="E11" s="1" t="s">
        <v>42</v>
      </c>
      <c r="F11" s="3"/>
      <c r="G11" s="1" t="s">
        <v>30</v>
      </c>
      <c r="H11" s="4">
        <v>0.19930555555555557</v>
      </c>
      <c r="I11" s="1" t="s">
        <v>110</v>
      </c>
      <c r="J11" s="1" t="s">
        <v>28</v>
      </c>
      <c r="K11" s="4">
        <v>0.4652777777777778</v>
      </c>
      <c r="L11" s="1" t="s">
        <v>111</v>
      </c>
      <c r="M11" s="1" t="s">
        <v>30</v>
      </c>
      <c r="N11" s="4">
        <v>0.7256944444444444</v>
      </c>
      <c r="O11" s="1" t="s">
        <v>112</v>
      </c>
      <c r="P11" s="1" t="s">
        <v>28</v>
      </c>
      <c r="Q11" s="4">
        <v>0.9680555555555556</v>
      </c>
      <c r="R11" s="1" t="s">
        <v>113</v>
      </c>
      <c r="S11" s="1">
        <f t="shared" si="1"/>
        <v>75</v>
      </c>
      <c r="T11" s="1">
        <f t="shared" si="2"/>
        <v>49</v>
      </c>
      <c r="U11" s="5">
        <f t="shared" si="3"/>
        <v>75</v>
      </c>
      <c r="V11" s="5" t="s">
        <v>39</v>
      </c>
      <c r="Z11" s="6"/>
      <c r="AA11" s="6"/>
      <c r="AB11" s="6"/>
      <c r="AC11" s="6"/>
      <c r="AD11" s="6"/>
      <c r="AE11" s="6"/>
      <c r="AF11" s="6"/>
    </row>
    <row r="12">
      <c r="A12" s="1" t="s">
        <v>24</v>
      </c>
      <c r="B12" s="1" t="s">
        <v>25</v>
      </c>
      <c r="C12" s="2">
        <v>11.0</v>
      </c>
      <c r="D12" s="1" t="s">
        <v>55</v>
      </c>
      <c r="E12" s="1" t="s">
        <v>42</v>
      </c>
      <c r="F12" s="3"/>
      <c r="G12" s="1" t="s">
        <v>30</v>
      </c>
      <c r="H12" s="4">
        <v>0.22708333333333333</v>
      </c>
      <c r="I12" s="1" t="s">
        <v>114</v>
      </c>
      <c r="J12" s="1" t="s">
        <v>28</v>
      </c>
      <c r="K12" s="4">
        <v>0.5013888888888889</v>
      </c>
      <c r="L12" s="1" t="s">
        <v>57</v>
      </c>
      <c r="M12" s="1" t="s">
        <v>30</v>
      </c>
      <c r="N12" s="4">
        <v>0.7826388888888889</v>
      </c>
      <c r="O12" s="1" t="s">
        <v>115</v>
      </c>
      <c r="S12" s="1">
        <f t="shared" si="1"/>
        <v>64</v>
      </c>
      <c r="T12" s="1">
        <f t="shared" si="2"/>
        <v>45</v>
      </c>
      <c r="U12" s="5">
        <f t="shared" si="3"/>
        <v>64</v>
      </c>
      <c r="V12" s="5" t="s">
        <v>39</v>
      </c>
      <c r="Z12" s="6"/>
      <c r="AA12" s="6"/>
      <c r="AB12" s="6"/>
      <c r="AC12" s="6"/>
      <c r="AD12" s="6"/>
      <c r="AE12" s="6"/>
      <c r="AF12" s="6"/>
    </row>
    <row r="13">
      <c r="A13" s="1" t="s">
        <v>24</v>
      </c>
      <c r="B13" s="1" t="s">
        <v>25</v>
      </c>
      <c r="C13" s="2">
        <v>12.0</v>
      </c>
      <c r="D13" s="1" t="s">
        <v>25</v>
      </c>
      <c r="E13" s="6"/>
      <c r="F13" s="3"/>
      <c r="G13" s="1" t="s">
        <v>28</v>
      </c>
      <c r="H13" s="4">
        <v>0.021527777777777778</v>
      </c>
      <c r="I13" s="1" t="s">
        <v>116</v>
      </c>
      <c r="J13" s="1" t="s">
        <v>30</v>
      </c>
      <c r="K13" s="4">
        <v>0.2625</v>
      </c>
      <c r="L13" s="1" t="s">
        <v>117</v>
      </c>
      <c r="M13" s="1" t="s">
        <v>28</v>
      </c>
      <c r="N13" s="4">
        <v>0.5444444444444444</v>
      </c>
      <c r="O13" s="1" t="s">
        <v>111</v>
      </c>
      <c r="P13" s="1" t="s">
        <v>30</v>
      </c>
      <c r="Q13" s="4">
        <v>0.8513888888888889</v>
      </c>
      <c r="R13" s="1" t="s">
        <v>118</v>
      </c>
      <c r="S13" s="1">
        <f t="shared" si="1"/>
        <v>33</v>
      </c>
      <c r="T13" s="1">
        <f t="shared" si="2"/>
        <v>63</v>
      </c>
      <c r="U13" s="5">
        <f t="shared" si="3"/>
        <v>63</v>
      </c>
      <c r="V13" s="5" t="s">
        <v>39</v>
      </c>
    </row>
    <row r="14">
      <c r="A14" s="1" t="s">
        <v>24</v>
      </c>
      <c r="B14" s="1" t="s">
        <v>25</v>
      </c>
      <c r="C14" s="2">
        <v>13.0</v>
      </c>
      <c r="D14" s="1" t="s">
        <v>75</v>
      </c>
      <c r="E14" s="6"/>
      <c r="F14" s="3"/>
      <c r="G14" s="1" t="s">
        <v>28</v>
      </c>
      <c r="H14" s="4">
        <v>0.09652777777777778</v>
      </c>
      <c r="I14" s="1" t="s">
        <v>119</v>
      </c>
      <c r="J14" s="1" t="s">
        <v>30</v>
      </c>
      <c r="K14" s="4">
        <v>0.30833333333333335</v>
      </c>
      <c r="L14" s="1" t="s">
        <v>120</v>
      </c>
      <c r="M14" s="1" t="s">
        <v>28</v>
      </c>
      <c r="N14" s="4">
        <v>0.5909722222222222</v>
      </c>
      <c r="O14" s="1" t="s">
        <v>109</v>
      </c>
      <c r="P14" s="1" t="s">
        <v>30</v>
      </c>
      <c r="Q14" s="4">
        <v>0.9048611111111111</v>
      </c>
      <c r="R14" s="1" t="s">
        <v>99</v>
      </c>
      <c r="S14" s="1">
        <f t="shared" si="1"/>
        <v>23</v>
      </c>
      <c r="T14" s="1">
        <f t="shared" si="2"/>
        <v>75</v>
      </c>
      <c r="U14" s="5">
        <f t="shared" si="3"/>
        <v>75</v>
      </c>
      <c r="V14" s="5" t="s">
        <v>39</v>
      </c>
      <c r="Z14" s="6"/>
      <c r="AA14" s="6"/>
      <c r="AB14" s="6"/>
      <c r="AC14" s="6"/>
      <c r="AD14" s="6"/>
      <c r="AE14" s="6"/>
      <c r="AF14" s="6"/>
    </row>
    <row r="15">
      <c r="A15" s="1" t="s">
        <v>24</v>
      </c>
      <c r="B15" s="1" t="s">
        <v>25</v>
      </c>
      <c r="C15" s="2">
        <v>14.0</v>
      </c>
      <c r="D15" s="1" t="s">
        <v>86</v>
      </c>
      <c r="E15" s="6"/>
      <c r="F15" s="3"/>
      <c r="G15" s="1" t="s">
        <v>28</v>
      </c>
      <c r="H15" s="4">
        <v>0.16041666666666668</v>
      </c>
      <c r="I15" s="1" t="s">
        <v>121</v>
      </c>
      <c r="J15" s="1" t="s">
        <v>30</v>
      </c>
      <c r="K15" s="4">
        <v>0.35694444444444445</v>
      </c>
      <c r="L15" s="1" t="s">
        <v>122</v>
      </c>
      <c r="M15" s="1" t="s">
        <v>28</v>
      </c>
      <c r="N15" s="4">
        <v>0.6340277777777777</v>
      </c>
      <c r="O15" s="1" t="s">
        <v>123</v>
      </c>
      <c r="P15" s="1" t="s">
        <v>30</v>
      </c>
      <c r="Q15" s="4">
        <v>0.9409722222222222</v>
      </c>
      <c r="R15" s="1" t="s">
        <v>124</v>
      </c>
      <c r="S15" s="1">
        <f t="shared" si="1"/>
        <v>23</v>
      </c>
      <c r="T15" s="1">
        <f t="shared" si="2"/>
        <v>92</v>
      </c>
      <c r="U15" s="5">
        <f t="shared" si="3"/>
        <v>92</v>
      </c>
      <c r="V15" s="5" t="s">
        <v>90</v>
      </c>
      <c r="Z15" s="8" t="s">
        <v>125</v>
      </c>
    </row>
    <row r="16">
      <c r="A16" s="1" t="s">
        <v>24</v>
      </c>
      <c r="B16" s="1" t="s">
        <v>25</v>
      </c>
      <c r="C16" s="2">
        <v>15.0</v>
      </c>
      <c r="D16" s="1" t="s">
        <v>26</v>
      </c>
      <c r="E16" s="6"/>
      <c r="F16" s="3"/>
      <c r="G16" s="1" t="s">
        <v>28</v>
      </c>
      <c r="H16" s="4">
        <v>0.20069444444444445</v>
      </c>
      <c r="I16" s="1" t="s">
        <v>126</v>
      </c>
      <c r="J16" s="1" t="s">
        <v>30</v>
      </c>
      <c r="K16" s="4">
        <v>0.3993055555555556</v>
      </c>
      <c r="L16" s="1" t="s">
        <v>127</v>
      </c>
      <c r="M16" s="1" t="s">
        <v>28</v>
      </c>
      <c r="N16" s="4">
        <v>0.6694444444444444</v>
      </c>
      <c r="O16" s="1" t="s">
        <v>128</v>
      </c>
      <c r="P16" s="1" t="s">
        <v>30</v>
      </c>
      <c r="Q16" s="4">
        <v>0.96875</v>
      </c>
      <c r="R16" s="1" t="s">
        <v>129</v>
      </c>
      <c r="S16" s="1">
        <f t="shared" si="1"/>
        <v>32</v>
      </c>
      <c r="T16" s="1">
        <f t="shared" si="2"/>
        <v>109</v>
      </c>
      <c r="U16" s="5">
        <f t="shared" si="3"/>
        <v>109</v>
      </c>
      <c r="V16" s="5" t="s">
        <v>90</v>
      </c>
      <c r="Z16" s="9" t="s">
        <v>48</v>
      </c>
      <c r="AA16" s="9" t="s">
        <v>49</v>
      </c>
      <c r="AB16" s="9" t="s">
        <v>50</v>
      </c>
      <c r="AC16" s="9" t="s">
        <v>51</v>
      </c>
      <c r="AD16" s="9" t="s">
        <v>52</v>
      </c>
      <c r="AE16" s="9" t="s">
        <v>53</v>
      </c>
      <c r="AF16" s="9" t="s">
        <v>54</v>
      </c>
    </row>
    <row r="17">
      <c r="A17" s="1" t="s">
        <v>24</v>
      </c>
      <c r="B17" s="1" t="s">
        <v>25</v>
      </c>
      <c r="C17" s="2">
        <v>16.0</v>
      </c>
      <c r="D17" s="1" t="s">
        <v>34</v>
      </c>
      <c r="E17" s="6"/>
      <c r="F17" s="3"/>
      <c r="G17" s="1" t="s">
        <v>28</v>
      </c>
      <c r="H17" s="4">
        <v>0.22847222222222222</v>
      </c>
      <c r="I17" s="1" t="s">
        <v>130</v>
      </c>
      <c r="J17" s="1" t="s">
        <v>30</v>
      </c>
      <c r="K17" s="4">
        <v>0.4340277777777778</v>
      </c>
      <c r="L17" s="1" t="s">
        <v>117</v>
      </c>
      <c r="M17" s="1" t="s">
        <v>28</v>
      </c>
      <c r="N17" s="4">
        <v>0.6993055555555555</v>
      </c>
      <c r="O17" s="1" t="s">
        <v>131</v>
      </c>
      <c r="P17" s="1" t="s">
        <v>30</v>
      </c>
      <c r="Q17" s="4">
        <v>0.9930555555555556</v>
      </c>
      <c r="R17" s="1" t="s">
        <v>132</v>
      </c>
      <c r="S17" s="1">
        <f t="shared" si="1"/>
        <v>42</v>
      </c>
      <c r="T17" s="1">
        <f t="shared" si="2"/>
        <v>126</v>
      </c>
      <c r="U17" s="5">
        <f t="shared" si="3"/>
        <v>126</v>
      </c>
      <c r="V17" s="5" t="s">
        <v>47</v>
      </c>
      <c r="Z17" s="10" t="s">
        <v>60</v>
      </c>
      <c r="AA17" s="10" t="s">
        <v>60</v>
      </c>
      <c r="AB17" s="10" t="s">
        <v>60</v>
      </c>
      <c r="AC17" s="10" t="s">
        <v>60</v>
      </c>
      <c r="AD17" s="10" t="s">
        <v>60</v>
      </c>
      <c r="AE17" s="10" t="s">
        <v>60</v>
      </c>
      <c r="AF17" s="11" t="s">
        <v>133</v>
      </c>
    </row>
    <row r="18">
      <c r="A18" s="1" t="s">
        <v>24</v>
      </c>
      <c r="B18" s="1" t="s">
        <v>25</v>
      </c>
      <c r="C18" s="2">
        <v>17.0</v>
      </c>
      <c r="D18" s="1" t="s">
        <v>41</v>
      </c>
      <c r="E18" s="1" t="s">
        <v>42</v>
      </c>
      <c r="F18" s="3"/>
      <c r="G18" s="1" t="s">
        <v>28</v>
      </c>
      <c r="H18" s="4">
        <v>0.2520833333333333</v>
      </c>
      <c r="I18" s="1" t="s">
        <v>29</v>
      </c>
      <c r="J18" s="1" t="s">
        <v>30</v>
      </c>
      <c r="K18" s="4">
        <v>0.46319444444444446</v>
      </c>
      <c r="L18" s="1" t="s">
        <v>134</v>
      </c>
      <c r="M18" s="1" t="s">
        <v>28</v>
      </c>
      <c r="N18" s="4">
        <v>0.725</v>
      </c>
      <c r="O18" s="1" t="s">
        <v>135</v>
      </c>
      <c r="S18" s="1">
        <f t="shared" si="1"/>
        <v>53</v>
      </c>
      <c r="T18" s="1">
        <f t="shared" si="2"/>
        <v>48</v>
      </c>
      <c r="U18" s="5">
        <f t="shared" si="3"/>
        <v>53</v>
      </c>
      <c r="V18" s="5" t="s">
        <v>39</v>
      </c>
      <c r="Z18" s="10" t="s">
        <v>136</v>
      </c>
      <c r="AA18" s="10" t="s">
        <v>137</v>
      </c>
      <c r="AB18" s="10" t="s">
        <v>138</v>
      </c>
      <c r="AC18" s="10" t="s">
        <v>139</v>
      </c>
      <c r="AD18" s="10" t="s">
        <v>140</v>
      </c>
      <c r="AE18" s="11" t="s">
        <v>141</v>
      </c>
      <c r="AF18" s="11" t="s">
        <v>142</v>
      </c>
    </row>
    <row r="19">
      <c r="A19" s="1" t="s">
        <v>24</v>
      </c>
      <c r="B19" s="1" t="s">
        <v>25</v>
      </c>
      <c r="C19" s="2">
        <v>18.0</v>
      </c>
      <c r="D19" s="1" t="s">
        <v>55</v>
      </c>
      <c r="E19" s="1" t="s">
        <v>42</v>
      </c>
      <c r="F19" s="7" t="s">
        <v>143</v>
      </c>
      <c r="G19" s="1" t="s">
        <v>30</v>
      </c>
      <c r="H19" s="4">
        <v>0.01597222222222222</v>
      </c>
      <c r="I19" s="1" t="s">
        <v>144</v>
      </c>
      <c r="J19" s="1" t="s">
        <v>28</v>
      </c>
      <c r="K19" s="4">
        <v>0.27361111111111114</v>
      </c>
      <c r="L19" s="1" t="s">
        <v>145</v>
      </c>
      <c r="M19" s="1" t="s">
        <v>30</v>
      </c>
      <c r="N19" s="4">
        <v>0.4895833333333333</v>
      </c>
      <c r="O19" s="1" t="s">
        <v>146</v>
      </c>
      <c r="P19" s="1" t="s">
        <v>28</v>
      </c>
      <c r="Q19" s="4">
        <v>0.75</v>
      </c>
      <c r="R19" s="1" t="s">
        <v>147</v>
      </c>
      <c r="S19" s="1">
        <f t="shared" si="1"/>
        <v>100</v>
      </c>
      <c r="T19" s="1">
        <f t="shared" si="2"/>
        <v>111</v>
      </c>
      <c r="U19" s="5">
        <f t="shared" si="3"/>
        <v>111</v>
      </c>
      <c r="V19" s="5" t="s">
        <v>90</v>
      </c>
      <c r="Z19" s="10" t="s">
        <v>148</v>
      </c>
      <c r="AA19" s="10" t="s">
        <v>149</v>
      </c>
      <c r="AB19" s="10" t="s">
        <v>150</v>
      </c>
      <c r="AC19" s="10" t="s">
        <v>79</v>
      </c>
      <c r="AD19" s="10" t="s">
        <v>151</v>
      </c>
      <c r="AE19" s="11" t="s">
        <v>152</v>
      </c>
      <c r="AF19" s="11" t="s">
        <v>153</v>
      </c>
    </row>
    <row r="20">
      <c r="A20" s="1" t="s">
        <v>154</v>
      </c>
      <c r="B20" s="1" t="s">
        <v>155</v>
      </c>
      <c r="C20" s="2">
        <v>19.0</v>
      </c>
      <c r="D20" s="1" t="s">
        <v>25</v>
      </c>
      <c r="E20" s="6"/>
      <c r="F20" s="3"/>
      <c r="G20" s="1" t="s">
        <v>30</v>
      </c>
      <c r="H20" s="4">
        <v>0.03819444444444445</v>
      </c>
      <c r="I20" s="1" t="s">
        <v>156</v>
      </c>
      <c r="J20" s="1" t="s">
        <v>28</v>
      </c>
      <c r="K20" s="4">
        <v>0.29444444444444445</v>
      </c>
      <c r="L20" s="1" t="s">
        <v>157</v>
      </c>
      <c r="M20" s="1" t="s">
        <v>30</v>
      </c>
      <c r="N20" s="4">
        <v>0.5152777777777777</v>
      </c>
      <c r="O20" s="1" t="s">
        <v>110</v>
      </c>
      <c r="P20" s="1" t="s">
        <v>28</v>
      </c>
      <c r="Q20" s="4">
        <v>0.7736111111111111</v>
      </c>
      <c r="R20" s="1" t="s">
        <v>158</v>
      </c>
      <c r="S20" s="1">
        <f t="shared" si="1"/>
        <v>108</v>
      </c>
      <c r="T20" s="1">
        <f t="shared" si="2"/>
        <v>122</v>
      </c>
      <c r="U20" s="5">
        <f t="shared" si="3"/>
        <v>122</v>
      </c>
      <c r="V20" s="5" t="s">
        <v>90</v>
      </c>
      <c r="Z20" s="10" t="s">
        <v>159</v>
      </c>
      <c r="AA20" s="10" t="s">
        <v>160</v>
      </c>
      <c r="AB20" s="10" t="s">
        <v>161</v>
      </c>
      <c r="AC20" s="10" t="s">
        <v>162</v>
      </c>
      <c r="AD20" s="10" t="s">
        <v>163</v>
      </c>
      <c r="AE20" s="11" t="s">
        <v>164</v>
      </c>
      <c r="AF20" s="11" t="s">
        <v>165</v>
      </c>
    </row>
    <row r="21">
      <c r="A21" s="1" t="s">
        <v>154</v>
      </c>
      <c r="B21" s="1" t="s">
        <v>155</v>
      </c>
      <c r="C21" s="2">
        <v>20.0</v>
      </c>
      <c r="D21" s="1" t="s">
        <v>75</v>
      </c>
      <c r="E21" s="6"/>
      <c r="F21" s="3"/>
      <c r="G21" s="1" t="s">
        <v>30</v>
      </c>
      <c r="H21" s="4">
        <v>0.059722222222222225</v>
      </c>
      <c r="I21" s="1" t="s">
        <v>166</v>
      </c>
      <c r="J21" s="1" t="s">
        <v>28</v>
      </c>
      <c r="K21" s="4">
        <v>0.31527777777777777</v>
      </c>
      <c r="L21" s="1" t="s">
        <v>109</v>
      </c>
      <c r="M21" s="1" t="s">
        <v>30</v>
      </c>
      <c r="N21" s="4">
        <v>0.5409722222222222</v>
      </c>
      <c r="O21" s="1" t="s">
        <v>66</v>
      </c>
      <c r="P21" s="1" t="s">
        <v>28</v>
      </c>
      <c r="Q21" s="4">
        <v>0.7979166666666667</v>
      </c>
      <c r="R21" s="1" t="s">
        <v>167</v>
      </c>
      <c r="S21" s="1">
        <f t="shared" si="1"/>
        <v>115</v>
      </c>
      <c r="T21" s="1">
        <f t="shared" si="2"/>
        <v>128</v>
      </c>
      <c r="U21" s="5">
        <f t="shared" si="3"/>
        <v>128</v>
      </c>
      <c r="V21" s="5" t="s">
        <v>47</v>
      </c>
      <c r="Z21" s="10" t="s">
        <v>95</v>
      </c>
      <c r="AA21" s="10" t="s">
        <v>168</v>
      </c>
      <c r="AB21" s="10" t="s">
        <v>169</v>
      </c>
      <c r="AC21" s="10" t="s">
        <v>170</v>
      </c>
      <c r="AD21" s="10" t="s">
        <v>171</v>
      </c>
      <c r="AE21" s="11" t="s">
        <v>172</v>
      </c>
      <c r="AF21" s="10" t="s">
        <v>60</v>
      </c>
    </row>
    <row r="22">
      <c r="A22" s="1" t="s">
        <v>154</v>
      </c>
      <c r="B22" s="1" t="s">
        <v>155</v>
      </c>
      <c r="C22" s="2">
        <v>21.0</v>
      </c>
      <c r="D22" s="1" t="s">
        <v>86</v>
      </c>
      <c r="E22" s="6"/>
      <c r="F22" s="3"/>
      <c r="G22" s="1" t="s">
        <v>30</v>
      </c>
      <c r="H22" s="4">
        <v>0.08125</v>
      </c>
      <c r="I22" s="1" t="s">
        <v>87</v>
      </c>
      <c r="J22" s="1" t="s">
        <v>28</v>
      </c>
      <c r="K22" s="4">
        <v>0.33541666666666664</v>
      </c>
      <c r="L22" s="1" t="s">
        <v>173</v>
      </c>
      <c r="M22" s="1" t="s">
        <v>30</v>
      </c>
      <c r="N22" s="4">
        <v>0.5673611111111111</v>
      </c>
      <c r="O22" s="1" t="s">
        <v>174</v>
      </c>
      <c r="P22" s="1" t="s">
        <v>28</v>
      </c>
      <c r="Q22" s="4">
        <v>0.8222222222222222</v>
      </c>
      <c r="R22" s="1" t="s">
        <v>158</v>
      </c>
      <c r="S22" s="1">
        <f t="shared" si="1"/>
        <v>118</v>
      </c>
      <c r="T22" s="1">
        <f t="shared" si="2"/>
        <v>129</v>
      </c>
      <c r="U22" s="5">
        <f t="shared" si="3"/>
        <v>129</v>
      </c>
      <c r="V22" s="5" t="s">
        <v>47</v>
      </c>
      <c r="Z22" s="10" t="s">
        <v>60</v>
      </c>
      <c r="AA22" s="10" t="s">
        <v>60</v>
      </c>
      <c r="AB22" s="10" t="s">
        <v>60</v>
      </c>
      <c r="AC22" s="10" t="s">
        <v>60</v>
      </c>
      <c r="AD22" s="10" t="s">
        <v>60</v>
      </c>
      <c r="AE22" s="10" t="s">
        <v>60</v>
      </c>
      <c r="AF22" s="10" t="s">
        <v>60</v>
      </c>
    </row>
    <row r="23">
      <c r="A23" s="1" t="s">
        <v>154</v>
      </c>
      <c r="B23" s="1" t="s">
        <v>155</v>
      </c>
      <c r="C23" s="2">
        <v>22.0</v>
      </c>
      <c r="D23" s="1" t="s">
        <v>26</v>
      </c>
      <c r="E23" s="6"/>
      <c r="F23" s="3"/>
      <c r="G23" s="1" t="s">
        <v>30</v>
      </c>
      <c r="H23" s="4">
        <v>0.10208333333333333</v>
      </c>
      <c r="I23" s="1" t="s">
        <v>175</v>
      </c>
      <c r="J23" s="1" t="s">
        <v>28</v>
      </c>
      <c r="K23" s="4">
        <v>0.35694444444444445</v>
      </c>
      <c r="L23" s="1" t="s">
        <v>176</v>
      </c>
      <c r="M23" s="1" t="s">
        <v>30</v>
      </c>
      <c r="N23" s="4">
        <v>0.5951388888888889</v>
      </c>
      <c r="O23" s="1" t="s">
        <v>124</v>
      </c>
      <c r="P23" s="1" t="s">
        <v>28</v>
      </c>
      <c r="Q23" s="4">
        <v>0.8479166666666667</v>
      </c>
      <c r="R23" s="1" t="s">
        <v>147</v>
      </c>
      <c r="S23" s="1">
        <f t="shared" si="1"/>
        <v>118</v>
      </c>
      <c r="T23" s="1">
        <f t="shared" si="2"/>
        <v>124</v>
      </c>
      <c r="U23" s="5">
        <f t="shared" si="3"/>
        <v>124</v>
      </c>
      <c r="V23" s="5" t="s">
        <v>47</v>
      </c>
      <c r="Z23" s="6"/>
      <c r="AA23" s="6"/>
      <c r="AB23" s="6"/>
      <c r="AC23" s="6"/>
      <c r="AD23" s="6"/>
      <c r="AE23" s="6"/>
      <c r="AF23" s="6"/>
    </row>
    <row r="24">
      <c r="A24" s="1" t="s">
        <v>154</v>
      </c>
      <c r="B24" s="1" t="s">
        <v>155</v>
      </c>
      <c r="C24" s="2">
        <v>23.0</v>
      </c>
      <c r="D24" s="1" t="s">
        <v>34</v>
      </c>
      <c r="E24" s="6"/>
      <c r="F24" s="3"/>
      <c r="G24" s="1" t="s">
        <v>30</v>
      </c>
      <c r="H24" s="4">
        <v>0.12361111111111112</v>
      </c>
      <c r="I24" s="1" t="s">
        <v>177</v>
      </c>
      <c r="J24" s="1" t="s">
        <v>28</v>
      </c>
      <c r="K24" s="4">
        <v>0.3798611111111111</v>
      </c>
      <c r="L24" s="1" t="s">
        <v>178</v>
      </c>
      <c r="M24" s="1" t="s">
        <v>30</v>
      </c>
      <c r="N24" s="4">
        <v>0.6243055555555556</v>
      </c>
      <c r="O24" s="1" t="s">
        <v>174</v>
      </c>
      <c r="P24" s="1" t="s">
        <v>28</v>
      </c>
      <c r="Q24" s="4">
        <v>0.8756944444444444</v>
      </c>
      <c r="R24" s="1" t="s">
        <v>179</v>
      </c>
      <c r="S24" s="1">
        <f t="shared" si="1"/>
        <v>115</v>
      </c>
      <c r="T24" s="1">
        <f t="shared" si="2"/>
        <v>113</v>
      </c>
      <c r="U24" s="5">
        <f t="shared" si="3"/>
        <v>115</v>
      </c>
      <c r="V24" s="5" t="s">
        <v>90</v>
      </c>
      <c r="Z24" s="6"/>
      <c r="AA24" s="6"/>
      <c r="AB24" s="6"/>
      <c r="AC24" s="6"/>
      <c r="AD24" s="6"/>
      <c r="AE24" s="6"/>
      <c r="AF24" s="6"/>
    </row>
    <row r="25">
      <c r="A25" s="1" t="s">
        <v>154</v>
      </c>
      <c r="B25" s="1" t="s">
        <v>155</v>
      </c>
      <c r="C25" s="2">
        <v>24.0</v>
      </c>
      <c r="D25" s="1" t="s">
        <v>41</v>
      </c>
      <c r="E25" s="1" t="s">
        <v>42</v>
      </c>
      <c r="F25" s="3"/>
      <c r="G25" s="1" t="s">
        <v>30</v>
      </c>
      <c r="H25" s="4">
        <v>0.14583333333333334</v>
      </c>
      <c r="I25" s="1" t="s">
        <v>180</v>
      </c>
      <c r="J25" s="1" t="s">
        <v>28</v>
      </c>
      <c r="K25" s="4">
        <v>0.4041666666666667</v>
      </c>
      <c r="L25" s="1" t="s">
        <v>181</v>
      </c>
      <c r="M25" s="1" t="s">
        <v>30</v>
      </c>
      <c r="N25" s="4">
        <v>0.6576388888888889</v>
      </c>
      <c r="O25" s="1" t="s">
        <v>182</v>
      </c>
      <c r="P25" s="1" t="s">
        <v>28</v>
      </c>
      <c r="Q25" s="4">
        <v>0.90625</v>
      </c>
      <c r="R25" s="1" t="s">
        <v>183</v>
      </c>
      <c r="S25" s="1">
        <f t="shared" si="1"/>
        <v>109</v>
      </c>
      <c r="T25" s="1">
        <f t="shared" si="2"/>
        <v>98</v>
      </c>
      <c r="U25" s="5">
        <f t="shared" si="3"/>
        <v>109</v>
      </c>
      <c r="V25" s="5" t="s">
        <v>90</v>
      </c>
    </row>
    <row r="26">
      <c r="A26" s="1" t="s">
        <v>154</v>
      </c>
      <c r="B26" s="1" t="s">
        <v>155</v>
      </c>
      <c r="C26" s="2">
        <v>25.0</v>
      </c>
      <c r="D26" s="1" t="s">
        <v>55</v>
      </c>
      <c r="E26" s="1" t="s">
        <v>42</v>
      </c>
      <c r="F26" s="7" t="s">
        <v>184</v>
      </c>
      <c r="G26" s="1" t="s">
        <v>30</v>
      </c>
      <c r="H26" s="4">
        <v>0.16875</v>
      </c>
      <c r="I26" s="1" t="s">
        <v>185</v>
      </c>
      <c r="J26" s="1" t="s">
        <v>28</v>
      </c>
      <c r="K26" s="4">
        <v>0.4326388888888889</v>
      </c>
      <c r="L26" s="1" t="s">
        <v>181</v>
      </c>
      <c r="M26" s="1" t="s">
        <v>30</v>
      </c>
      <c r="N26" s="4">
        <v>0.6965277777777777</v>
      </c>
      <c r="O26" s="1" t="s">
        <v>58</v>
      </c>
      <c r="P26" s="1" t="s">
        <v>28</v>
      </c>
      <c r="Q26" s="4">
        <v>0.9423611111111111</v>
      </c>
      <c r="R26" s="1" t="s">
        <v>77</v>
      </c>
      <c r="S26" s="1">
        <f t="shared" si="1"/>
        <v>99</v>
      </c>
      <c r="T26" s="1">
        <f t="shared" si="2"/>
        <v>79</v>
      </c>
      <c r="U26" s="5">
        <f t="shared" si="3"/>
        <v>99</v>
      </c>
      <c r="V26" s="5" t="s">
        <v>90</v>
      </c>
      <c r="Z26" s="6"/>
      <c r="AA26" s="6"/>
      <c r="AB26" s="6"/>
      <c r="AC26" s="6"/>
      <c r="AD26" s="6"/>
      <c r="AE26" s="6"/>
      <c r="AF26" s="6"/>
    </row>
    <row r="27">
      <c r="A27" s="1" t="s">
        <v>154</v>
      </c>
      <c r="B27" s="1" t="s">
        <v>155</v>
      </c>
      <c r="C27" s="2">
        <v>26.0</v>
      </c>
      <c r="D27" s="1" t="s">
        <v>25</v>
      </c>
      <c r="E27" s="6"/>
      <c r="F27" s="3"/>
      <c r="G27" s="1" t="s">
        <v>30</v>
      </c>
      <c r="H27" s="4">
        <v>0.19583333333333333</v>
      </c>
      <c r="I27" s="1" t="s">
        <v>186</v>
      </c>
      <c r="J27" s="1" t="s">
        <v>28</v>
      </c>
      <c r="K27" s="4">
        <v>0.4666666666666667</v>
      </c>
      <c r="L27" s="1" t="s">
        <v>181</v>
      </c>
      <c r="M27" s="1" t="s">
        <v>30</v>
      </c>
      <c r="N27" s="4">
        <v>0.7465277777777778</v>
      </c>
      <c r="O27" s="1" t="s">
        <v>186</v>
      </c>
      <c r="P27" s="1" t="s">
        <v>28</v>
      </c>
      <c r="Q27" s="4">
        <v>0.9888888888888889</v>
      </c>
      <c r="R27" s="1" t="s">
        <v>187</v>
      </c>
      <c r="S27" s="1">
        <f t="shared" si="1"/>
        <v>88</v>
      </c>
      <c r="T27" s="1">
        <f t="shared" si="2"/>
        <v>60</v>
      </c>
      <c r="U27" s="5">
        <f t="shared" si="3"/>
        <v>88</v>
      </c>
      <c r="V27" s="5" t="s">
        <v>39</v>
      </c>
      <c r="Z27" s="8" t="s">
        <v>188</v>
      </c>
    </row>
    <row r="28">
      <c r="A28" s="1" t="s">
        <v>154</v>
      </c>
      <c r="B28" s="1" t="s">
        <v>155</v>
      </c>
      <c r="C28" s="2">
        <v>27.0</v>
      </c>
      <c r="D28" s="1" t="s">
        <v>75</v>
      </c>
      <c r="E28" s="6"/>
      <c r="F28" s="3"/>
      <c r="G28" s="1" t="s">
        <v>30</v>
      </c>
      <c r="H28" s="4">
        <v>0.2298611111111111</v>
      </c>
      <c r="I28" s="1" t="s">
        <v>118</v>
      </c>
      <c r="J28" s="1" t="s">
        <v>28</v>
      </c>
      <c r="K28" s="4">
        <v>0.5104166666666666</v>
      </c>
      <c r="L28" s="1" t="s">
        <v>189</v>
      </c>
      <c r="M28" s="1" t="s">
        <v>30</v>
      </c>
      <c r="N28" s="4">
        <v>0.8131944444444444</v>
      </c>
      <c r="O28" s="1" t="s">
        <v>88</v>
      </c>
      <c r="S28" s="1">
        <f t="shared" si="1"/>
        <v>76</v>
      </c>
      <c r="T28" s="1">
        <f t="shared" si="2"/>
        <v>62</v>
      </c>
      <c r="U28" s="5">
        <f t="shared" si="3"/>
        <v>76</v>
      </c>
      <c r="V28" s="5" t="s">
        <v>39</v>
      </c>
      <c r="Z28" s="9" t="s">
        <v>48</v>
      </c>
      <c r="AA28" s="9" t="s">
        <v>49</v>
      </c>
      <c r="AB28" s="9" t="s">
        <v>50</v>
      </c>
      <c r="AC28" s="9" t="s">
        <v>51</v>
      </c>
      <c r="AD28" s="9" t="s">
        <v>52</v>
      </c>
      <c r="AE28" s="9" t="s">
        <v>53</v>
      </c>
      <c r="AF28" s="9" t="s">
        <v>54</v>
      </c>
    </row>
    <row r="29">
      <c r="A29" s="1" t="s">
        <v>154</v>
      </c>
      <c r="B29" s="1" t="s">
        <v>155</v>
      </c>
      <c r="C29" s="2">
        <v>28.0</v>
      </c>
      <c r="D29" s="1" t="s">
        <v>86</v>
      </c>
      <c r="E29" s="6"/>
      <c r="F29" s="3"/>
      <c r="G29" s="1" t="s">
        <v>28</v>
      </c>
      <c r="H29" s="4">
        <v>0.06388888888888888</v>
      </c>
      <c r="I29" s="1" t="s">
        <v>116</v>
      </c>
      <c r="J29" s="1" t="s">
        <v>30</v>
      </c>
      <c r="K29" s="4">
        <v>0.27847222222222223</v>
      </c>
      <c r="L29" s="1" t="s">
        <v>127</v>
      </c>
      <c r="M29" s="1" t="s">
        <v>28</v>
      </c>
      <c r="N29" s="4">
        <v>0.5673611111111111</v>
      </c>
      <c r="O29" s="1" t="s">
        <v>190</v>
      </c>
      <c r="P29" s="1" t="s">
        <v>30</v>
      </c>
      <c r="Q29" s="4">
        <v>0.8833333333333333</v>
      </c>
      <c r="R29" s="1" t="s">
        <v>185</v>
      </c>
      <c r="S29" s="1">
        <f t="shared" si="1"/>
        <v>29</v>
      </c>
      <c r="T29" s="1">
        <f t="shared" si="2"/>
        <v>101</v>
      </c>
      <c r="U29" s="5">
        <f t="shared" si="3"/>
        <v>101</v>
      </c>
      <c r="V29" s="5" t="s">
        <v>90</v>
      </c>
      <c r="Z29" s="10" t="s">
        <v>60</v>
      </c>
      <c r="AA29" s="10" t="s">
        <v>60</v>
      </c>
      <c r="AB29" s="10" t="s">
        <v>60</v>
      </c>
      <c r="AC29" s="10" t="s">
        <v>60</v>
      </c>
      <c r="AD29" s="10" t="s">
        <v>60</v>
      </c>
      <c r="AE29" s="10" t="s">
        <v>60</v>
      </c>
      <c r="AF29" s="11" t="s">
        <v>133</v>
      </c>
    </row>
    <row r="30">
      <c r="A30" s="1" t="s">
        <v>154</v>
      </c>
      <c r="B30" s="1" t="s">
        <v>155</v>
      </c>
      <c r="C30" s="2">
        <v>29.0</v>
      </c>
      <c r="D30" s="1" t="s">
        <v>26</v>
      </c>
      <c r="E30" s="6"/>
      <c r="F30" s="3"/>
      <c r="G30" s="1" t="s">
        <v>28</v>
      </c>
      <c r="H30" s="4">
        <v>0.14791666666666667</v>
      </c>
      <c r="I30" s="1" t="s">
        <v>116</v>
      </c>
      <c r="J30" s="1" t="s">
        <v>30</v>
      </c>
      <c r="K30" s="4">
        <v>0.34375</v>
      </c>
      <c r="L30" s="1" t="s">
        <v>191</v>
      </c>
      <c r="M30" s="1" t="s">
        <v>28</v>
      </c>
      <c r="N30" s="4">
        <v>0.6270833333333333</v>
      </c>
      <c r="O30" s="1" t="s">
        <v>192</v>
      </c>
      <c r="P30" s="1" t="s">
        <v>30</v>
      </c>
      <c r="Q30" s="4">
        <v>0.9361111111111111</v>
      </c>
      <c r="R30" s="1" t="s">
        <v>98</v>
      </c>
      <c r="S30" s="1">
        <f t="shared" si="1"/>
        <v>25</v>
      </c>
      <c r="T30" s="1">
        <f t="shared" si="2"/>
        <v>123</v>
      </c>
      <c r="U30" s="5">
        <f t="shared" si="3"/>
        <v>123</v>
      </c>
      <c r="V30" s="5" t="s">
        <v>90</v>
      </c>
      <c r="Z30" s="10" t="s">
        <v>62</v>
      </c>
      <c r="AA30" s="10" t="s">
        <v>193</v>
      </c>
      <c r="AB30" s="10" t="s">
        <v>138</v>
      </c>
      <c r="AC30" s="10" t="s">
        <v>68</v>
      </c>
      <c r="AD30" s="10" t="s">
        <v>69</v>
      </c>
      <c r="AE30" s="11" t="s">
        <v>141</v>
      </c>
      <c r="AF30" s="11" t="s">
        <v>194</v>
      </c>
    </row>
    <row r="31">
      <c r="A31" s="1" t="s">
        <v>154</v>
      </c>
      <c r="B31" s="1" t="s">
        <v>155</v>
      </c>
      <c r="C31" s="2">
        <v>30.0</v>
      </c>
      <c r="D31" s="1" t="s">
        <v>34</v>
      </c>
      <c r="E31" s="6"/>
      <c r="F31" s="3"/>
      <c r="G31" s="1" t="s">
        <v>28</v>
      </c>
      <c r="H31" s="4">
        <v>0.2</v>
      </c>
      <c r="I31" s="1" t="s">
        <v>130</v>
      </c>
      <c r="J31" s="1" t="s">
        <v>30</v>
      </c>
      <c r="K31" s="4">
        <v>0.4027777777777778</v>
      </c>
      <c r="L31" s="1" t="s">
        <v>127</v>
      </c>
      <c r="M31" s="1" t="s">
        <v>28</v>
      </c>
      <c r="N31" s="4">
        <v>0.675</v>
      </c>
      <c r="O31" s="1" t="s">
        <v>195</v>
      </c>
      <c r="P31" s="1" t="s">
        <v>30</v>
      </c>
      <c r="Q31" s="4">
        <v>0.9756944444444444</v>
      </c>
      <c r="R31" s="1" t="s">
        <v>87</v>
      </c>
      <c r="S31" s="1">
        <f t="shared" si="1"/>
        <v>38</v>
      </c>
      <c r="T31" s="1">
        <f t="shared" si="2"/>
        <v>149</v>
      </c>
      <c r="U31" s="5">
        <f t="shared" si="3"/>
        <v>149</v>
      </c>
      <c r="V31" s="5" t="s">
        <v>47</v>
      </c>
      <c r="Z31" s="10" t="s">
        <v>196</v>
      </c>
      <c r="AA31" s="10" t="s">
        <v>149</v>
      </c>
      <c r="AB31" s="10" t="s">
        <v>197</v>
      </c>
      <c r="AC31" s="10" t="s">
        <v>79</v>
      </c>
      <c r="AD31" s="10" t="s">
        <v>80</v>
      </c>
      <c r="AE31" s="11" t="s">
        <v>198</v>
      </c>
      <c r="AF31" s="11" t="s">
        <v>199</v>
      </c>
    </row>
    <row r="32">
      <c r="A32" s="1" t="s">
        <v>154</v>
      </c>
      <c r="B32" s="1" t="s">
        <v>155</v>
      </c>
      <c r="C32" s="2">
        <v>31.0</v>
      </c>
      <c r="D32" s="1" t="s">
        <v>41</v>
      </c>
      <c r="E32" s="1" t="s">
        <v>42</v>
      </c>
      <c r="F32" s="3"/>
      <c r="G32" s="1" t="s">
        <v>28</v>
      </c>
      <c r="H32" s="4">
        <v>0.23402777777777778</v>
      </c>
      <c r="I32" s="1" t="s">
        <v>36</v>
      </c>
      <c r="J32" s="1" t="s">
        <v>30</v>
      </c>
      <c r="K32" s="4">
        <v>0.4479166666666667</v>
      </c>
      <c r="L32" s="1" t="s">
        <v>200</v>
      </c>
      <c r="M32" s="1" t="s">
        <v>28</v>
      </c>
      <c r="N32" s="4">
        <v>0.7131944444444445</v>
      </c>
      <c r="O32" s="1" t="s">
        <v>38</v>
      </c>
      <c r="S32" s="1">
        <f t="shared" si="1"/>
        <v>55</v>
      </c>
      <c r="T32" s="1">
        <f t="shared" si="2"/>
        <v>65</v>
      </c>
      <c r="U32" s="5">
        <f t="shared" si="3"/>
        <v>65</v>
      </c>
      <c r="V32" s="5" t="s">
        <v>39</v>
      </c>
      <c r="Z32" s="10" t="s">
        <v>83</v>
      </c>
      <c r="AA32" s="10" t="s">
        <v>201</v>
      </c>
      <c r="AB32" s="10" t="s">
        <v>202</v>
      </c>
      <c r="AC32" s="10" t="s">
        <v>203</v>
      </c>
      <c r="AD32" s="10" t="s">
        <v>92</v>
      </c>
      <c r="AE32" s="11" t="s">
        <v>164</v>
      </c>
      <c r="AF32" s="11" t="s">
        <v>204</v>
      </c>
    </row>
    <row r="33">
      <c r="A33" s="1" t="s">
        <v>154</v>
      </c>
      <c r="B33" s="1" t="s">
        <v>75</v>
      </c>
      <c r="C33" s="2">
        <v>1.0</v>
      </c>
      <c r="D33" s="1" t="s">
        <v>55</v>
      </c>
      <c r="E33" s="1" t="s">
        <v>42</v>
      </c>
      <c r="F33" s="7" t="s">
        <v>35</v>
      </c>
      <c r="G33" s="1" t="s">
        <v>30</v>
      </c>
      <c r="H33" s="4">
        <v>0.007638888888888889</v>
      </c>
      <c r="I33" s="1" t="s">
        <v>33</v>
      </c>
      <c r="J33" s="1" t="s">
        <v>28</v>
      </c>
      <c r="K33" s="4">
        <v>0.2625</v>
      </c>
      <c r="L33" s="1" t="s">
        <v>77</v>
      </c>
      <c r="M33" s="1" t="s">
        <v>30</v>
      </c>
      <c r="N33" s="4">
        <v>0.4840277777777778</v>
      </c>
      <c r="O33" s="1" t="s">
        <v>99</v>
      </c>
      <c r="P33" s="1" t="s">
        <v>28</v>
      </c>
      <c r="Q33" s="4">
        <v>0.7465277777777778</v>
      </c>
      <c r="R33" s="1" t="s">
        <v>205</v>
      </c>
      <c r="S33" s="1">
        <f t="shared" si="1"/>
        <v>121</v>
      </c>
      <c r="T33" s="1">
        <f t="shared" si="2"/>
        <v>131</v>
      </c>
      <c r="U33" s="5">
        <f t="shared" si="3"/>
        <v>131</v>
      </c>
      <c r="V33" s="5" t="s">
        <v>47</v>
      </c>
      <c r="Z33" s="10" t="s">
        <v>206</v>
      </c>
      <c r="AA33" s="10" t="s">
        <v>207</v>
      </c>
      <c r="AB33" s="10" t="s">
        <v>169</v>
      </c>
      <c r="AC33" s="10" t="s">
        <v>101</v>
      </c>
      <c r="AD33" s="10" t="s">
        <v>208</v>
      </c>
      <c r="AE33" s="11" t="s">
        <v>209</v>
      </c>
      <c r="AF33" s="11" t="s">
        <v>210</v>
      </c>
    </row>
    <row r="34">
      <c r="A34" s="1" t="s">
        <v>154</v>
      </c>
      <c r="B34" s="1" t="s">
        <v>75</v>
      </c>
      <c r="C34" s="2">
        <v>2.0</v>
      </c>
      <c r="D34" s="1" t="s">
        <v>25</v>
      </c>
      <c r="E34" s="6"/>
      <c r="F34" s="3"/>
      <c r="G34" s="1" t="s">
        <v>30</v>
      </c>
      <c r="H34" s="4">
        <v>0.03611111111111111</v>
      </c>
      <c r="I34" s="1" t="s">
        <v>76</v>
      </c>
      <c r="J34" s="1" t="s">
        <v>28</v>
      </c>
      <c r="K34" s="4">
        <v>0.28680555555555554</v>
      </c>
      <c r="L34" s="1" t="s">
        <v>176</v>
      </c>
      <c r="M34" s="1" t="s">
        <v>30</v>
      </c>
      <c r="N34" s="4">
        <v>0.5152777777777777</v>
      </c>
      <c r="O34" s="1" t="s">
        <v>182</v>
      </c>
      <c r="P34" s="1" t="s">
        <v>28</v>
      </c>
      <c r="Q34" s="4">
        <v>0.7763888888888889</v>
      </c>
      <c r="R34" s="1" t="s">
        <v>211</v>
      </c>
      <c r="S34" s="1">
        <f t="shared" si="1"/>
        <v>131</v>
      </c>
      <c r="T34" s="1">
        <f t="shared" si="2"/>
        <v>142</v>
      </c>
      <c r="U34" s="5">
        <f t="shared" si="3"/>
        <v>142</v>
      </c>
      <c r="V34" s="5" t="s">
        <v>47</v>
      </c>
      <c r="Z34" s="10" t="s">
        <v>105</v>
      </c>
      <c r="AA34" s="10" t="s">
        <v>212</v>
      </c>
      <c r="AB34" s="10" t="s">
        <v>60</v>
      </c>
      <c r="AC34" s="10" t="s">
        <v>60</v>
      </c>
      <c r="AD34" s="10" t="s">
        <v>60</v>
      </c>
      <c r="AE34" s="10" t="s">
        <v>60</v>
      </c>
      <c r="AF34" s="10" t="s">
        <v>60</v>
      </c>
    </row>
    <row r="35">
      <c r="A35" s="1" t="s">
        <v>154</v>
      </c>
      <c r="B35" s="1" t="s">
        <v>75</v>
      </c>
      <c r="C35" s="2">
        <v>3.0</v>
      </c>
      <c r="D35" s="1" t="s">
        <v>75</v>
      </c>
      <c r="E35" s="6"/>
      <c r="F35" s="3"/>
      <c r="G35" s="1" t="s">
        <v>30</v>
      </c>
      <c r="H35" s="4">
        <v>0.06041666666666667</v>
      </c>
      <c r="I35" s="1" t="s">
        <v>213</v>
      </c>
      <c r="J35" s="1" t="s">
        <v>28</v>
      </c>
      <c r="K35" s="4">
        <v>0.30972222222222223</v>
      </c>
      <c r="L35" s="1" t="s">
        <v>214</v>
      </c>
      <c r="M35" s="1" t="s">
        <v>30</v>
      </c>
      <c r="N35" s="4">
        <v>0.5444444444444444</v>
      </c>
      <c r="O35" s="1" t="s">
        <v>185</v>
      </c>
      <c r="P35" s="1" t="s">
        <v>28</v>
      </c>
      <c r="Q35" s="4">
        <v>0.8034722222222223</v>
      </c>
      <c r="R35" s="1" t="s">
        <v>205</v>
      </c>
      <c r="S35" s="1">
        <f t="shared" si="1"/>
        <v>133</v>
      </c>
      <c r="T35" s="1">
        <f t="shared" si="2"/>
        <v>144</v>
      </c>
      <c r="U35" s="5">
        <f t="shared" si="3"/>
        <v>144</v>
      </c>
      <c r="V35" s="5" t="s">
        <v>47</v>
      </c>
      <c r="Z35" s="6"/>
      <c r="AA35" s="6"/>
      <c r="AB35" s="6"/>
      <c r="AC35" s="6"/>
      <c r="AD35" s="6"/>
      <c r="AE35" s="6"/>
      <c r="AF35" s="6"/>
    </row>
    <row r="36">
      <c r="A36" s="1" t="s">
        <v>154</v>
      </c>
      <c r="B36" s="1" t="s">
        <v>75</v>
      </c>
      <c r="C36" s="2">
        <v>4.0</v>
      </c>
      <c r="D36" s="1" t="s">
        <v>86</v>
      </c>
      <c r="E36" s="6"/>
      <c r="F36" s="3"/>
      <c r="G36" s="1" t="s">
        <v>30</v>
      </c>
      <c r="H36" s="4">
        <v>0.08263888888888889</v>
      </c>
      <c r="I36" s="1" t="s">
        <v>87</v>
      </c>
      <c r="J36" s="1" t="s">
        <v>28</v>
      </c>
      <c r="K36" s="4">
        <v>0.33125</v>
      </c>
      <c r="L36" s="1" t="s">
        <v>100</v>
      </c>
      <c r="M36" s="1" t="s">
        <v>30</v>
      </c>
      <c r="N36" s="4">
        <v>0.5715277777777777</v>
      </c>
      <c r="O36" s="1" t="s">
        <v>215</v>
      </c>
      <c r="P36" s="1" t="s">
        <v>28</v>
      </c>
      <c r="Q36" s="4">
        <v>0.8291666666666667</v>
      </c>
      <c r="R36" s="1" t="s">
        <v>216</v>
      </c>
      <c r="S36" s="1">
        <f t="shared" si="1"/>
        <v>130</v>
      </c>
      <c r="T36" s="1">
        <f t="shared" si="2"/>
        <v>137</v>
      </c>
      <c r="U36" s="5">
        <f t="shared" si="3"/>
        <v>137</v>
      </c>
      <c r="V36" s="5" t="s">
        <v>47</v>
      </c>
      <c r="Z36" s="6"/>
      <c r="AA36" s="6"/>
      <c r="AB36" s="6"/>
      <c r="AC36" s="6"/>
      <c r="AD36" s="6"/>
      <c r="AE36" s="6"/>
      <c r="AF36" s="6"/>
    </row>
    <row r="37">
      <c r="A37" s="1" t="s">
        <v>154</v>
      </c>
      <c r="B37" s="1" t="s">
        <v>75</v>
      </c>
      <c r="C37" s="2">
        <v>5.0</v>
      </c>
      <c r="D37" s="1" t="s">
        <v>26</v>
      </c>
      <c r="E37" s="6"/>
      <c r="F37" s="3"/>
      <c r="G37" s="1" t="s">
        <v>30</v>
      </c>
      <c r="H37" s="4">
        <v>0.10208333333333333</v>
      </c>
      <c r="I37" s="1" t="s">
        <v>217</v>
      </c>
      <c r="J37" s="1" t="s">
        <v>28</v>
      </c>
      <c r="K37" s="4">
        <v>0.35138888888888886</v>
      </c>
      <c r="L37" s="1" t="s">
        <v>218</v>
      </c>
      <c r="M37" s="1" t="s">
        <v>30</v>
      </c>
      <c r="N37" s="4">
        <v>0.5979166666666667</v>
      </c>
      <c r="O37" s="1" t="s">
        <v>185</v>
      </c>
      <c r="P37" s="1" t="s">
        <v>28</v>
      </c>
      <c r="Q37" s="4">
        <v>0.8527777777777777</v>
      </c>
      <c r="R37" s="1" t="s">
        <v>195</v>
      </c>
      <c r="S37" s="1">
        <f t="shared" si="1"/>
        <v>122</v>
      </c>
      <c r="T37" s="1">
        <f t="shared" si="2"/>
        <v>123</v>
      </c>
      <c r="U37" s="5">
        <f t="shared" si="3"/>
        <v>123</v>
      </c>
      <c r="V37" s="5" t="s">
        <v>90</v>
      </c>
    </row>
    <row r="38">
      <c r="A38" s="1" t="s">
        <v>154</v>
      </c>
      <c r="B38" s="1" t="s">
        <v>75</v>
      </c>
      <c r="C38" s="2">
        <v>6.0</v>
      </c>
      <c r="D38" s="1" t="s">
        <v>34</v>
      </c>
      <c r="E38" s="6"/>
      <c r="F38" s="3"/>
      <c r="G38" s="1" t="s">
        <v>30</v>
      </c>
      <c r="H38" s="4">
        <v>0.11944444444444445</v>
      </c>
      <c r="I38" s="1" t="s">
        <v>219</v>
      </c>
      <c r="J38" s="1" t="s">
        <v>28</v>
      </c>
      <c r="K38" s="4">
        <v>0.3715277777777778</v>
      </c>
      <c r="L38" s="1" t="s">
        <v>218</v>
      </c>
      <c r="M38" s="1" t="s">
        <v>30</v>
      </c>
      <c r="N38" s="4">
        <v>0.6236111111111111</v>
      </c>
      <c r="O38" s="1" t="s">
        <v>182</v>
      </c>
      <c r="P38" s="1" t="s">
        <v>28</v>
      </c>
      <c r="Q38" s="4">
        <v>0.8763888888888889</v>
      </c>
      <c r="R38" s="1" t="s">
        <v>220</v>
      </c>
      <c r="S38" s="1">
        <f t="shared" si="1"/>
        <v>111</v>
      </c>
      <c r="T38" s="1">
        <f t="shared" si="2"/>
        <v>103</v>
      </c>
      <c r="U38" s="5">
        <f t="shared" si="3"/>
        <v>111</v>
      </c>
      <c r="V38" s="5" t="s">
        <v>90</v>
      </c>
      <c r="Z38" s="6"/>
      <c r="AA38" s="6"/>
      <c r="AB38" s="6"/>
      <c r="AC38" s="6"/>
      <c r="AD38" s="6"/>
      <c r="AE38" s="6"/>
      <c r="AF38" s="6"/>
    </row>
    <row r="39">
      <c r="A39" s="1" t="s">
        <v>154</v>
      </c>
      <c r="B39" s="1" t="s">
        <v>75</v>
      </c>
      <c r="C39" s="2">
        <v>7.0</v>
      </c>
      <c r="D39" s="1" t="s">
        <v>41</v>
      </c>
      <c r="E39" s="1" t="s">
        <v>42</v>
      </c>
      <c r="F39" s="3"/>
      <c r="G39" s="1" t="s">
        <v>30</v>
      </c>
      <c r="H39" s="4">
        <v>0.13680555555555557</v>
      </c>
      <c r="I39" s="1" t="s">
        <v>182</v>
      </c>
      <c r="J39" s="1" t="s">
        <v>28</v>
      </c>
      <c r="K39" s="4">
        <v>0.3923611111111111</v>
      </c>
      <c r="L39" s="1" t="s">
        <v>183</v>
      </c>
      <c r="M39" s="1" t="s">
        <v>30</v>
      </c>
      <c r="N39" s="4">
        <v>0.6513888888888889</v>
      </c>
      <c r="O39" s="1" t="s">
        <v>45</v>
      </c>
      <c r="P39" s="1" t="s">
        <v>28</v>
      </c>
      <c r="Q39" s="4">
        <v>0.9</v>
      </c>
      <c r="R39" s="1" t="s">
        <v>173</v>
      </c>
      <c r="S39" s="1">
        <f t="shared" si="1"/>
        <v>98</v>
      </c>
      <c r="T39" s="1">
        <f t="shared" si="2"/>
        <v>80</v>
      </c>
      <c r="U39" s="5">
        <f t="shared" si="3"/>
        <v>98</v>
      </c>
      <c r="V39" s="5" t="s">
        <v>90</v>
      </c>
      <c r="Z39" s="8" t="s">
        <v>221</v>
      </c>
    </row>
    <row r="40">
      <c r="A40" s="1" t="s">
        <v>154</v>
      </c>
      <c r="B40" s="1" t="s">
        <v>75</v>
      </c>
      <c r="C40" s="2">
        <v>8.0</v>
      </c>
      <c r="D40" s="1" t="s">
        <v>55</v>
      </c>
      <c r="E40" s="1" t="s">
        <v>42</v>
      </c>
      <c r="F40" s="7" t="s">
        <v>107</v>
      </c>
      <c r="G40" s="1" t="s">
        <v>30</v>
      </c>
      <c r="H40" s="4">
        <v>0.15347222222222223</v>
      </c>
      <c r="I40" s="1" t="s">
        <v>146</v>
      </c>
      <c r="J40" s="1" t="s">
        <v>28</v>
      </c>
      <c r="K40" s="4">
        <v>0.41458333333333336</v>
      </c>
      <c r="L40" s="1" t="s">
        <v>214</v>
      </c>
      <c r="M40" s="1" t="s">
        <v>30</v>
      </c>
      <c r="N40" s="4">
        <v>0.6840277777777778</v>
      </c>
      <c r="O40" s="1" t="s">
        <v>134</v>
      </c>
      <c r="P40" s="1" t="s">
        <v>28</v>
      </c>
      <c r="Q40" s="4">
        <v>0.9256944444444445</v>
      </c>
      <c r="R40" s="1" t="s">
        <v>222</v>
      </c>
      <c r="S40" s="1">
        <f t="shared" si="1"/>
        <v>85</v>
      </c>
      <c r="T40" s="1">
        <f t="shared" si="2"/>
        <v>56</v>
      </c>
      <c r="U40" s="5">
        <f t="shared" si="3"/>
        <v>85</v>
      </c>
      <c r="V40" s="5" t="s">
        <v>39</v>
      </c>
      <c r="Z40" s="9" t="s">
        <v>48</v>
      </c>
      <c r="AA40" s="9" t="s">
        <v>49</v>
      </c>
      <c r="AB40" s="9" t="s">
        <v>50</v>
      </c>
      <c r="AC40" s="9" t="s">
        <v>51</v>
      </c>
      <c r="AD40" s="9" t="s">
        <v>52</v>
      </c>
      <c r="AE40" s="9" t="s">
        <v>53</v>
      </c>
      <c r="AF40" s="9" t="s">
        <v>54</v>
      </c>
    </row>
    <row r="41">
      <c r="A41" s="1" t="s">
        <v>154</v>
      </c>
      <c r="B41" s="1" t="s">
        <v>75</v>
      </c>
      <c r="C41" s="2">
        <v>9.0</v>
      </c>
      <c r="D41" s="1" t="s">
        <v>25</v>
      </c>
      <c r="E41" s="6"/>
      <c r="F41" s="3"/>
      <c r="G41" s="1" t="s">
        <v>30</v>
      </c>
      <c r="H41" s="4">
        <v>0.17222222222222222</v>
      </c>
      <c r="I41" s="1" t="s">
        <v>223</v>
      </c>
      <c r="J41" s="1" t="s">
        <v>28</v>
      </c>
      <c r="K41" s="4">
        <v>0.44166666666666665</v>
      </c>
      <c r="L41" s="1" t="s">
        <v>176</v>
      </c>
      <c r="M41" s="1" t="s">
        <v>30</v>
      </c>
      <c r="N41" s="4">
        <v>0.7277777777777777</v>
      </c>
      <c r="O41" s="1" t="s">
        <v>224</v>
      </c>
      <c r="P41" s="1" t="s">
        <v>28</v>
      </c>
      <c r="Q41" s="4">
        <v>0.9631944444444445</v>
      </c>
      <c r="R41" s="1" t="s">
        <v>225</v>
      </c>
      <c r="S41" s="1">
        <f t="shared" si="1"/>
        <v>70</v>
      </c>
      <c r="T41" s="1">
        <f t="shared" si="2"/>
        <v>34</v>
      </c>
      <c r="U41" s="5">
        <f t="shared" si="3"/>
        <v>70</v>
      </c>
      <c r="V41" s="5" t="s">
        <v>39</v>
      </c>
      <c r="Z41" s="10" t="s">
        <v>60</v>
      </c>
      <c r="AA41" s="10" t="s">
        <v>60</v>
      </c>
      <c r="AB41" s="10" t="s">
        <v>226</v>
      </c>
      <c r="AC41" s="10" t="s">
        <v>136</v>
      </c>
      <c r="AD41" s="10" t="s">
        <v>227</v>
      </c>
      <c r="AE41" s="11" t="s">
        <v>228</v>
      </c>
      <c r="AF41" s="11" t="s">
        <v>229</v>
      </c>
    </row>
    <row r="42">
      <c r="A42" s="1" t="s">
        <v>154</v>
      </c>
      <c r="B42" s="1" t="s">
        <v>75</v>
      </c>
      <c r="C42" s="2">
        <v>10.0</v>
      </c>
      <c r="D42" s="1" t="s">
        <v>75</v>
      </c>
      <c r="E42" s="6"/>
      <c r="F42" s="3"/>
      <c r="G42" s="1" t="s">
        <v>30</v>
      </c>
      <c r="H42" s="4">
        <v>0.19652777777777777</v>
      </c>
      <c r="I42" s="1" t="s">
        <v>191</v>
      </c>
      <c r="J42" s="1" t="s">
        <v>28</v>
      </c>
      <c r="K42" s="4">
        <v>0.4798611111111111</v>
      </c>
      <c r="L42" s="1" t="s">
        <v>230</v>
      </c>
      <c r="M42" s="1" t="s">
        <v>30</v>
      </c>
      <c r="N42" s="4">
        <v>0.8</v>
      </c>
      <c r="O42" s="1" t="s">
        <v>120</v>
      </c>
      <c r="S42" s="1">
        <f t="shared" si="1"/>
        <v>55</v>
      </c>
      <c r="T42" s="1">
        <f t="shared" si="2"/>
        <v>39</v>
      </c>
      <c r="U42" s="5">
        <f t="shared" si="3"/>
        <v>55</v>
      </c>
      <c r="V42" s="5" t="s">
        <v>39</v>
      </c>
      <c r="Z42" s="10" t="s">
        <v>231</v>
      </c>
      <c r="AA42" s="10" t="s">
        <v>70</v>
      </c>
      <c r="AB42" s="10" t="s">
        <v>232</v>
      </c>
      <c r="AC42" s="10" t="s">
        <v>72</v>
      </c>
      <c r="AD42" s="10" t="s">
        <v>233</v>
      </c>
      <c r="AE42" s="11" t="s">
        <v>74</v>
      </c>
      <c r="AF42" s="11" t="s">
        <v>234</v>
      </c>
    </row>
    <row r="43">
      <c r="A43" s="1" t="s">
        <v>154</v>
      </c>
      <c r="B43" s="1" t="s">
        <v>75</v>
      </c>
      <c r="C43" s="2">
        <v>11.0</v>
      </c>
      <c r="D43" s="1" t="s">
        <v>86</v>
      </c>
      <c r="E43" s="6"/>
      <c r="F43" s="3"/>
      <c r="G43" s="1" t="s">
        <v>28</v>
      </c>
      <c r="H43" s="4">
        <v>0.059027777777777776</v>
      </c>
      <c r="I43" s="1" t="s">
        <v>235</v>
      </c>
      <c r="J43" s="1" t="s">
        <v>30</v>
      </c>
      <c r="K43" s="4">
        <v>0.24027777777777778</v>
      </c>
      <c r="L43" s="1" t="s">
        <v>236</v>
      </c>
      <c r="M43" s="1" t="s">
        <v>28</v>
      </c>
      <c r="N43" s="4">
        <v>0.5395833333333333</v>
      </c>
      <c r="O43" s="1" t="s">
        <v>77</v>
      </c>
      <c r="P43" s="1" t="s">
        <v>30</v>
      </c>
      <c r="Q43" s="4">
        <v>0.8868055555555555</v>
      </c>
      <c r="R43" s="1" t="s">
        <v>115</v>
      </c>
      <c r="S43" s="1">
        <f t="shared" si="1"/>
        <v>9</v>
      </c>
      <c r="T43" s="1">
        <f t="shared" si="2"/>
        <v>61</v>
      </c>
      <c r="U43" s="5">
        <f t="shared" si="3"/>
        <v>61</v>
      </c>
      <c r="V43" s="5" t="s">
        <v>39</v>
      </c>
      <c r="Z43" s="10" t="s">
        <v>151</v>
      </c>
      <c r="AA43" s="10" t="s">
        <v>81</v>
      </c>
      <c r="AB43" s="10" t="s">
        <v>237</v>
      </c>
      <c r="AC43" s="10" t="s">
        <v>83</v>
      </c>
      <c r="AD43" s="10" t="s">
        <v>238</v>
      </c>
      <c r="AE43" s="11" t="s">
        <v>239</v>
      </c>
      <c r="AF43" s="11" t="s">
        <v>240</v>
      </c>
    </row>
    <row r="44">
      <c r="A44" s="1" t="s">
        <v>154</v>
      </c>
      <c r="B44" s="1" t="s">
        <v>75</v>
      </c>
      <c r="C44" s="2">
        <v>12.0</v>
      </c>
      <c r="D44" s="1" t="s">
        <v>26</v>
      </c>
      <c r="E44" s="6"/>
      <c r="F44" s="3"/>
      <c r="G44" s="1" t="s">
        <v>28</v>
      </c>
      <c r="H44" s="4">
        <v>0.15763888888888888</v>
      </c>
      <c r="I44" s="1" t="s">
        <v>121</v>
      </c>
      <c r="J44" s="1" t="s">
        <v>30</v>
      </c>
      <c r="K44" s="4">
        <v>0.31875</v>
      </c>
      <c r="L44" s="1" t="s">
        <v>241</v>
      </c>
      <c r="M44" s="1" t="s">
        <v>28</v>
      </c>
      <c r="N44" s="4">
        <v>0.6083333333333333</v>
      </c>
      <c r="O44" s="1" t="s">
        <v>173</v>
      </c>
      <c r="P44" s="1" t="s">
        <v>30</v>
      </c>
      <c r="Q44" s="4">
        <v>0.9319444444444445</v>
      </c>
      <c r="R44" s="1" t="s">
        <v>37</v>
      </c>
      <c r="S44" s="1">
        <f t="shared" si="1"/>
        <v>9</v>
      </c>
      <c r="T44" s="1">
        <f t="shared" si="2"/>
        <v>76</v>
      </c>
      <c r="U44" s="5">
        <f t="shared" si="3"/>
        <v>76</v>
      </c>
      <c r="V44" s="5" t="s">
        <v>39</v>
      </c>
      <c r="Z44" s="10" t="s">
        <v>92</v>
      </c>
      <c r="AA44" s="10" t="s">
        <v>93</v>
      </c>
      <c r="AB44" s="10" t="s">
        <v>242</v>
      </c>
      <c r="AC44" s="10" t="s">
        <v>243</v>
      </c>
      <c r="AD44" s="10" t="s">
        <v>244</v>
      </c>
      <c r="AE44" s="11" t="s">
        <v>245</v>
      </c>
      <c r="AF44" s="11" t="s">
        <v>246</v>
      </c>
    </row>
    <row r="45">
      <c r="A45" s="1" t="s">
        <v>154</v>
      </c>
      <c r="B45" s="1" t="s">
        <v>75</v>
      </c>
      <c r="C45" s="2">
        <v>13.0</v>
      </c>
      <c r="D45" s="1" t="s">
        <v>34</v>
      </c>
      <c r="E45" s="6"/>
      <c r="F45" s="3"/>
      <c r="G45" s="1" t="s">
        <v>28</v>
      </c>
      <c r="H45" s="4">
        <v>0.19652777777777777</v>
      </c>
      <c r="I45" s="1" t="s">
        <v>247</v>
      </c>
      <c r="J45" s="1" t="s">
        <v>30</v>
      </c>
      <c r="K45" s="4">
        <v>0.38333333333333336</v>
      </c>
      <c r="L45" s="1" t="s">
        <v>248</v>
      </c>
      <c r="M45" s="1" t="s">
        <v>28</v>
      </c>
      <c r="N45" s="4">
        <v>0.6555555555555556</v>
      </c>
      <c r="O45" s="1" t="s">
        <v>128</v>
      </c>
      <c r="P45" s="1" t="s">
        <v>30</v>
      </c>
      <c r="Q45" s="4">
        <v>0.9604166666666667</v>
      </c>
      <c r="R45" s="1" t="s">
        <v>66</v>
      </c>
      <c r="S45" s="1">
        <f t="shared" si="1"/>
        <v>21</v>
      </c>
      <c r="T45" s="1">
        <f t="shared" si="2"/>
        <v>96</v>
      </c>
      <c r="U45" s="5">
        <f t="shared" si="3"/>
        <v>96</v>
      </c>
      <c r="V45" s="5" t="s">
        <v>90</v>
      </c>
      <c r="Z45" s="10" t="s">
        <v>208</v>
      </c>
      <c r="AA45" s="10" t="s">
        <v>103</v>
      </c>
      <c r="AB45" s="10" t="s">
        <v>104</v>
      </c>
      <c r="AC45" s="10" t="s">
        <v>105</v>
      </c>
      <c r="AD45" s="10" t="s">
        <v>60</v>
      </c>
      <c r="AE45" s="10" t="s">
        <v>60</v>
      </c>
      <c r="AF45" s="10" t="s">
        <v>60</v>
      </c>
    </row>
    <row r="46">
      <c r="A46" s="1" t="s">
        <v>154</v>
      </c>
      <c r="B46" s="1" t="s">
        <v>75</v>
      </c>
      <c r="C46" s="2">
        <v>14.0</v>
      </c>
      <c r="D46" s="1" t="s">
        <v>41</v>
      </c>
      <c r="E46" s="1" t="s">
        <v>42</v>
      </c>
      <c r="F46" s="3"/>
      <c r="G46" s="1" t="s">
        <v>28</v>
      </c>
      <c r="H46" s="4">
        <v>0.21944444444444444</v>
      </c>
      <c r="I46" s="1" t="s">
        <v>249</v>
      </c>
      <c r="J46" s="1" t="s">
        <v>30</v>
      </c>
      <c r="K46" s="4">
        <v>0.425</v>
      </c>
      <c r="L46" s="1" t="s">
        <v>250</v>
      </c>
      <c r="M46" s="1" t="s">
        <v>28</v>
      </c>
      <c r="N46" s="4">
        <v>0.6881944444444444</v>
      </c>
      <c r="O46" s="1" t="s">
        <v>251</v>
      </c>
      <c r="P46" s="1" t="s">
        <v>30</v>
      </c>
      <c r="Q46" s="4">
        <v>0.9833333333333333</v>
      </c>
      <c r="R46" s="1" t="s">
        <v>252</v>
      </c>
      <c r="S46" s="1">
        <f t="shared" si="1"/>
        <v>37</v>
      </c>
      <c r="T46" s="1">
        <f t="shared" si="2"/>
        <v>117</v>
      </c>
      <c r="U46" s="5">
        <f t="shared" si="3"/>
        <v>117</v>
      </c>
      <c r="V46" s="5" t="s">
        <v>90</v>
      </c>
      <c r="Z46" s="10" t="s">
        <v>60</v>
      </c>
      <c r="AA46" s="10" t="s">
        <v>60</v>
      </c>
      <c r="AB46" s="10" t="s">
        <v>60</v>
      </c>
      <c r="AC46" s="10" t="s">
        <v>60</v>
      </c>
      <c r="AD46" s="10" t="s">
        <v>60</v>
      </c>
      <c r="AE46" s="10" t="s">
        <v>60</v>
      </c>
      <c r="AF46" s="10" t="s">
        <v>60</v>
      </c>
    </row>
    <row r="47">
      <c r="A47" s="1" t="s">
        <v>154</v>
      </c>
      <c r="B47" s="1" t="s">
        <v>75</v>
      </c>
      <c r="C47" s="2">
        <v>15.0</v>
      </c>
      <c r="D47" s="1" t="s">
        <v>55</v>
      </c>
      <c r="E47" s="1" t="s">
        <v>253</v>
      </c>
      <c r="F47" s="3"/>
      <c r="G47" s="1" t="s">
        <v>28</v>
      </c>
      <c r="H47" s="4">
        <v>0.23819444444444443</v>
      </c>
      <c r="I47" s="1" t="s">
        <v>57</v>
      </c>
      <c r="J47" s="1" t="s">
        <v>30</v>
      </c>
      <c r="K47" s="4">
        <v>0.45625</v>
      </c>
      <c r="L47" s="1" t="s">
        <v>224</v>
      </c>
      <c r="M47" s="1" t="s">
        <v>28</v>
      </c>
      <c r="N47" s="4">
        <v>0.7152777777777778</v>
      </c>
      <c r="O47" s="1" t="s">
        <v>32</v>
      </c>
      <c r="S47" s="1">
        <f t="shared" si="1"/>
        <v>56</v>
      </c>
      <c r="T47" s="1">
        <f t="shared" si="2"/>
        <v>54</v>
      </c>
      <c r="U47" s="5">
        <f t="shared" si="3"/>
        <v>56</v>
      </c>
      <c r="V47" s="5" t="s">
        <v>39</v>
      </c>
      <c r="Z47" s="6"/>
      <c r="AA47" s="6"/>
      <c r="AB47" s="6"/>
      <c r="AC47" s="6"/>
      <c r="AD47" s="6"/>
      <c r="AE47" s="6"/>
      <c r="AF47" s="6"/>
    </row>
    <row r="48">
      <c r="A48" s="1" t="s">
        <v>154</v>
      </c>
      <c r="B48" s="1" t="s">
        <v>75</v>
      </c>
      <c r="C48" s="2">
        <v>16.0</v>
      </c>
      <c r="D48" s="1" t="s">
        <v>25</v>
      </c>
      <c r="E48" s="1" t="s">
        <v>254</v>
      </c>
      <c r="F48" s="7" t="s">
        <v>143</v>
      </c>
      <c r="G48" s="1" t="s">
        <v>30</v>
      </c>
      <c r="H48" s="4">
        <v>0.003472222222222222</v>
      </c>
      <c r="I48" s="1" t="s">
        <v>255</v>
      </c>
      <c r="J48" s="1" t="s">
        <v>28</v>
      </c>
      <c r="K48" s="4">
        <v>0.2569444444444444</v>
      </c>
      <c r="L48" s="1" t="s">
        <v>256</v>
      </c>
      <c r="M48" s="1" t="s">
        <v>30</v>
      </c>
      <c r="N48" s="4">
        <v>0.4826388888888889</v>
      </c>
      <c r="O48" s="1" t="s">
        <v>257</v>
      </c>
      <c r="P48" s="1" t="s">
        <v>28</v>
      </c>
      <c r="Q48" s="4">
        <v>0.7395833333333334</v>
      </c>
      <c r="R48" s="1" t="s">
        <v>216</v>
      </c>
      <c r="S48" s="1">
        <f t="shared" si="1"/>
        <v>104</v>
      </c>
      <c r="T48" s="1">
        <f t="shared" si="2"/>
        <v>117</v>
      </c>
      <c r="U48" s="5">
        <f t="shared" si="3"/>
        <v>117</v>
      </c>
      <c r="V48" s="5" t="s">
        <v>90</v>
      </c>
      <c r="Z48" s="6"/>
      <c r="AA48" s="6"/>
      <c r="AB48" s="6"/>
      <c r="AC48" s="6"/>
      <c r="AD48" s="6"/>
      <c r="AE48" s="6"/>
      <c r="AF48" s="6"/>
    </row>
    <row r="49">
      <c r="A49" s="1" t="s">
        <v>258</v>
      </c>
      <c r="B49" s="1" t="s">
        <v>75</v>
      </c>
      <c r="C49" s="2">
        <v>17.0</v>
      </c>
      <c r="D49" s="1" t="s">
        <v>75</v>
      </c>
      <c r="E49" s="1" t="s">
        <v>259</v>
      </c>
      <c r="F49" s="3"/>
      <c r="G49" s="1" t="s">
        <v>30</v>
      </c>
      <c r="H49" s="4">
        <v>0.02361111111111111</v>
      </c>
      <c r="I49" s="1" t="s">
        <v>260</v>
      </c>
      <c r="J49" s="1" t="s">
        <v>28</v>
      </c>
      <c r="K49" s="4">
        <v>0.275</v>
      </c>
      <c r="L49" s="1" t="s">
        <v>128</v>
      </c>
      <c r="M49" s="1" t="s">
        <v>30</v>
      </c>
      <c r="N49" s="4">
        <v>0.5076388888888889</v>
      </c>
      <c r="O49" s="1" t="s">
        <v>58</v>
      </c>
      <c r="P49" s="1" t="s">
        <v>28</v>
      </c>
      <c r="Q49" s="4">
        <v>0.7638888888888888</v>
      </c>
      <c r="R49" s="1" t="s">
        <v>67</v>
      </c>
      <c r="S49" s="1">
        <f t="shared" si="1"/>
        <v>118</v>
      </c>
      <c r="T49" s="1">
        <f t="shared" si="2"/>
        <v>134</v>
      </c>
      <c r="U49" s="5">
        <f t="shared" si="3"/>
        <v>134</v>
      </c>
      <c r="V49" s="5" t="s">
        <v>47</v>
      </c>
    </row>
    <row r="50">
      <c r="A50" s="1" t="s">
        <v>258</v>
      </c>
      <c r="B50" s="1" t="s">
        <v>75</v>
      </c>
      <c r="C50" s="2">
        <v>18.0</v>
      </c>
      <c r="D50" s="1" t="s">
        <v>86</v>
      </c>
      <c r="E50" s="1" t="s">
        <v>259</v>
      </c>
      <c r="F50" s="3"/>
      <c r="G50" s="1" t="s">
        <v>30</v>
      </c>
      <c r="H50" s="4">
        <v>0.04236111111111111</v>
      </c>
      <c r="I50" s="1" t="s">
        <v>261</v>
      </c>
      <c r="J50" s="1" t="s">
        <v>28</v>
      </c>
      <c r="K50" s="4">
        <v>0.29375</v>
      </c>
      <c r="L50" s="1" t="s">
        <v>262</v>
      </c>
      <c r="M50" s="1" t="s">
        <v>30</v>
      </c>
      <c r="N50" s="4">
        <v>0.5333333333333333</v>
      </c>
      <c r="O50" s="1" t="s">
        <v>185</v>
      </c>
      <c r="P50" s="1" t="s">
        <v>28</v>
      </c>
      <c r="Q50" s="4">
        <v>0.7875</v>
      </c>
      <c r="R50" s="1" t="s">
        <v>59</v>
      </c>
      <c r="S50" s="1">
        <f t="shared" si="1"/>
        <v>128</v>
      </c>
      <c r="T50" s="1">
        <f t="shared" si="2"/>
        <v>145</v>
      </c>
      <c r="U50" s="5">
        <f t="shared" si="3"/>
        <v>145</v>
      </c>
      <c r="V50" s="5" t="s">
        <v>47</v>
      </c>
      <c r="Z50" s="6"/>
      <c r="AA50" s="6"/>
      <c r="AB50" s="6"/>
      <c r="AC50" s="6"/>
      <c r="AD50" s="6"/>
      <c r="AE50" s="6"/>
      <c r="AF50" s="6"/>
    </row>
    <row r="51">
      <c r="A51" s="1" t="s">
        <v>258</v>
      </c>
      <c r="B51" s="1" t="s">
        <v>75</v>
      </c>
      <c r="C51" s="2">
        <v>19.0</v>
      </c>
      <c r="D51" s="1" t="s">
        <v>26</v>
      </c>
      <c r="E51" s="1" t="s">
        <v>259</v>
      </c>
      <c r="F51" s="3"/>
      <c r="G51" s="1" t="s">
        <v>30</v>
      </c>
      <c r="H51" s="4">
        <v>0.06180555555555556</v>
      </c>
      <c r="I51" s="1" t="s">
        <v>261</v>
      </c>
      <c r="J51" s="1" t="s">
        <v>28</v>
      </c>
      <c r="K51" s="4">
        <v>0.3125</v>
      </c>
      <c r="L51" s="1" t="s">
        <v>179</v>
      </c>
      <c r="M51" s="1" t="s">
        <v>30</v>
      </c>
      <c r="N51" s="4">
        <v>0.5583333333333333</v>
      </c>
      <c r="O51" s="1" t="s">
        <v>219</v>
      </c>
      <c r="P51" s="1" t="s">
        <v>28</v>
      </c>
      <c r="Q51" s="4">
        <v>0.8118055555555556</v>
      </c>
      <c r="R51" s="1" t="s">
        <v>67</v>
      </c>
      <c r="S51" s="1">
        <f t="shared" si="1"/>
        <v>135</v>
      </c>
      <c r="T51" s="1">
        <f t="shared" si="2"/>
        <v>148</v>
      </c>
      <c r="U51" s="5">
        <f t="shared" si="3"/>
        <v>148</v>
      </c>
      <c r="V51" s="5" t="s">
        <v>47</v>
      </c>
      <c r="Z51" s="8" t="s">
        <v>263</v>
      </c>
    </row>
    <row r="52">
      <c r="A52" s="1" t="s">
        <v>258</v>
      </c>
      <c r="B52" s="1" t="s">
        <v>75</v>
      </c>
      <c r="C52" s="2">
        <v>20.0</v>
      </c>
      <c r="D52" s="1" t="s">
        <v>34</v>
      </c>
      <c r="E52" s="1" t="s">
        <v>264</v>
      </c>
      <c r="F52" s="3"/>
      <c r="G52" s="1" t="s">
        <v>30</v>
      </c>
      <c r="H52" s="4">
        <v>0.08055555555555556</v>
      </c>
      <c r="I52" s="1" t="s">
        <v>260</v>
      </c>
      <c r="J52" s="1" t="s">
        <v>28</v>
      </c>
      <c r="K52" s="4">
        <v>0.33194444444444443</v>
      </c>
      <c r="L52" s="1" t="s">
        <v>265</v>
      </c>
      <c r="M52" s="1" t="s">
        <v>30</v>
      </c>
      <c r="N52" s="4">
        <v>0.5847222222222223</v>
      </c>
      <c r="O52" s="1" t="s">
        <v>180</v>
      </c>
      <c r="P52" s="1" t="s">
        <v>28</v>
      </c>
      <c r="Q52" s="4">
        <v>0.8368055555555556</v>
      </c>
      <c r="R52" s="1" t="s">
        <v>167</v>
      </c>
      <c r="S52" s="1">
        <f t="shared" si="1"/>
        <v>137</v>
      </c>
      <c r="T52" s="1">
        <f t="shared" si="2"/>
        <v>144</v>
      </c>
      <c r="U52" s="5">
        <f t="shared" si="3"/>
        <v>144</v>
      </c>
      <c r="V52" s="5" t="s">
        <v>47</v>
      </c>
      <c r="Z52" s="9" t="s">
        <v>48</v>
      </c>
      <c r="AA52" s="9" t="s">
        <v>49</v>
      </c>
      <c r="AB52" s="9" t="s">
        <v>50</v>
      </c>
      <c r="AC52" s="9" t="s">
        <v>51</v>
      </c>
      <c r="AD52" s="9" t="s">
        <v>52</v>
      </c>
      <c r="AE52" s="9" t="s">
        <v>53</v>
      </c>
      <c r="AF52" s="9" t="s">
        <v>54</v>
      </c>
    </row>
    <row r="53">
      <c r="A53" s="1" t="s">
        <v>258</v>
      </c>
      <c r="B53" s="1" t="s">
        <v>75</v>
      </c>
      <c r="C53" s="2">
        <v>21.0</v>
      </c>
      <c r="D53" s="1" t="s">
        <v>41</v>
      </c>
      <c r="E53" s="1" t="s">
        <v>42</v>
      </c>
      <c r="F53" s="3"/>
      <c r="G53" s="1" t="s">
        <v>30</v>
      </c>
      <c r="H53" s="4">
        <v>0.09930555555555555</v>
      </c>
      <c r="I53" s="1" t="s">
        <v>266</v>
      </c>
      <c r="J53" s="1" t="s">
        <v>28</v>
      </c>
      <c r="K53" s="4">
        <v>0.3527777777777778</v>
      </c>
      <c r="L53" s="1" t="s">
        <v>267</v>
      </c>
      <c r="M53" s="1" t="s">
        <v>30</v>
      </c>
      <c r="N53" s="4">
        <v>0.6125</v>
      </c>
      <c r="O53" s="1" t="s">
        <v>266</v>
      </c>
      <c r="P53" s="1" t="s">
        <v>28</v>
      </c>
      <c r="Q53" s="4">
        <v>0.8631944444444445</v>
      </c>
      <c r="R53" s="1" t="s">
        <v>265</v>
      </c>
      <c r="S53" s="1">
        <f t="shared" si="1"/>
        <v>133</v>
      </c>
      <c r="T53" s="1">
        <f t="shared" si="2"/>
        <v>130</v>
      </c>
      <c r="U53" s="5">
        <f t="shared" si="3"/>
        <v>133</v>
      </c>
      <c r="V53" s="5" t="s">
        <v>47</v>
      </c>
      <c r="Z53" s="10" t="s">
        <v>60</v>
      </c>
      <c r="AA53" s="10" t="s">
        <v>60</v>
      </c>
      <c r="AB53" s="10" t="s">
        <v>60</v>
      </c>
      <c r="AC53" s="10" t="s">
        <v>60</v>
      </c>
      <c r="AD53" s="10" t="s">
        <v>268</v>
      </c>
      <c r="AE53" s="11" t="s">
        <v>269</v>
      </c>
      <c r="AF53" s="11" t="s">
        <v>270</v>
      </c>
    </row>
    <row r="54">
      <c r="A54" s="1" t="s">
        <v>258</v>
      </c>
      <c r="B54" s="1" t="s">
        <v>75</v>
      </c>
      <c r="C54" s="2">
        <v>22.0</v>
      </c>
      <c r="D54" s="1" t="s">
        <v>55</v>
      </c>
      <c r="E54" s="1" t="s">
        <v>42</v>
      </c>
      <c r="F54" s="3"/>
      <c r="G54" s="1" t="s">
        <v>30</v>
      </c>
      <c r="H54" s="4">
        <v>0.11875</v>
      </c>
      <c r="I54" s="1" t="s">
        <v>185</v>
      </c>
      <c r="J54" s="1" t="s">
        <v>28</v>
      </c>
      <c r="K54" s="4">
        <v>0.3763888888888889</v>
      </c>
      <c r="L54" s="1" t="s">
        <v>195</v>
      </c>
      <c r="M54" s="1" t="s">
        <v>30</v>
      </c>
      <c r="N54" s="4">
        <v>0.6430555555555556</v>
      </c>
      <c r="O54" s="1" t="s">
        <v>252</v>
      </c>
      <c r="P54" s="1" t="s">
        <v>28</v>
      </c>
      <c r="Q54" s="4">
        <v>0.8923611111111112</v>
      </c>
      <c r="R54" s="1" t="s">
        <v>218</v>
      </c>
      <c r="S54" s="1">
        <f t="shared" si="1"/>
        <v>123</v>
      </c>
      <c r="T54" s="1">
        <f t="shared" si="2"/>
        <v>109</v>
      </c>
      <c r="U54" s="5">
        <f t="shared" si="3"/>
        <v>123</v>
      </c>
      <c r="V54" s="5" t="s">
        <v>90</v>
      </c>
      <c r="Z54" s="10" t="s">
        <v>271</v>
      </c>
      <c r="AA54" s="10" t="s">
        <v>139</v>
      </c>
      <c r="AB54" s="10" t="s">
        <v>140</v>
      </c>
      <c r="AC54" s="10" t="s">
        <v>272</v>
      </c>
      <c r="AD54" s="10" t="s">
        <v>232</v>
      </c>
      <c r="AE54" s="11" t="s">
        <v>273</v>
      </c>
      <c r="AF54" s="11" t="s">
        <v>73</v>
      </c>
    </row>
    <row r="55">
      <c r="A55" s="1" t="s">
        <v>258</v>
      </c>
      <c r="B55" s="1" t="s">
        <v>75</v>
      </c>
      <c r="C55" s="2">
        <v>23.0</v>
      </c>
      <c r="D55" s="1" t="s">
        <v>25</v>
      </c>
      <c r="E55" s="6"/>
      <c r="F55" s="7" t="s">
        <v>184</v>
      </c>
      <c r="G55" s="1" t="s">
        <v>30</v>
      </c>
      <c r="H55" s="4">
        <v>0.13958333333333334</v>
      </c>
      <c r="I55" s="1" t="s">
        <v>186</v>
      </c>
      <c r="J55" s="1" t="s">
        <v>28</v>
      </c>
      <c r="K55" s="4">
        <v>0.40208333333333335</v>
      </c>
      <c r="L55" s="1" t="s">
        <v>135</v>
      </c>
      <c r="M55" s="1" t="s">
        <v>30</v>
      </c>
      <c r="N55" s="4">
        <v>0.6798611111111111</v>
      </c>
      <c r="O55" s="1" t="s">
        <v>274</v>
      </c>
      <c r="P55" s="1" t="s">
        <v>28</v>
      </c>
      <c r="Q55" s="4">
        <v>0.9256944444444445</v>
      </c>
      <c r="R55" s="1" t="s">
        <v>65</v>
      </c>
      <c r="S55" s="1">
        <f t="shared" si="1"/>
        <v>108</v>
      </c>
      <c r="T55" s="1">
        <f t="shared" si="2"/>
        <v>82</v>
      </c>
      <c r="U55" s="5">
        <f t="shared" si="3"/>
        <v>108</v>
      </c>
      <c r="V55" s="5" t="s">
        <v>90</v>
      </c>
      <c r="Z55" s="10" t="s">
        <v>150</v>
      </c>
      <c r="AA55" s="10" t="s">
        <v>79</v>
      </c>
      <c r="AB55" s="10" t="s">
        <v>151</v>
      </c>
      <c r="AC55" s="10" t="s">
        <v>81</v>
      </c>
      <c r="AD55" s="10" t="s">
        <v>237</v>
      </c>
      <c r="AE55" s="11" t="s">
        <v>275</v>
      </c>
      <c r="AF55" s="11" t="s">
        <v>276</v>
      </c>
    </row>
    <row r="56">
      <c r="A56" s="1" t="s">
        <v>258</v>
      </c>
      <c r="B56" s="1" t="s">
        <v>75</v>
      </c>
      <c r="C56" s="2">
        <v>24.0</v>
      </c>
      <c r="D56" s="1" t="s">
        <v>75</v>
      </c>
      <c r="E56" s="6"/>
      <c r="F56" s="3"/>
      <c r="G56" s="1" t="s">
        <v>30</v>
      </c>
      <c r="H56" s="4">
        <v>0.16180555555555556</v>
      </c>
      <c r="I56" s="1" t="s">
        <v>200</v>
      </c>
      <c r="J56" s="1" t="s">
        <v>28</v>
      </c>
      <c r="K56" s="4">
        <v>0.43472222222222223</v>
      </c>
      <c r="L56" s="1" t="s">
        <v>251</v>
      </c>
      <c r="M56" s="1" t="s">
        <v>30</v>
      </c>
      <c r="N56" s="4">
        <v>0.7298611111111111</v>
      </c>
      <c r="O56" s="1" t="s">
        <v>277</v>
      </c>
      <c r="P56" s="1" t="s">
        <v>28</v>
      </c>
      <c r="Q56" s="4">
        <v>0.975</v>
      </c>
      <c r="R56" s="1" t="s">
        <v>278</v>
      </c>
      <c r="S56" s="1">
        <f t="shared" si="1"/>
        <v>90</v>
      </c>
      <c r="T56" s="1">
        <f t="shared" si="2"/>
        <v>53</v>
      </c>
      <c r="U56" s="5">
        <f t="shared" si="3"/>
        <v>90</v>
      </c>
      <c r="V56" s="5" t="s">
        <v>39</v>
      </c>
      <c r="Z56" s="10" t="s">
        <v>279</v>
      </c>
      <c r="AA56" s="10" t="s">
        <v>280</v>
      </c>
      <c r="AB56" s="10" t="s">
        <v>281</v>
      </c>
      <c r="AC56" s="10" t="s">
        <v>282</v>
      </c>
      <c r="AD56" s="10" t="s">
        <v>283</v>
      </c>
      <c r="AE56" s="11" t="s">
        <v>284</v>
      </c>
      <c r="AF56" s="11" t="s">
        <v>285</v>
      </c>
    </row>
    <row r="57">
      <c r="A57" s="1" t="s">
        <v>258</v>
      </c>
      <c r="B57" s="1" t="s">
        <v>75</v>
      </c>
      <c r="C57" s="2">
        <v>25.0</v>
      </c>
      <c r="D57" s="1" t="s">
        <v>86</v>
      </c>
      <c r="E57" s="6"/>
      <c r="F57" s="3"/>
      <c r="G57" s="1" t="s">
        <v>30</v>
      </c>
      <c r="H57" s="4">
        <v>0.1909722222222222</v>
      </c>
      <c r="I57" s="1" t="s">
        <v>286</v>
      </c>
      <c r="J57" s="1" t="s">
        <v>28</v>
      </c>
      <c r="K57" s="4">
        <v>0.48194444444444445</v>
      </c>
      <c r="L57" s="1" t="s">
        <v>218</v>
      </c>
      <c r="M57" s="1" t="s">
        <v>30</v>
      </c>
      <c r="N57" s="4">
        <v>0.8104166666666667</v>
      </c>
      <c r="O57" s="1" t="s">
        <v>257</v>
      </c>
      <c r="S57" s="1">
        <f t="shared" si="1"/>
        <v>69</v>
      </c>
      <c r="T57" s="1">
        <f t="shared" si="2"/>
        <v>53</v>
      </c>
      <c r="U57" s="5">
        <f t="shared" si="3"/>
        <v>69</v>
      </c>
      <c r="V57" s="5" t="s">
        <v>39</v>
      </c>
      <c r="Z57" s="10" t="s">
        <v>169</v>
      </c>
      <c r="AA57" s="10" t="s">
        <v>287</v>
      </c>
      <c r="AB57" s="10" t="s">
        <v>102</v>
      </c>
      <c r="AC57" s="10" t="s">
        <v>103</v>
      </c>
      <c r="AD57" s="10" t="s">
        <v>104</v>
      </c>
      <c r="AE57" s="11" t="s">
        <v>288</v>
      </c>
      <c r="AF57" s="11" t="s">
        <v>289</v>
      </c>
    </row>
    <row r="58">
      <c r="A58" s="1" t="s">
        <v>258</v>
      </c>
      <c r="B58" s="1" t="s">
        <v>75</v>
      </c>
      <c r="C58" s="2">
        <v>26.0</v>
      </c>
      <c r="D58" s="1" t="s">
        <v>26</v>
      </c>
      <c r="E58" s="6"/>
      <c r="F58" s="3"/>
      <c r="G58" s="1" t="s">
        <v>28</v>
      </c>
      <c r="H58" s="4">
        <v>0.08263888888888889</v>
      </c>
      <c r="I58" s="1" t="s">
        <v>290</v>
      </c>
      <c r="J58" s="1" t="s">
        <v>30</v>
      </c>
      <c r="K58" s="4">
        <v>0.24930555555555556</v>
      </c>
      <c r="L58" s="1" t="s">
        <v>241</v>
      </c>
      <c r="M58" s="1" t="s">
        <v>28</v>
      </c>
      <c r="N58" s="4">
        <v>0.5576388888888889</v>
      </c>
      <c r="O58" s="1" t="s">
        <v>183</v>
      </c>
      <c r="P58" s="1" t="s">
        <v>30</v>
      </c>
      <c r="Q58" s="4">
        <v>0.8923611111111112</v>
      </c>
      <c r="R58" s="1" t="s">
        <v>88</v>
      </c>
      <c r="S58" s="1">
        <f t="shared" si="1"/>
        <v>10</v>
      </c>
      <c r="T58" s="1">
        <f t="shared" si="2"/>
        <v>94</v>
      </c>
      <c r="U58" s="5">
        <f t="shared" si="3"/>
        <v>94</v>
      </c>
      <c r="V58" s="5" t="s">
        <v>90</v>
      </c>
      <c r="Z58" s="10" t="s">
        <v>60</v>
      </c>
      <c r="AA58" s="10" t="s">
        <v>60</v>
      </c>
      <c r="AB58" s="10" t="s">
        <v>60</v>
      </c>
      <c r="AC58" s="10" t="s">
        <v>60</v>
      </c>
      <c r="AD58" s="10" t="s">
        <v>60</v>
      </c>
      <c r="AE58" s="10" t="s">
        <v>60</v>
      </c>
      <c r="AF58" s="10" t="s">
        <v>60</v>
      </c>
    </row>
    <row r="59">
      <c r="A59" s="1" t="s">
        <v>258</v>
      </c>
      <c r="B59" s="1" t="s">
        <v>75</v>
      </c>
      <c r="C59" s="2">
        <v>27.0</v>
      </c>
      <c r="D59" s="1" t="s">
        <v>34</v>
      </c>
      <c r="E59" s="1" t="s">
        <v>264</v>
      </c>
      <c r="F59" s="3"/>
      <c r="G59" s="1" t="s">
        <v>28</v>
      </c>
      <c r="H59" s="4">
        <v>0.16597222222222222</v>
      </c>
      <c r="I59" s="1" t="s">
        <v>278</v>
      </c>
      <c r="J59" s="1" t="s">
        <v>30</v>
      </c>
      <c r="K59" s="4">
        <v>0.34930555555555554</v>
      </c>
      <c r="L59" s="1" t="s">
        <v>291</v>
      </c>
      <c r="M59" s="1" t="s">
        <v>28</v>
      </c>
      <c r="N59" s="4">
        <v>0.6291666666666667</v>
      </c>
      <c r="O59" s="1" t="s">
        <v>292</v>
      </c>
      <c r="P59" s="1" t="s">
        <v>30</v>
      </c>
      <c r="Q59" s="4">
        <v>0.9395833333333333</v>
      </c>
      <c r="R59" s="1" t="s">
        <v>293</v>
      </c>
      <c r="S59" s="1">
        <f t="shared" si="1"/>
        <v>18</v>
      </c>
      <c r="T59" s="1">
        <f t="shared" si="2"/>
        <v>115</v>
      </c>
      <c r="U59" s="5">
        <f t="shared" si="3"/>
        <v>115</v>
      </c>
      <c r="V59" s="5" t="s">
        <v>90</v>
      </c>
      <c r="Z59" s="6"/>
      <c r="AA59" s="6"/>
      <c r="AB59" s="6"/>
      <c r="AC59" s="6"/>
      <c r="AD59" s="6"/>
      <c r="AE59" s="6"/>
      <c r="AF59" s="6"/>
    </row>
    <row r="60">
      <c r="A60" s="1" t="s">
        <v>258</v>
      </c>
      <c r="B60" s="1" t="s">
        <v>75</v>
      </c>
      <c r="C60" s="2">
        <v>28.0</v>
      </c>
      <c r="D60" s="1" t="s">
        <v>41</v>
      </c>
      <c r="E60" s="1" t="s">
        <v>294</v>
      </c>
      <c r="F60" s="3"/>
      <c r="G60" s="1" t="s">
        <v>28</v>
      </c>
      <c r="H60" s="4">
        <v>0.2013888888888889</v>
      </c>
      <c r="I60" s="1" t="s">
        <v>145</v>
      </c>
      <c r="J60" s="1" t="s">
        <v>30</v>
      </c>
      <c r="K60" s="4">
        <v>0.41458333333333336</v>
      </c>
      <c r="L60" s="1" t="s">
        <v>295</v>
      </c>
      <c r="M60" s="1" t="s">
        <v>28</v>
      </c>
      <c r="N60" s="4">
        <v>0.6763888888888889</v>
      </c>
      <c r="O60" s="1" t="s">
        <v>147</v>
      </c>
      <c r="P60" s="1" t="s">
        <v>30</v>
      </c>
      <c r="Q60" s="4">
        <v>0.9715277777777778</v>
      </c>
      <c r="R60" s="1" t="s">
        <v>98</v>
      </c>
      <c r="S60" s="1">
        <f t="shared" si="1"/>
        <v>40</v>
      </c>
      <c r="T60" s="1">
        <f t="shared" si="2"/>
        <v>139</v>
      </c>
      <c r="U60" s="5">
        <f t="shared" si="3"/>
        <v>139</v>
      </c>
      <c r="V60" s="5" t="s">
        <v>47</v>
      </c>
      <c r="Z60" s="6"/>
      <c r="AA60" s="6"/>
      <c r="AB60" s="6"/>
      <c r="AC60" s="6"/>
      <c r="AD60" s="6"/>
      <c r="AE60" s="6"/>
      <c r="AF60" s="6"/>
    </row>
    <row r="61">
      <c r="A61" s="1" t="s">
        <v>258</v>
      </c>
      <c r="B61" s="1" t="s">
        <v>86</v>
      </c>
      <c r="C61" s="2">
        <v>1.0</v>
      </c>
      <c r="D61" s="1" t="s">
        <v>55</v>
      </c>
      <c r="E61" s="1" t="s">
        <v>42</v>
      </c>
      <c r="F61" s="3"/>
      <c r="G61" s="1" t="s">
        <v>28</v>
      </c>
      <c r="H61" s="4">
        <v>0.22569444444444445</v>
      </c>
      <c r="I61" s="1" t="s">
        <v>296</v>
      </c>
      <c r="J61" s="1" t="s">
        <v>30</v>
      </c>
      <c r="K61" s="4">
        <v>0.45416666666666666</v>
      </c>
      <c r="L61" s="1" t="s">
        <v>223</v>
      </c>
      <c r="M61" s="1" t="s">
        <v>28</v>
      </c>
      <c r="N61" s="4">
        <v>0.7111111111111111</v>
      </c>
      <c r="O61" s="1" t="s">
        <v>297</v>
      </c>
      <c r="P61" s="1" t="s">
        <v>30</v>
      </c>
      <c r="Q61" s="4">
        <v>0.9979166666666667</v>
      </c>
      <c r="R61" s="1" t="s">
        <v>177</v>
      </c>
      <c r="S61" s="1">
        <f t="shared" si="1"/>
        <v>66</v>
      </c>
      <c r="T61" s="1">
        <f t="shared" si="2"/>
        <v>156</v>
      </c>
      <c r="U61" s="5">
        <f t="shared" si="3"/>
        <v>156</v>
      </c>
      <c r="V61" s="5" t="s">
        <v>47</v>
      </c>
    </row>
    <row r="62">
      <c r="A62" s="1" t="s">
        <v>258</v>
      </c>
      <c r="B62" s="1" t="s">
        <v>86</v>
      </c>
      <c r="C62" s="2">
        <v>2.0</v>
      </c>
      <c r="D62" s="1" t="s">
        <v>25</v>
      </c>
      <c r="E62" s="6"/>
      <c r="F62" s="7" t="s">
        <v>35</v>
      </c>
      <c r="G62" s="1" t="s">
        <v>28</v>
      </c>
      <c r="H62" s="4">
        <v>0.2465277777777778</v>
      </c>
      <c r="I62" s="1" t="s">
        <v>128</v>
      </c>
      <c r="J62" s="1" t="s">
        <v>30</v>
      </c>
      <c r="K62" s="4">
        <v>0.4840277777777778</v>
      </c>
      <c r="L62" s="1" t="s">
        <v>45</v>
      </c>
      <c r="M62" s="1" t="s">
        <v>28</v>
      </c>
      <c r="N62" s="4">
        <v>0.7402777777777778</v>
      </c>
      <c r="O62" s="1" t="s">
        <v>59</v>
      </c>
      <c r="S62" s="1">
        <f t="shared" si="1"/>
        <v>90</v>
      </c>
      <c r="T62" s="1">
        <f t="shared" si="2"/>
        <v>74</v>
      </c>
      <c r="U62" s="5">
        <f t="shared" si="3"/>
        <v>90</v>
      </c>
      <c r="V62" s="5" t="s">
        <v>39</v>
      </c>
      <c r="Z62" s="6"/>
      <c r="AA62" s="6"/>
      <c r="AB62" s="6"/>
      <c r="AC62" s="6"/>
      <c r="AD62" s="6"/>
      <c r="AE62" s="6"/>
      <c r="AF62" s="6"/>
    </row>
    <row r="63">
      <c r="A63" s="1" t="s">
        <v>258</v>
      </c>
      <c r="B63" s="1" t="s">
        <v>86</v>
      </c>
      <c r="C63" s="2">
        <v>3.0</v>
      </c>
      <c r="D63" s="1" t="s">
        <v>75</v>
      </c>
      <c r="E63" s="6"/>
      <c r="F63" s="3"/>
      <c r="G63" s="1" t="s">
        <v>30</v>
      </c>
      <c r="H63" s="4">
        <v>0.02013888888888889</v>
      </c>
      <c r="I63" s="1" t="s">
        <v>177</v>
      </c>
      <c r="J63" s="1" t="s">
        <v>28</v>
      </c>
      <c r="K63" s="4">
        <v>0.26666666666666666</v>
      </c>
      <c r="L63" s="1" t="s">
        <v>292</v>
      </c>
      <c r="M63" s="1" t="s">
        <v>30</v>
      </c>
      <c r="N63" s="4">
        <v>0.5104166666666666</v>
      </c>
      <c r="O63" s="1" t="s">
        <v>124</v>
      </c>
      <c r="P63" s="1" t="s">
        <v>28</v>
      </c>
      <c r="Q63" s="4">
        <v>0.7666666666666667</v>
      </c>
      <c r="R63" s="1" t="s">
        <v>298</v>
      </c>
      <c r="S63" s="1">
        <f t="shared" si="1"/>
        <v>130</v>
      </c>
      <c r="T63" s="1">
        <f t="shared" si="2"/>
        <v>144</v>
      </c>
      <c r="U63" s="5">
        <f t="shared" si="3"/>
        <v>144</v>
      </c>
      <c r="V63" s="5" t="s">
        <v>47</v>
      </c>
      <c r="Z63" s="8" t="s">
        <v>299</v>
      </c>
    </row>
    <row r="64">
      <c r="A64" s="1" t="s">
        <v>258</v>
      </c>
      <c r="B64" s="1" t="s">
        <v>86</v>
      </c>
      <c r="C64" s="2">
        <v>4.0</v>
      </c>
      <c r="D64" s="1" t="s">
        <v>86</v>
      </c>
      <c r="E64" s="6"/>
      <c r="F64" s="3"/>
      <c r="G64" s="1" t="s">
        <v>30</v>
      </c>
      <c r="H64" s="4">
        <v>0.03958333333333333</v>
      </c>
      <c r="I64" s="1" t="s">
        <v>300</v>
      </c>
      <c r="J64" s="1" t="s">
        <v>28</v>
      </c>
      <c r="K64" s="4">
        <v>0.28541666666666665</v>
      </c>
      <c r="L64" s="1" t="s">
        <v>301</v>
      </c>
      <c r="M64" s="1" t="s">
        <v>30</v>
      </c>
      <c r="N64" s="4">
        <v>0.5347222222222222</v>
      </c>
      <c r="O64" s="1" t="s">
        <v>252</v>
      </c>
      <c r="P64" s="1" t="s">
        <v>28</v>
      </c>
      <c r="Q64" s="4">
        <v>0.7909722222222222</v>
      </c>
      <c r="R64" s="1" t="s">
        <v>67</v>
      </c>
      <c r="S64" s="1">
        <f t="shared" si="1"/>
        <v>132</v>
      </c>
      <c r="T64" s="1">
        <f t="shared" si="2"/>
        <v>146</v>
      </c>
      <c r="U64" s="5">
        <f t="shared" si="3"/>
        <v>146</v>
      </c>
      <c r="V64" s="5" t="s">
        <v>47</v>
      </c>
      <c r="Z64" s="9" t="s">
        <v>48</v>
      </c>
      <c r="AA64" s="9" t="s">
        <v>49</v>
      </c>
      <c r="AB64" s="9" t="s">
        <v>50</v>
      </c>
      <c r="AC64" s="9" t="s">
        <v>51</v>
      </c>
      <c r="AD64" s="9" t="s">
        <v>52</v>
      </c>
      <c r="AE64" s="9" t="s">
        <v>53</v>
      </c>
      <c r="AF64" s="9" t="s">
        <v>54</v>
      </c>
    </row>
    <row r="65">
      <c r="A65" s="1" t="s">
        <v>258</v>
      </c>
      <c r="B65" s="1" t="s">
        <v>86</v>
      </c>
      <c r="C65" s="2">
        <v>5.0</v>
      </c>
      <c r="D65" s="1" t="s">
        <v>26</v>
      </c>
      <c r="E65" s="6"/>
      <c r="F65" s="3"/>
      <c r="G65" s="1" t="s">
        <v>30</v>
      </c>
      <c r="H65" s="4">
        <v>0.05625</v>
      </c>
      <c r="I65" s="1" t="s">
        <v>302</v>
      </c>
      <c r="J65" s="1" t="s">
        <v>28</v>
      </c>
      <c r="K65" s="4">
        <v>0.30416666666666664</v>
      </c>
      <c r="L65" s="1" t="s">
        <v>195</v>
      </c>
      <c r="M65" s="1" t="s">
        <v>30</v>
      </c>
      <c r="N65" s="4">
        <v>0.5583333333333333</v>
      </c>
      <c r="O65" s="1" t="s">
        <v>219</v>
      </c>
      <c r="P65" s="1" t="s">
        <v>28</v>
      </c>
      <c r="Q65" s="4">
        <v>0.8138888888888889</v>
      </c>
      <c r="R65" s="1" t="s">
        <v>78</v>
      </c>
      <c r="S65" s="1">
        <f t="shared" si="1"/>
        <v>131</v>
      </c>
      <c r="T65" s="1">
        <f t="shared" si="2"/>
        <v>139</v>
      </c>
      <c r="U65" s="5">
        <f t="shared" si="3"/>
        <v>139</v>
      </c>
      <c r="V65" s="5" t="s">
        <v>47</v>
      </c>
      <c r="Z65" s="10" t="s">
        <v>226</v>
      </c>
      <c r="AA65" s="10" t="s">
        <v>303</v>
      </c>
      <c r="AB65" s="10" t="s">
        <v>304</v>
      </c>
      <c r="AC65" s="10" t="s">
        <v>271</v>
      </c>
      <c r="AD65" s="10" t="s">
        <v>139</v>
      </c>
      <c r="AE65" s="11" t="s">
        <v>305</v>
      </c>
      <c r="AF65" s="11" t="s">
        <v>306</v>
      </c>
    </row>
    <row r="66">
      <c r="A66" s="1" t="s">
        <v>258</v>
      </c>
      <c r="B66" s="1" t="s">
        <v>86</v>
      </c>
      <c r="C66" s="2">
        <v>6.0</v>
      </c>
      <c r="D66" s="1" t="s">
        <v>34</v>
      </c>
      <c r="E66" s="6"/>
      <c r="F66" s="3"/>
      <c r="G66" s="1" t="s">
        <v>30</v>
      </c>
      <c r="H66" s="4">
        <v>0.07222222222222222</v>
      </c>
      <c r="I66" s="1" t="s">
        <v>108</v>
      </c>
      <c r="J66" s="1" t="s">
        <v>28</v>
      </c>
      <c r="K66" s="4">
        <v>0.3215277777777778</v>
      </c>
      <c r="L66" s="1" t="s">
        <v>267</v>
      </c>
      <c r="M66" s="1" t="s">
        <v>30</v>
      </c>
      <c r="N66" s="4">
        <v>0.5805555555555556</v>
      </c>
      <c r="O66" s="1" t="s">
        <v>252</v>
      </c>
      <c r="P66" s="1" t="s">
        <v>28</v>
      </c>
      <c r="Q66" s="4">
        <v>0.8354166666666667</v>
      </c>
      <c r="R66" s="1" t="s">
        <v>307</v>
      </c>
      <c r="S66" s="1">
        <f t="shared" si="1"/>
        <v>125</v>
      </c>
      <c r="T66" s="1">
        <f t="shared" si="2"/>
        <v>126</v>
      </c>
      <c r="U66" s="5">
        <f t="shared" si="3"/>
        <v>126</v>
      </c>
      <c r="V66" s="5" t="s">
        <v>47</v>
      </c>
      <c r="Z66" s="10" t="s">
        <v>308</v>
      </c>
      <c r="AA66" s="10" t="s">
        <v>72</v>
      </c>
      <c r="AB66" s="10" t="s">
        <v>149</v>
      </c>
      <c r="AC66" s="10" t="s">
        <v>309</v>
      </c>
      <c r="AD66" s="10" t="s">
        <v>310</v>
      </c>
      <c r="AE66" s="11" t="s">
        <v>311</v>
      </c>
      <c r="AF66" s="11" t="s">
        <v>312</v>
      </c>
    </row>
    <row r="67">
      <c r="A67" s="1" t="s">
        <v>258</v>
      </c>
      <c r="B67" s="1" t="s">
        <v>86</v>
      </c>
      <c r="C67" s="2">
        <v>7.0</v>
      </c>
      <c r="D67" s="1" t="s">
        <v>41</v>
      </c>
      <c r="E67" s="1" t="s">
        <v>42</v>
      </c>
      <c r="F67" s="3"/>
      <c r="G67" s="1" t="s">
        <v>30</v>
      </c>
      <c r="H67" s="4">
        <v>0.0875</v>
      </c>
      <c r="I67" s="1" t="s">
        <v>313</v>
      </c>
      <c r="J67" s="1" t="s">
        <v>28</v>
      </c>
      <c r="K67" s="4">
        <v>0.33958333333333335</v>
      </c>
      <c r="L67" s="1" t="s">
        <v>267</v>
      </c>
      <c r="M67" s="1" t="s">
        <v>30</v>
      </c>
      <c r="N67" s="4">
        <v>0.6034722222222222</v>
      </c>
      <c r="O67" s="1" t="s">
        <v>314</v>
      </c>
      <c r="P67" s="1" t="s">
        <v>28</v>
      </c>
      <c r="Q67" s="4">
        <v>0.85625</v>
      </c>
      <c r="R67" s="1" t="s">
        <v>262</v>
      </c>
      <c r="S67" s="1">
        <f t="shared" si="1"/>
        <v>117</v>
      </c>
      <c r="T67" s="1">
        <f t="shared" si="2"/>
        <v>108</v>
      </c>
      <c r="U67" s="5">
        <f t="shared" si="3"/>
        <v>117</v>
      </c>
      <c r="V67" s="5" t="s">
        <v>90</v>
      </c>
      <c r="Z67" s="10" t="s">
        <v>315</v>
      </c>
      <c r="AA67" s="10" t="s">
        <v>83</v>
      </c>
      <c r="AB67" s="10" t="s">
        <v>201</v>
      </c>
      <c r="AC67" s="10" t="s">
        <v>279</v>
      </c>
      <c r="AD67" s="10" t="s">
        <v>316</v>
      </c>
      <c r="AE67" s="11" t="s">
        <v>317</v>
      </c>
      <c r="AF67" s="11" t="s">
        <v>318</v>
      </c>
    </row>
    <row r="68">
      <c r="A68" s="1" t="s">
        <v>258</v>
      </c>
      <c r="B68" s="1" t="s">
        <v>86</v>
      </c>
      <c r="C68" s="2">
        <v>8.0</v>
      </c>
      <c r="D68" s="1" t="s">
        <v>55</v>
      </c>
      <c r="E68" s="1" t="s">
        <v>42</v>
      </c>
      <c r="F68" s="3"/>
      <c r="G68" s="1" t="s">
        <v>30</v>
      </c>
      <c r="H68" s="4">
        <v>0.10277777777777777</v>
      </c>
      <c r="I68" s="1" t="s">
        <v>146</v>
      </c>
      <c r="J68" s="1" t="s">
        <v>28</v>
      </c>
      <c r="K68" s="4">
        <v>0.3576388888888889</v>
      </c>
      <c r="L68" s="1" t="s">
        <v>265</v>
      </c>
      <c r="M68" s="1" t="s">
        <v>30</v>
      </c>
      <c r="N68" s="4">
        <v>0.6270833333333333</v>
      </c>
      <c r="O68" s="1" t="s">
        <v>58</v>
      </c>
      <c r="P68" s="1" t="s">
        <v>28</v>
      </c>
      <c r="Q68" s="4">
        <v>0.8770833333333333</v>
      </c>
      <c r="R68" s="1" t="s">
        <v>176</v>
      </c>
      <c r="S68" s="1">
        <f t="shared" si="1"/>
        <v>106</v>
      </c>
      <c r="T68" s="1">
        <f t="shared" si="2"/>
        <v>87</v>
      </c>
      <c r="U68" s="5">
        <f t="shared" si="3"/>
        <v>106</v>
      </c>
      <c r="V68" s="5" t="s">
        <v>90</v>
      </c>
      <c r="Z68" s="10" t="s">
        <v>319</v>
      </c>
      <c r="AA68" s="10" t="s">
        <v>243</v>
      </c>
      <c r="AB68" s="10" t="s">
        <v>320</v>
      </c>
      <c r="AC68" s="10" t="s">
        <v>169</v>
      </c>
      <c r="AD68" s="10" t="s">
        <v>170</v>
      </c>
      <c r="AE68" s="11" t="s">
        <v>321</v>
      </c>
      <c r="AF68" s="11" t="s">
        <v>322</v>
      </c>
    </row>
    <row r="69">
      <c r="A69" s="1" t="s">
        <v>258</v>
      </c>
      <c r="B69" s="1" t="s">
        <v>86</v>
      </c>
      <c r="C69" s="2">
        <v>9.0</v>
      </c>
      <c r="D69" s="1" t="s">
        <v>25</v>
      </c>
      <c r="E69" s="6"/>
      <c r="F69" s="3"/>
      <c r="G69" s="1" t="s">
        <v>30</v>
      </c>
      <c r="H69" s="4">
        <v>0.11805555555555555</v>
      </c>
      <c r="I69" s="1" t="s">
        <v>112</v>
      </c>
      <c r="J69" s="1" t="s">
        <v>28</v>
      </c>
      <c r="K69" s="4">
        <v>0.3770833333333333</v>
      </c>
      <c r="L69" s="1" t="s">
        <v>179</v>
      </c>
      <c r="M69" s="1" t="s">
        <v>30</v>
      </c>
      <c r="N69" s="4">
        <v>0.6541666666666667</v>
      </c>
      <c r="O69" s="1" t="s">
        <v>257</v>
      </c>
      <c r="P69" s="1" t="s">
        <v>28</v>
      </c>
      <c r="Q69" s="4">
        <v>0.9</v>
      </c>
      <c r="R69" s="1" t="s">
        <v>323</v>
      </c>
      <c r="S69" s="1">
        <f t="shared" si="1"/>
        <v>92</v>
      </c>
      <c r="T69" s="1">
        <f t="shared" si="2"/>
        <v>64</v>
      </c>
      <c r="U69" s="5">
        <f t="shared" si="3"/>
        <v>92</v>
      </c>
      <c r="V69" s="5" t="s">
        <v>90</v>
      </c>
      <c r="Z69" s="10" t="s">
        <v>324</v>
      </c>
      <c r="AA69" s="10" t="s">
        <v>325</v>
      </c>
      <c r="AB69" s="10" t="s">
        <v>60</v>
      </c>
      <c r="AC69" s="10" t="s">
        <v>60</v>
      </c>
      <c r="AD69" s="10" t="s">
        <v>60</v>
      </c>
      <c r="AE69" s="10" t="s">
        <v>60</v>
      </c>
      <c r="AF69" s="10" t="s">
        <v>60</v>
      </c>
    </row>
    <row r="70">
      <c r="A70" s="1" t="s">
        <v>258</v>
      </c>
      <c r="B70" s="1" t="s">
        <v>86</v>
      </c>
      <c r="C70" s="2">
        <v>10.0</v>
      </c>
      <c r="D70" s="1" t="s">
        <v>75</v>
      </c>
      <c r="E70" s="6"/>
      <c r="F70" s="7" t="s">
        <v>107</v>
      </c>
      <c r="G70" s="1" t="s">
        <v>30</v>
      </c>
      <c r="H70" s="4">
        <v>0.13402777777777777</v>
      </c>
      <c r="I70" s="1" t="s">
        <v>326</v>
      </c>
      <c r="J70" s="1" t="s">
        <v>28</v>
      </c>
      <c r="K70" s="4">
        <v>0.4</v>
      </c>
      <c r="L70" s="1" t="s">
        <v>262</v>
      </c>
      <c r="M70" s="1" t="s">
        <v>30</v>
      </c>
      <c r="N70" s="4">
        <v>0.6881944444444444</v>
      </c>
      <c r="O70" s="1" t="s">
        <v>224</v>
      </c>
      <c r="P70" s="1" t="s">
        <v>28</v>
      </c>
      <c r="Q70" s="4">
        <v>0.9298611111111111</v>
      </c>
      <c r="R70" s="1" t="s">
        <v>130</v>
      </c>
      <c r="S70" s="1">
        <f t="shared" si="1"/>
        <v>76</v>
      </c>
      <c r="T70" s="1">
        <f t="shared" si="2"/>
        <v>41</v>
      </c>
      <c r="U70" s="5">
        <f t="shared" si="3"/>
        <v>76</v>
      </c>
      <c r="V70" s="5" t="s">
        <v>39</v>
      </c>
      <c r="Z70" s="10" t="s">
        <v>60</v>
      </c>
      <c r="AA70" s="10" t="s">
        <v>60</v>
      </c>
      <c r="AB70" s="10" t="s">
        <v>60</v>
      </c>
      <c r="AC70" s="10" t="s">
        <v>60</v>
      </c>
      <c r="AD70" s="10" t="s">
        <v>60</v>
      </c>
      <c r="AE70" s="10" t="s">
        <v>60</v>
      </c>
      <c r="AF70" s="10" t="s">
        <v>60</v>
      </c>
    </row>
    <row r="71">
      <c r="A71" s="1" t="s">
        <v>258</v>
      </c>
      <c r="B71" s="1" t="s">
        <v>86</v>
      </c>
      <c r="C71" s="2">
        <v>11.0</v>
      </c>
      <c r="D71" s="1" t="s">
        <v>86</v>
      </c>
      <c r="E71" s="6"/>
      <c r="F71" s="3"/>
      <c r="G71" s="1" t="s">
        <v>30</v>
      </c>
      <c r="H71" s="4">
        <v>0.15138888888888888</v>
      </c>
      <c r="I71" s="1" t="s">
        <v>327</v>
      </c>
      <c r="J71" s="1" t="s">
        <v>28</v>
      </c>
      <c r="K71" s="4">
        <v>0.42916666666666664</v>
      </c>
      <c r="L71" s="1" t="s">
        <v>190</v>
      </c>
      <c r="M71" s="1" t="s">
        <v>30</v>
      </c>
      <c r="N71" s="4">
        <v>0.7430555555555556</v>
      </c>
      <c r="O71" s="1" t="s">
        <v>328</v>
      </c>
      <c r="S71" s="1">
        <f t="shared" si="1"/>
        <v>58</v>
      </c>
      <c r="T71" s="1">
        <f t="shared" si="2"/>
        <v>34</v>
      </c>
      <c r="U71" s="5">
        <f t="shared" si="3"/>
        <v>58</v>
      </c>
      <c r="V71" s="5" t="s">
        <v>39</v>
      </c>
      <c r="Z71" s="6"/>
      <c r="AA71" s="6"/>
      <c r="AB71" s="6"/>
      <c r="AC71" s="6"/>
      <c r="AD71" s="6"/>
      <c r="AE71" s="6"/>
      <c r="AF71" s="6"/>
    </row>
    <row r="72">
      <c r="A72" s="1" t="s">
        <v>258</v>
      </c>
      <c r="B72" s="1" t="s">
        <v>86</v>
      </c>
      <c r="C72" s="2">
        <v>12.0</v>
      </c>
      <c r="D72" s="1" t="s">
        <v>26</v>
      </c>
      <c r="E72" s="6"/>
      <c r="F72" s="3"/>
      <c r="G72" s="1" t="s">
        <v>28</v>
      </c>
      <c r="H72" s="4">
        <v>0.017361111111111112</v>
      </c>
      <c r="I72" s="1" t="s">
        <v>329</v>
      </c>
      <c r="J72" s="1" t="s">
        <v>30</v>
      </c>
      <c r="K72" s="4">
        <v>0.17569444444444443</v>
      </c>
      <c r="L72" s="1" t="s">
        <v>235</v>
      </c>
      <c r="M72" s="1" t="s">
        <v>28</v>
      </c>
      <c r="N72" s="4">
        <v>0.4791666666666667</v>
      </c>
      <c r="O72" s="1" t="s">
        <v>123</v>
      </c>
      <c r="P72" s="1" t="s">
        <v>30</v>
      </c>
      <c r="Q72" s="4">
        <v>0.8486111111111111</v>
      </c>
      <c r="R72" s="1" t="s">
        <v>250</v>
      </c>
      <c r="S72" s="1">
        <f t="shared" si="1"/>
        <v>6</v>
      </c>
      <c r="T72" s="1">
        <f t="shared" si="2"/>
        <v>56</v>
      </c>
      <c r="U72" s="5">
        <f t="shared" si="3"/>
        <v>56</v>
      </c>
      <c r="V72" s="5" t="s">
        <v>39</v>
      </c>
      <c r="Z72" s="6"/>
      <c r="AA72" s="6"/>
      <c r="AB72" s="6"/>
      <c r="AC72" s="6"/>
      <c r="AD72" s="6"/>
      <c r="AE72" s="6"/>
      <c r="AF72" s="6"/>
    </row>
    <row r="73">
      <c r="A73" s="1" t="s">
        <v>258</v>
      </c>
      <c r="B73" s="1" t="s">
        <v>86</v>
      </c>
      <c r="C73" s="2">
        <v>13.0</v>
      </c>
      <c r="D73" s="1" t="s">
        <v>34</v>
      </c>
      <c r="E73" s="6"/>
      <c r="F73" s="3"/>
      <c r="G73" s="1" t="s">
        <v>330</v>
      </c>
      <c r="H73" s="4">
        <v>0.14375</v>
      </c>
      <c r="I73" s="1" t="s">
        <v>331</v>
      </c>
      <c r="J73" s="1" t="s">
        <v>330</v>
      </c>
      <c r="K73" s="4">
        <v>0.27569444444444446</v>
      </c>
      <c r="L73" s="1" t="s">
        <v>332</v>
      </c>
      <c r="M73" s="1" t="s">
        <v>28</v>
      </c>
      <c r="N73" s="4">
        <v>0.5708333333333333</v>
      </c>
      <c r="O73" s="1" t="s">
        <v>123</v>
      </c>
      <c r="P73" s="1" t="s">
        <v>30</v>
      </c>
      <c r="Q73" s="4">
        <v>0.9083333333333333</v>
      </c>
      <c r="R73" s="1" t="s">
        <v>333</v>
      </c>
      <c r="S73" s="1">
        <f t="shared" si="1"/>
        <v>3</v>
      </c>
      <c r="T73" s="1">
        <f t="shared" si="2"/>
        <v>65</v>
      </c>
      <c r="U73" s="5">
        <f t="shared" si="3"/>
        <v>65</v>
      </c>
      <c r="V73" s="5" t="s">
        <v>39</v>
      </c>
    </row>
    <row r="74">
      <c r="A74" s="1" t="s">
        <v>258</v>
      </c>
      <c r="B74" s="1" t="s">
        <v>86</v>
      </c>
      <c r="C74" s="2">
        <v>14.0</v>
      </c>
      <c r="D74" s="1" t="s">
        <v>41</v>
      </c>
      <c r="E74" s="1" t="s">
        <v>42</v>
      </c>
      <c r="F74" s="3"/>
      <c r="G74" s="1" t="s">
        <v>28</v>
      </c>
      <c r="H74" s="4">
        <v>0.17708333333333334</v>
      </c>
      <c r="I74" s="1" t="s">
        <v>249</v>
      </c>
      <c r="J74" s="1" t="s">
        <v>30</v>
      </c>
      <c r="K74" s="4">
        <v>0.3659722222222222</v>
      </c>
      <c r="L74" s="1" t="s">
        <v>121</v>
      </c>
      <c r="M74" s="1" t="s">
        <v>28</v>
      </c>
      <c r="N74" s="4">
        <v>0.6326388888888889</v>
      </c>
      <c r="O74" s="1" t="s">
        <v>100</v>
      </c>
      <c r="P74" s="1" t="s">
        <v>30</v>
      </c>
      <c r="Q74" s="4">
        <v>0.9375</v>
      </c>
      <c r="R74" s="1" t="s">
        <v>31</v>
      </c>
      <c r="S74" s="1">
        <f t="shared" si="1"/>
        <v>18</v>
      </c>
      <c r="T74" s="1">
        <f t="shared" si="2"/>
        <v>85</v>
      </c>
      <c r="U74" s="5">
        <f t="shared" si="3"/>
        <v>85</v>
      </c>
      <c r="V74" s="5" t="s">
        <v>39</v>
      </c>
      <c r="Z74" s="6"/>
      <c r="AA74" s="6"/>
      <c r="AB74" s="6"/>
      <c r="AC74" s="6"/>
      <c r="AD74" s="6"/>
      <c r="AE74" s="6"/>
      <c r="AF74" s="6"/>
    </row>
    <row r="75">
      <c r="A75" s="1" t="s">
        <v>258</v>
      </c>
      <c r="B75" s="1" t="s">
        <v>86</v>
      </c>
      <c r="C75" s="2">
        <v>15.0</v>
      </c>
      <c r="D75" s="1" t="s">
        <v>55</v>
      </c>
      <c r="E75" s="1" t="s">
        <v>42</v>
      </c>
      <c r="F75" s="3"/>
      <c r="G75" s="1" t="s">
        <v>28</v>
      </c>
      <c r="H75" s="4">
        <v>0.19583333333333333</v>
      </c>
      <c r="I75" s="1" t="s">
        <v>65</v>
      </c>
      <c r="J75" s="1" t="s">
        <v>30</v>
      </c>
      <c r="K75" s="4">
        <v>0.4125</v>
      </c>
      <c r="L75" s="1" t="s">
        <v>334</v>
      </c>
      <c r="M75" s="1" t="s">
        <v>28</v>
      </c>
      <c r="N75" s="4">
        <v>0.66875</v>
      </c>
      <c r="O75" s="1" t="s">
        <v>335</v>
      </c>
      <c r="P75" s="1" t="s">
        <v>30</v>
      </c>
      <c r="Q75" s="4">
        <v>0.9597222222222223</v>
      </c>
      <c r="R75" s="1" t="s">
        <v>110</v>
      </c>
      <c r="S75" s="1">
        <f t="shared" si="1"/>
        <v>40</v>
      </c>
      <c r="T75" s="1">
        <f t="shared" si="2"/>
        <v>107</v>
      </c>
      <c r="U75" s="5">
        <f t="shared" si="3"/>
        <v>107</v>
      </c>
      <c r="V75" s="5" t="s">
        <v>90</v>
      </c>
      <c r="Z75" s="8" t="s">
        <v>336</v>
      </c>
    </row>
    <row r="76">
      <c r="A76" s="1" t="s">
        <v>258</v>
      </c>
      <c r="B76" s="1" t="s">
        <v>86</v>
      </c>
      <c r="C76" s="2">
        <v>16.0</v>
      </c>
      <c r="D76" s="1" t="s">
        <v>25</v>
      </c>
      <c r="E76" s="6"/>
      <c r="F76" s="3"/>
      <c r="G76" s="1" t="s">
        <v>28</v>
      </c>
      <c r="H76" s="4">
        <v>0.21319444444444444</v>
      </c>
      <c r="I76" s="1" t="s">
        <v>189</v>
      </c>
      <c r="J76" s="1" t="s">
        <v>30</v>
      </c>
      <c r="K76" s="4">
        <v>0.44375</v>
      </c>
      <c r="L76" s="1" t="s">
        <v>326</v>
      </c>
      <c r="M76" s="1" t="s">
        <v>28</v>
      </c>
      <c r="N76" s="4">
        <v>0.6979166666666666</v>
      </c>
      <c r="O76" s="1" t="s">
        <v>337</v>
      </c>
      <c r="P76" s="1" t="s">
        <v>30</v>
      </c>
      <c r="Q76" s="4">
        <v>0.9791666666666666</v>
      </c>
      <c r="R76" s="1" t="s">
        <v>124</v>
      </c>
      <c r="S76" s="1">
        <f t="shared" si="1"/>
        <v>65</v>
      </c>
      <c r="T76" s="1">
        <f t="shared" si="2"/>
        <v>128</v>
      </c>
      <c r="U76" s="5">
        <f t="shared" si="3"/>
        <v>128</v>
      </c>
      <c r="V76" s="5" t="s">
        <v>47</v>
      </c>
      <c r="Z76" s="9" t="s">
        <v>48</v>
      </c>
      <c r="AA76" s="9" t="s">
        <v>49</v>
      </c>
      <c r="AB76" s="9" t="s">
        <v>50</v>
      </c>
      <c r="AC76" s="9" t="s">
        <v>51</v>
      </c>
      <c r="AD76" s="9" t="s">
        <v>52</v>
      </c>
      <c r="AE76" s="9" t="s">
        <v>53</v>
      </c>
      <c r="AF76" s="9" t="s">
        <v>54</v>
      </c>
    </row>
    <row r="77">
      <c r="A77" s="1" t="s">
        <v>258</v>
      </c>
      <c r="B77" s="1" t="s">
        <v>86</v>
      </c>
      <c r="C77" s="2">
        <v>17.0</v>
      </c>
      <c r="D77" s="1" t="s">
        <v>75</v>
      </c>
      <c r="E77" s="6"/>
      <c r="F77" s="3"/>
      <c r="G77" s="1" t="s">
        <v>28</v>
      </c>
      <c r="H77" s="4">
        <v>0.23055555555555557</v>
      </c>
      <c r="I77" s="1" t="s">
        <v>192</v>
      </c>
      <c r="J77" s="1" t="s">
        <v>30</v>
      </c>
      <c r="K77" s="4">
        <v>0.4701388888888889</v>
      </c>
      <c r="L77" s="1" t="s">
        <v>257</v>
      </c>
      <c r="M77" s="1" t="s">
        <v>28</v>
      </c>
      <c r="N77" s="4">
        <v>0.7236111111111111</v>
      </c>
      <c r="O77" s="1" t="s">
        <v>338</v>
      </c>
      <c r="P77" s="1" t="s">
        <v>30</v>
      </c>
      <c r="Q77" s="4">
        <v>0.9979166666666667</v>
      </c>
      <c r="R77" s="1" t="s">
        <v>252</v>
      </c>
      <c r="S77" s="1">
        <f t="shared" si="1"/>
        <v>92</v>
      </c>
      <c r="T77" s="1">
        <f t="shared" si="2"/>
        <v>144</v>
      </c>
      <c r="U77" s="5">
        <f t="shared" si="3"/>
        <v>144</v>
      </c>
      <c r="V77" s="5" t="s">
        <v>47</v>
      </c>
      <c r="Z77" s="10" t="s">
        <v>60</v>
      </c>
      <c r="AA77" s="10" t="s">
        <v>60</v>
      </c>
      <c r="AB77" s="10" t="s">
        <v>226</v>
      </c>
      <c r="AC77" s="10" t="s">
        <v>303</v>
      </c>
      <c r="AD77" s="10" t="s">
        <v>304</v>
      </c>
      <c r="AE77" s="11" t="s">
        <v>339</v>
      </c>
      <c r="AF77" s="11" t="s">
        <v>340</v>
      </c>
    </row>
    <row r="78">
      <c r="A78" s="1" t="s">
        <v>258</v>
      </c>
      <c r="B78" s="1" t="s">
        <v>86</v>
      </c>
      <c r="C78" s="2">
        <v>18.0</v>
      </c>
      <c r="D78" s="1" t="s">
        <v>86</v>
      </c>
      <c r="E78" s="6"/>
      <c r="F78" s="7" t="s">
        <v>143</v>
      </c>
      <c r="G78" s="1" t="s">
        <v>28</v>
      </c>
      <c r="H78" s="4">
        <v>0.24861111111111112</v>
      </c>
      <c r="I78" s="1" t="s">
        <v>307</v>
      </c>
      <c r="J78" s="1" t="s">
        <v>30</v>
      </c>
      <c r="K78" s="4">
        <v>0.4951388888888889</v>
      </c>
      <c r="L78" s="1" t="s">
        <v>182</v>
      </c>
      <c r="M78" s="1" t="s">
        <v>28</v>
      </c>
      <c r="N78" s="4">
        <v>0.7486111111111111</v>
      </c>
      <c r="O78" s="1" t="s">
        <v>211</v>
      </c>
      <c r="S78" s="1">
        <f t="shared" si="1"/>
        <v>117</v>
      </c>
      <c r="T78" s="1">
        <f t="shared" si="2"/>
        <v>76</v>
      </c>
      <c r="U78" s="5">
        <f t="shared" si="3"/>
        <v>117</v>
      </c>
      <c r="V78" s="5" t="s">
        <v>90</v>
      </c>
      <c r="Z78" s="10" t="s">
        <v>341</v>
      </c>
      <c r="AA78" s="10" t="s">
        <v>272</v>
      </c>
      <c r="AB78" s="10" t="s">
        <v>308</v>
      </c>
      <c r="AC78" s="10" t="s">
        <v>72</v>
      </c>
      <c r="AD78" s="10" t="s">
        <v>342</v>
      </c>
      <c r="AE78" s="11" t="s">
        <v>343</v>
      </c>
      <c r="AF78" s="11" t="s">
        <v>344</v>
      </c>
    </row>
    <row r="79">
      <c r="A79" s="1" t="s">
        <v>345</v>
      </c>
      <c r="B79" s="1" t="s">
        <v>86</v>
      </c>
      <c r="C79" s="2">
        <v>19.0</v>
      </c>
      <c r="D79" s="1" t="s">
        <v>26</v>
      </c>
      <c r="E79" s="6"/>
      <c r="F79" s="3"/>
      <c r="G79" s="1" t="s">
        <v>30</v>
      </c>
      <c r="H79" s="4">
        <v>0.017361111111111112</v>
      </c>
      <c r="I79" s="1" t="s">
        <v>219</v>
      </c>
      <c r="J79" s="1" t="s">
        <v>28</v>
      </c>
      <c r="K79" s="4">
        <v>0.26666666666666666</v>
      </c>
      <c r="L79" s="1" t="s">
        <v>158</v>
      </c>
      <c r="M79" s="1" t="s">
        <v>30</v>
      </c>
      <c r="N79" s="4">
        <v>0.5201388888888889</v>
      </c>
      <c r="O79" s="1" t="s">
        <v>129</v>
      </c>
      <c r="P79" s="1" t="s">
        <v>28</v>
      </c>
      <c r="Q79" s="4">
        <v>0.7736111111111111</v>
      </c>
      <c r="R79" s="1" t="s">
        <v>346</v>
      </c>
      <c r="S79" s="1">
        <f t="shared" si="1"/>
        <v>138</v>
      </c>
      <c r="T79" s="1">
        <f t="shared" si="2"/>
        <v>155</v>
      </c>
      <c r="U79" s="5">
        <f t="shared" si="3"/>
        <v>155</v>
      </c>
      <c r="V79" s="5" t="s">
        <v>47</v>
      </c>
      <c r="Z79" s="10" t="s">
        <v>347</v>
      </c>
      <c r="AA79" s="10" t="s">
        <v>348</v>
      </c>
      <c r="AB79" s="10" t="s">
        <v>237</v>
      </c>
      <c r="AC79" s="10" t="s">
        <v>83</v>
      </c>
      <c r="AD79" s="10" t="s">
        <v>201</v>
      </c>
      <c r="AE79" s="11" t="s">
        <v>239</v>
      </c>
      <c r="AF79" s="11" t="s">
        <v>349</v>
      </c>
    </row>
    <row r="80">
      <c r="A80" s="1" t="s">
        <v>345</v>
      </c>
      <c r="B80" s="1" t="s">
        <v>86</v>
      </c>
      <c r="C80" s="2">
        <v>20.0</v>
      </c>
      <c r="D80" s="1" t="s">
        <v>34</v>
      </c>
      <c r="E80" s="6"/>
      <c r="F80" s="3"/>
      <c r="G80" s="1" t="s">
        <v>30</v>
      </c>
      <c r="H80" s="4">
        <v>0.03611111111111111</v>
      </c>
      <c r="I80" s="1" t="s">
        <v>219</v>
      </c>
      <c r="J80" s="1" t="s">
        <v>28</v>
      </c>
      <c r="K80" s="4">
        <v>0.2861111111111111</v>
      </c>
      <c r="L80" s="1" t="s">
        <v>338</v>
      </c>
      <c r="M80" s="1" t="s">
        <v>30</v>
      </c>
      <c r="N80" s="4">
        <v>0.5465277777777777</v>
      </c>
      <c r="O80" s="1" t="s">
        <v>132</v>
      </c>
      <c r="P80" s="1" t="s">
        <v>28</v>
      </c>
      <c r="Q80" s="4">
        <v>0.7993055555555556</v>
      </c>
      <c r="R80" s="1" t="s">
        <v>46</v>
      </c>
      <c r="S80" s="1">
        <f t="shared" si="1"/>
        <v>146</v>
      </c>
      <c r="T80" s="1">
        <f t="shared" si="2"/>
        <v>158</v>
      </c>
      <c r="U80" s="5">
        <f t="shared" si="3"/>
        <v>158</v>
      </c>
      <c r="V80" s="5" t="s">
        <v>47</v>
      </c>
      <c r="Z80" s="10" t="s">
        <v>350</v>
      </c>
      <c r="AA80" s="10" t="s">
        <v>351</v>
      </c>
      <c r="AB80" s="10" t="s">
        <v>283</v>
      </c>
      <c r="AC80" s="10" t="s">
        <v>243</v>
      </c>
      <c r="AD80" s="10" t="s">
        <v>320</v>
      </c>
      <c r="AE80" s="11" t="s">
        <v>245</v>
      </c>
      <c r="AF80" s="11" t="s">
        <v>246</v>
      </c>
    </row>
    <row r="81">
      <c r="A81" s="1" t="s">
        <v>345</v>
      </c>
      <c r="B81" s="1" t="s">
        <v>86</v>
      </c>
      <c r="C81" s="2">
        <v>21.0</v>
      </c>
      <c r="D81" s="1" t="s">
        <v>41</v>
      </c>
      <c r="E81" s="1" t="s">
        <v>42</v>
      </c>
      <c r="F81" s="3"/>
      <c r="G81" s="1" t="s">
        <v>30</v>
      </c>
      <c r="H81" s="4">
        <v>0.05555555555555555</v>
      </c>
      <c r="I81" s="1" t="s">
        <v>215</v>
      </c>
      <c r="J81" s="1" t="s">
        <v>28</v>
      </c>
      <c r="K81" s="4">
        <v>0.30694444444444446</v>
      </c>
      <c r="L81" s="1" t="s">
        <v>59</v>
      </c>
      <c r="M81" s="1" t="s">
        <v>30</v>
      </c>
      <c r="N81" s="4">
        <v>0.5729166666666666</v>
      </c>
      <c r="O81" s="1" t="s">
        <v>177</v>
      </c>
      <c r="P81" s="1" t="s">
        <v>28</v>
      </c>
      <c r="Q81" s="4">
        <v>0.8256944444444444</v>
      </c>
      <c r="R81" s="1" t="s">
        <v>78</v>
      </c>
      <c r="S81" s="1">
        <f t="shared" si="1"/>
        <v>147</v>
      </c>
      <c r="T81" s="1">
        <f t="shared" si="2"/>
        <v>151</v>
      </c>
      <c r="U81" s="5">
        <f t="shared" si="3"/>
        <v>151</v>
      </c>
      <c r="V81" s="5" t="s">
        <v>47</v>
      </c>
      <c r="Z81" s="10" t="s">
        <v>208</v>
      </c>
      <c r="AA81" s="10" t="s">
        <v>352</v>
      </c>
      <c r="AB81" s="10" t="s">
        <v>353</v>
      </c>
      <c r="AC81" s="10" t="s">
        <v>354</v>
      </c>
      <c r="AD81" s="10" t="s">
        <v>212</v>
      </c>
      <c r="AE81" s="10" t="s">
        <v>60</v>
      </c>
      <c r="AF81" s="10" t="s">
        <v>60</v>
      </c>
    </row>
    <row r="82">
      <c r="A82" s="1" t="s">
        <v>345</v>
      </c>
      <c r="B82" s="1" t="s">
        <v>86</v>
      </c>
      <c r="C82" s="2">
        <v>22.0</v>
      </c>
      <c r="D82" s="1" t="s">
        <v>55</v>
      </c>
      <c r="E82" s="1" t="s">
        <v>42</v>
      </c>
      <c r="F82" s="3"/>
      <c r="G82" s="1" t="s">
        <v>30</v>
      </c>
      <c r="H82" s="4">
        <v>0.075</v>
      </c>
      <c r="I82" s="1" t="s">
        <v>182</v>
      </c>
      <c r="J82" s="1" t="s">
        <v>28</v>
      </c>
      <c r="K82" s="4">
        <v>0.3298611111111111</v>
      </c>
      <c r="L82" s="1" t="s">
        <v>298</v>
      </c>
      <c r="M82" s="1" t="s">
        <v>30</v>
      </c>
      <c r="N82" s="4">
        <v>0.6020833333333333</v>
      </c>
      <c r="O82" s="1" t="s">
        <v>260</v>
      </c>
      <c r="P82" s="1" t="s">
        <v>28</v>
      </c>
      <c r="Q82" s="4">
        <v>0.8541666666666666</v>
      </c>
      <c r="R82" s="1" t="s">
        <v>301</v>
      </c>
      <c r="S82" s="1">
        <f t="shared" si="1"/>
        <v>141</v>
      </c>
      <c r="T82" s="1">
        <f t="shared" si="2"/>
        <v>134</v>
      </c>
      <c r="U82" s="5">
        <f t="shared" si="3"/>
        <v>141</v>
      </c>
      <c r="V82" s="5" t="s">
        <v>47</v>
      </c>
      <c r="Z82" s="10" t="s">
        <v>60</v>
      </c>
      <c r="AA82" s="10" t="s">
        <v>60</v>
      </c>
      <c r="AB82" s="10" t="s">
        <v>60</v>
      </c>
      <c r="AC82" s="10" t="s">
        <v>60</v>
      </c>
      <c r="AD82" s="10" t="s">
        <v>60</v>
      </c>
      <c r="AE82" s="10" t="s">
        <v>60</v>
      </c>
      <c r="AF82" s="10" t="s">
        <v>60</v>
      </c>
    </row>
    <row r="83">
      <c r="A83" s="1" t="s">
        <v>345</v>
      </c>
      <c r="B83" s="1" t="s">
        <v>86</v>
      </c>
      <c r="C83" s="2">
        <v>23.0</v>
      </c>
      <c r="D83" s="1" t="s">
        <v>25</v>
      </c>
      <c r="E83" s="6"/>
      <c r="F83" s="3"/>
      <c r="G83" s="1" t="s">
        <v>30</v>
      </c>
      <c r="H83" s="4">
        <v>0.09513888888888888</v>
      </c>
      <c r="I83" s="1" t="s">
        <v>146</v>
      </c>
      <c r="J83" s="1" t="s">
        <v>28</v>
      </c>
      <c r="K83" s="4">
        <v>0.3541666666666667</v>
      </c>
      <c r="L83" s="1" t="s">
        <v>67</v>
      </c>
      <c r="M83" s="1" t="s">
        <v>30</v>
      </c>
      <c r="N83" s="4">
        <v>0.6340277777777777</v>
      </c>
      <c r="O83" s="1" t="s">
        <v>129</v>
      </c>
      <c r="P83" s="1" t="s">
        <v>28</v>
      </c>
      <c r="Q83" s="4">
        <v>0.8847222222222222</v>
      </c>
      <c r="R83" s="1" t="s">
        <v>214</v>
      </c>
      <c r="S83" s="1">
        <f t="shared" si="1"/>
        <v>127</v>
      </c>
      <c r="T83" s="1">
        <f t="shared" si="2"/>
        <v>107</v>
      </c>
      <c r="U83" s="5">
        <f t="shared" si="3"/>
        <v>127</v>
      </c>
      <c r="V83" s="5" t="s">
        <v>47</v>
      </c>
      <c r="Z83" s="6"/>
      <c r="AA83" s="6"/>
      <c r="AB83" s="6"/>
      <c r="AC83" s="6"/>
      <c r="AD83" s="6"/>
      <c r="AE83" s="6"/>
      <c r="AF83" s="6"/>
    </row>
    <row r="84">
      <c r="A84" s="1" t="s">
        <v>345</v>
      </c>
      <c r="B84" s="1" t="s">
        <v>86</v>
      </c>
      <c r="C84" s="2">
        <v>24.0</v>
      </c>
      <c r="D84" s="1" t="s">
        <v>75</v>
      </c>
      <c r="E84" s="6"/>
      <c r="F84" s="3"/>
      <c r="G84" s="1" t="s">
        <v>30</v>
      </c>
      <c r="H84" s="4">
        <v>0.11597222222222223</v>
      </c>
      <c r="I84" s="1" t="s">
        <v>115</v>
      </c>
      <c r="J84" s="1" t="s">
        <v>28</v>
      </c>
      <c r="K84" s="4">
        <v>0.38263888888888886</v>
      </c>
      <c r="L84" s="1" t="s">
        <v>167</v>
      </c>
      <c r="M84" s="1" t="s">
        <v>30</v>
      </c>
      <c r="N84" s="4">
        <v>0.6729166666666667</v>
      </c>
      <c r="O84" s="1" t="s">
        <v>66</v>
      </c>
      <c r="P84" s="1" t="s">
        <v>28</v>
      </c>
      <c r="Q84" s="4">
        <v>0.9229166666666667</v>
      </c>
      <c r="R84" s="1" t="s">
        <v>44</v>
      </c>
      <c r="S84" s="1">
        <f t="shared" si="1"/>
        <v>108</v>
      </c>
      <c r="T84" s="1">
        <f t="shared" si="2"/>
        <v>75</v>
      </c>
      <c r="U84" s="5">
        <f t="shared" si="3"/>
        <v>108</v>
      </c>
      <c r="V84" s="5" t="s">
        <v>90</v>
      </c>
      <c r="Z84" s="6"/>
      <c r="AA84" s="6"/>
      <c r="AB84" s="6"/>
      <c r="AC84" s="6"/>
      <c r="AD84" s="6"/>
      <c r="AE84" s="6"/>
      <c r="AF84" s="6"/>
    </row>
    <row r="85">
      <c r="A85" s="1" t="s">
        <v>345</v>
      </c>
      <c r="B85" s="1" t="s">
        <v>86</v>
      </c>
      <c r="C85" s="2">
        <v>25.0</v>
      </c>
      <c r="D85" s="1" t="s">
        <v>86</v>
      </c>
      <c r="E85" s="6"/>
      <c r="F85" s="7" t="s">
        <v>184</v>
      </c>
      <c r="G85" s="1" t="s">
        <v>30</v>
      </c>
      <c r="H85" s="4">
        <v>0.14027777777777778</v>
      </c>
      <c r="I85" s="1" t="s">
        <v>250</v>
      </c>
      <c r="J85" s="1" t="s">
        <v>28</v>
      </c>
      <c r="K85" s="4">
        <v>0.41875</v>
      </c>
      <c r="L85" s="1" t="s">
        <v>307</v>
      </c>
      <c r="M85" s="1" t="s">
        <v>30</v>
      </c>
      <c r="N85" s="4">
        <v>0.7291666666666666</v>
      </c>
      <c r="O85" s="1" t="s">
        <v>257</v>
      </c>
      <c r="P85" s="1" t="s">
        <v>28</v>
      </c>
      <c r="Q85" s="4">
        <v>0.9909722222222223</v>
      </c>
      <c r="R85" s="1" t="s">
        <v>278</v>
      </c>
      <c r="S85" s="1">
        <f t="shared" si="1"/>
        <v>84</v>
      </c>
      <c r="T85" s="1">
        <f t="shared" si="2"/>
        <v>49</v>
      </c>
      <c r="U85" s="5">
        <f t="shared" si="3"/>
        <v>84</v>
      </c>
      <c r="V85" s="5" t="s">
        <v>39</v>
      </c>
    </row>
    <row r="86">
      <c r="A86" s="1" t="s">
        <v>345</v>
      </c>
      <c r="B86" s="1" t="s">
        <v>86</v>
      </c>
      <c r="C86" s="2">
        <v>26.0</v>
      </c>
      <c r="D86" s="1" t="s">
        <v>26</v>
      </c>
      <c r="E86" s="6"/>
      <c r="F86" s="3"/>
      <c r="G86" s="1" t="s">
        <v>30</v>
      </c>
      <c r="H86" s="4">
        <v>0.17569444444444443</v>
      </c>
      <c r="I86" s="1" t="s">
        <v>355</v>
      </c>
      <c r="J86" s="1" t="s">
        <v>28</v>
      </c>
      <c r="K86" s="4">
        <v>0.4736111111111111</v>
      </c>
      <c r="L86" s="1" t="s">
        <v>131</v>
      </c>
      <c r="M86" s="1" t="s">
        <v>30</v>
      </c>
      <c r="N86" s="4">
        <v>0.8173611111111111</v>
      </c>
      <c r="O86" s="1" t="s">
        <v>200</v>
      </c>
      <c r="S86" s="1">
        <f t="shared" si="1"/>
        <v>61</v>
      </c>
      <c r="T86" s="1">
        <f t="shared" si="2"/>
        <v>48</v>
      </c>
      <c r="U86" s="5">
        <f t="shared" si="3"/>
        <v>61</v>
      </c>
      <c r="V86" s="5" t="s">
        <v>39</v>
      </c>
      <c r="Z86" s="6"/>
      <c r="AA86" s="6"/>
      <c r="AB86" s="6"/>
      <c r="AC86" s="6"/>
      <c r="AD86" s="6"/>
      <c r="AE86" s="6"/>
      <c r="AF86" s="6"/>
    </row>
    <row r="87">
      <c r="A87" s="1" t="s">
        <v>345</v>
      </c>
      <c r="B87" s="1" t="s">
        <v>86</v>
      </c>
      <c r="C87" s="2">
        <v>27.0</v>
      </c>
      <c r="D87" s="1" t="s">
        <v>34</v>
      </c>
      <c r="E87" s="6"/>
      <c r="F87" s="3"/>
      <c r="G87" s="1" t="s">
        <v>28</v>
      </c>
      <c r="H87" s="4">
        <v>0.10208333333333333</v>
      </c>
      <c r="I87" s="1" t="s">
        <v>356</v>
      </c>
      <c r="J87" s="1" t="s">
        <v>30</v>
      </c>
      <c r="K87" s="4">
        <v>0.26180555555555557</v>
      </c>
      <c r="L87" s="1" t="s">
        <v>329</v>
      </c>
      <c r="M87" s="1" t="s">
        <v>28</v>
      </c>
      <c r="N87" s="4">
        <v>0.5590277777777778</v>
      </c>
      <c r="O87" s="1" t="s">
        <v>357</v>
      </c>
      <c r="P87" s="1" t="s">
        <v>30</v>
      </c>
      <c r="Q87" s="4">
        <v>0.8861111111111111</v>
      </c>
      <c r="R87" s="1" t="s">
        <v>37</v>
      </c>
      <c r="S87" s="1">
        <f t="shared" si="1"/>
        <v>9</v>
      </c>
      <c r="T87" s="1">
        <f t="shared" si="2"/>
        <v>91</v>
      </c>
      <c r="U87" s="5">
        <f t="shared" si="3"/>
        <v>91</v>
      </c>
      <c r="V87" s="5" t="s">
        <v>90</v>
      </c>
      <c r="Z87" s="8" t="s">
        <v>358</v>
      </c>
    </row>
    <row r="88">
      <c r="A88" s="1" t="s">
        <v>345</v>
      </c>
      <c r="B88" s="1" t="s">
        <v>86</v>
      </c>
      <c r="C88" s="2">
        <v>28.0</v>
      </c>
      <c r="D88" s="1" t="s">
        <v>41</v>
      </c>
      <c r="E88" s="1" t="s">
        <v>42</v>
      </c>
      <c r="F88" s="3"/>
      <c r="G88" s="1" t="s">
        <v>28</v>
      </c>
      <c r="H88" s="4">
        <v>0.15555555555555556</v>
      </c>
      <c r="I88" s="1" t="s">
        <v>359</v>
      </c>
      <c r="J88" s="1" t="s">
        <v>30</v>
      </c>
      <c r="K88" s="4">
        <v>0.3659722222222222</v>
      </c>
      <c r="L88" s="1" t="s">
        <v>235</v>
      </c>
      <c r="M88" s="1" t="s">
        <v>28</v>
      </c>
      <c r="N88" s="4">
        <v>0.6256944444444444</v>
      </c>
      <c r="O88" s="1" t="s">
        <v>360</v>
      </c>
      <c r="P88" s="1" t="s">
        <v>30</v>
      </c>
      <c r="Q88" s="4">
        <v>0.925</v>
      </c>
      <c r="R88" s="1" t="s">
        <v>88</v>
      </c>
      <c r="S88" s="1">
        <f t="shared" si="1"/>
        <v>27</v>
      </c>
      <c r="T88" s="1">
        <f t="shared" si="2"/>
        <v>106</v>
      </c>
      <c r="U88" s="5">
        <f t="shared" si="3"/>
        <v>106</v>
      </c>
      <c r="V88" s="5" t="s">
        <v>90</v>
      </c>
      <c r="Z88" s="9" t="s">
        <v>48</v>
      </c>
      <c r="AA88" s="9" t="s">
        <v>49</v>
      </c>
      <c r="AB88" s="9" t="s">
        <v>50</v>
      </c>
      <c r="AC88" s="9" t="s">
        <v>51</v>
      </c>
      <c r="AD88" s="9" t="s">
        <v>52</v>
      </c>
      <c r="AE88" s="9" t="s">
        <v>53</v>
      </c>
      <c r="AF88" s="9" t="s">
        <v>54</v>
      </c>
    </row>
    <row r="89">
      <c r="A89" s="1" t="s">
        <v>345</v>
      </c>
      <c r="B89" s="1" t="s">
        <v>86</v>
      </c>
      <c r="C89" s="2">
        <v>29.0</v>
      </c>
      <c r="D89" s="1" t="s">
        <v>55</v>
      </c>
      <c r="E89" s="1" t="s">
        <v>42</v>
      </c>
      <c r="F89" s="3"/>
      <c r="G89" s="1" t="s">
        <v>28</v>
      </c>
      <c r="H89" s="4">
        <v>0.18194444444444444</v>
      </c>
      <c r="I89" s="1" t="s">
        <v>256</v>
      </c>
      <c r="J89" s="1" t="s">
        <v>30</v>
      </c>
      <c r="K89" s="4">
        <v>0.4166666666666667</v>
      </c>
      <c r="L89" s="1" t="s">
        <v>250</v>
      </c>
      <c r="M89" s="1" t="s">
        <v>28</v>
      </c>
      <c r="N89" s="4">
        <v>0.66875</v>
      </c>
      <c r="O89" s="1" t="s">
        <v>147</v>
      </c>
      <c r="P89" s="1" t="s">
        <v>30</v>
      </c>
      <c r="Q89" s="4">
        <v>0.9534722222222223</v>
      </c>
      <c r="R89" s="1" t="s">
        <v>274</v>
      </c>
      <c r="S89" s="1">
        <f t="shared" si="1"/>
        <v>55</v>
      </c>
      <c r="T89" s="1">
        <f t="shared" si="2"/>
        <v>122</v>
      </c>
      <c r="U89" s="5">
        <f t="shared" si="3"/>
        <v>122</v>
      </c>
      <c r="V89" s="5" t="s">
        <v>90</v>
      </c>
      <c r="Z89" s="10" t="s">
        <v>60</v>
      </c>
      <c r="AA89" s="10" t="s">
        <v>60</v>
      </c>
      <c r="AB89" s="10" t="s">
        <v>60</v>
      </c>
      <c r="AC89" s="10" t="s">
        <v>60</v>
      </c>
      <c r="AD89" s="10" t="s">
        <v>60</v>
      </c>
      <c r="AE89" s="11" t="s">
        <v>133</v>
      </c>
      <c r="AF89" s="11" t="s">
        <v>361</v>
      </c>
    </row>
    <row r="90">
      <c r="A90" s="1" t="s">
        <v>345</v>
      </c>
      <c r="B90" s="1" t="s">
        <v>86</v>
      </c>
      <c r="C90" s="2">
        <v>30.0</v>
      </c>
      <c r="D90" s="1" t="s">
        <v>25</v>
      </c>
      <c r="E90" s="6"/>
      <c r="F90" s="3"/>
      <c r="G90" s="1" t="s">
        <v>28</v>
      </c>
      <c r="H90" s="4">
        <v>0.20347222222222222</v>
      </c>
      <c r="I90" s="1" t="s">
        <v>218</v>
      </c>
      <c r="J90" s="1" t="s">
        <v>30</v>
      </c>
      <c r="K90" s="4">
        <v>0.44930555555555557</v>
      </c>
      <c r="L90" s="1" t="s">
        <v>112</v>
      </c>
      <c r="M90" s="1" t="s">
        <v>28</v>
      </c>
      <c r="N90" s="4">
        <v>0.7013888888888888</v>
      </c>
      <c r="O90" s="1" t="s">
        <v>78</v>
      </c>
      <c r="P90" s="1" t="s">
        <v>30</v>
      </c>
      <c r="Q90" s="4">
        <v>0.9756944444444444</v>
      </c>
      <c r="R90" s="1" t="s">
        <v>124</v>
      </c>
      <c r="S90" s="1">
        <f t="shared" si="1"/>
        <v>81</v>
      </c>
      <c r="T90" s="1">
        <f t="shared" si="2"/>
        <v>131</v>
      </c>
      <c r="U90" s="5">
        <f t="shared" si="3"/>
        <v>131</v>
      </c>
      <c r="V90" s="5" t="s">
        <v>47</v>
      </c>
      <c r="Z90" s="10" t="s">
        <v>304</v>
      </c>
      <c r="AA90" s="10" t="s">
        <v>271</v>
      </c>
      <c r="AB90" s="10" t="s">
        <v>362</v>
      </c>
      <c r="AC90" s="10" t="s">
        <v>363</v>
      </c>
      <c r="AD90" s="10" t="s">
        <v>272</v>
      </c>
      <c r="AE90" s="11" t="s">
        <v>194</v>
      </c>
      <c r="AF90" s="11" t="s">
        <v>364</v>
      </c>
    </row>
    <row r="91">
      <c r="A91" s="1" t="s">
        <v>345</v>
      </c>
      <c r="B91" s="1" t="s">
        <v>86</v>
      </c>
      <c r="C91" s="2">
        <v>31.0</v>
      </c>
      <c r="D91" s="1" t="s">
        <v>75</v>
      </c>
      <c r="E91" s="6"/>
      <c r="F91" s="3"/>
      <c r="G91" s="1" t="s">
        <v>28</v>
      </c>
      <c r="H91" s="4">
        <v>0.2222222222222222</v>
      </c>
      <c r="I91" s="1" t="s">
        <v>179</v>
      </c>
      <c r="J91" s="1" t="s">
        <v>30</v>
      </c>
      <c r="K91" s="4">
        <v>0.4756944444444444</v>
      </c>
      <c r="L91" s="1" t="s">
        <v>186</v>
      </c>
      <c r="M91" s="1" t="s">
        <v>28</v>
      </c>
      <c r="N91" s="4">
        <v>0.7291666666666666</v>
      </c>
      <c r="O91" s="1" t="s">
        <v>38</v>
      </c>
      <c r="P91" s="1" t="s">
        <v>30</v>
      </c>
      <c r="Q91" s="4">
        <v>0.9951388888888889</v>
      </c>
      <c r="R91" s="1" t="s">
        <v>174</v>
      </c>
      <c r="S91" s="1">
        <f t="shared" si="1"/>
        <v>105</v>
      </c>
      <c r="T91" s="1">
        <f t="shared" si="2"/>
        <v>133</v>
      </c>
      <c r="U91" s="5">
        <f t="shared" si="3"/>
        <v>133</v>
      </c>
      <c r="V91" s="5" t="s">
        <v>47</v>
      </c>
      <c r="Z91" s="10" t="s">
        <v>365</v>
      </c>
      <c r="AA91" s="10" t="s">
        <v>366</v>
      </c>
      <c r="AB91" s="10" t="s">
        <v>367</v>
      </c>
      <c r="AC91" s="10" t="s">
        <v>368</v>
      </c>
      <c r="AD91" s="10" t="s">
        <v>369</v>
      </c>
      <c r="AE91" s="11" t="s">
        <v>370</v>
      </c>
      <c r="AF91" s="11" t="s">
        <v>275</v>
      </c>
    </row>
    <row r="92">
      <c r="A92" s="1" t="s">
        <v>345</v>
      </c>
      <c r="B92" s="1" t="s">
        <v>26</v>
      </c>
      <c r="C92" s="2">
        <v>1.0</v>
      </c>
      <c r="D92" s="1" t="s">
        <v>86</v>
      </c>
      <c r="E92" s="6"/>
      <c r="F92" s="7" t="s">
        <v>35</v>
      </c>
      <c r="G92" s="1" t="s">
        <v>28</v>
      </c>
      <c r="H92" s="4">
        <v>0.24097222222222223</v>
      </c>
      <c r="I92" s="1" t="s">
        <v>267</v>
      </c>
      <c r="J92" s="1" t="s">
        <v>30</v>
      </c>
      <c r="K92" s="4">
        <v>0.5</v>
      </c>
      <c r="L92" s="1" t="s">
        <v>124</v>
      </c>
      <c r="M92" s="1" t="s">
        <v>28</v>
      </c>
      <c r="N92" s="4">
        <v>0.7541666666666667</v>
      </c>
      <c r="O92" s="1" t="s">
        <v>38</v>
      </c>
      <c r="S92" s="1">
        <f t="shared" si="1"/>
        <v>122</v>
      </c>
      <c r="T92" s="1">
        <f t="shared" si="2"/>
        <v>65</v>
      </c>
      <c r="U92" s="5">
        <f t="shared" si="3"/>
        <v>122</v>
      </c>
      <c r="V92" s="5" t="s">
        <v>90</v>
      </c>
      <c r="Z92" s="10" t="s">
        <v>371</v>
      </c>
      <c r="AA92" s="10" t="s">
        <v>372</v>
      </c>
      <c r="AB92" s="10" t="s">
        <v>373</v>
      </c>
      <c r="AC92" s="10" t="s">
        <v>374</v>
      </c>
      <c r="AD92" s="10" t="s">
        <v>375</v>
      </c>
      <c r="AE92" s="11" t="s">
        <v>376</v>
      </c>
      <c r="AF92" s="11" t="s">
        <v>377</v>
      </c>
    </row>
    <row r="93">
      <c r="A93" s="1" t="s">
        <v>345</v>
      </c>
      <c r="B93" s="1" t="s">
        <v>26</v>
      </c>
      <c r="C93" s="2">
        <v>2.0</v>
      </c>
      <c r="D93" s="1" t="s">
        <v>26</v>
      </c>
      <c r="E93" s="6"/>
      <c r="F93" s="3"/>
      <c r="G93" s="1" t="s">
        <v>30</v>
      </c>
      <c r="H93" s="4">
        <v>0.011805555555555555</v>
      </c>
      <c r="I93" s="1" t="s">
        <v>66</v>
      </c>
      <c r="J93" s="1" t="s">
        <v>28</v>
      </c>
      <c r="K93" s="4">
        <v>0.2590277777777778</v>
      </c>
      <c r="L93" s="1" t="s">
        <v>378</v>
      </c>
      <c r="M93" s="1" t="s">
        <v>30</v>
      </c>
      <c r="N93" s="4">
        <v>0.5215277777777778</v>
      </c>
      <c r="O93" s="1" t="s">
        <v>252</v>
      </c>
      <c r="P93" s="1" t="s">
        <v>28</v>
      </c>
      <c r="Q93" s="4">
        <v>0.7770833333333333</v>
      </c>
      <c r="R93" s="1" t="s">
        <v>378</v>
      </c>
      <c r="S93" s="1">
        <f t="shared" si="1"/>
        <v>125</v>
      </c>
      <c r="T93" s="1">
        <f t="shared" si="2"/>
        <v>135</v>
      </c>
      <c r="U93" s="5">
        <f t="shared" si="3"/>
        <v>135</v>
      </c>
      <c r="V93" s="5" t="s">
        <v>47</v>
      </c>
      <c r="Z93" s="10" t="s">
        <v>207</v>
      </c>
      <c r="AA93" s="10" t="s">
        <v>379</v>
      </c>
      <c r="AB93" s="10" t="s">
        <v>380</v>
      </c>
      <c r="AC93" s="10" t="s">
        <v>381</v>
      </c>
      <c r="AD93" s="10" t="s">
        <v>382</v>
      </c>
      <c r="AE93" s="11" t="s">
        <v>383</v>
      </c>
      <c r="AF93" s="11" t="s">
        <v>288</v>
      </c>
    </row>
    <row r="94">
      <c r="A94" s="1" t="s">
        <v>345</v>
      </c>
      <c r="B94" s="1" t="s">
        <v>26</v>
      </c>
      <c r="C94" s="2">
        <v>3.0</v>
      </c>
      <c r="D94" s="1" t="s">
        <v>34</v>
      </c>
      <c r="E94" s="1" t="s">
        <v>264</v>
      </c>
      <c r="F94" s="3"/>
      <c r="G94" s="1" t="s">
        <v>30</v>
      </c>
      <c r="H94" s="4">
        <v>0.027777777777777776</v>
      </c>
      <c r="I94" s="1" t="s">
        <v>110</v>
      </c>
      <c r="J94" s="1" t="s">
        <v>28</v>
      </c>
      <c r="K94" s="4">
        <v>0.27708333333333335</v>
      </c>
      <c r="L94" s="1" t="s">
        <v>216</v>
      </c>
      <c r="M94" s="1" t="s">
        <v>30</v>
      </c>
      <c r="N94" s="4">
        <v>0.5430555555555555</v>
      </c>
      <c r="O94" s="1" t="s">
        <v>219</v>
      </c>
      <c r="P94" s="1" t="s">
        <v>28</v>
      </c>
      <c r="Q94" s="4">
        <v>0.7993055555555556</v>
      </c>
      <c r="R94" s="1" t="s">
        <v>267</v>
      </c>
      <c r="S94" s="1">
        <f t="shared" si="1"/>
        <v>125</v>
      </c>
      <c r="T94" s="1">
        <f t="shared" si="2"/>
        <v>130</v>
      </c>
      <c r="U94" s="5">
        <f t="shared" si="3"/>
        <v>130</v>
      </c>
      <c r="V94" s="5" t="s">
        <v>47</v>
      </c>
      <c r="Z94" s="10" t="s">
        <v>212</v>
      </c>
      <c r="AA94" s="10" t="s">
        <v>60</v>
      </c>
      <c r="AB94" s="10" t="s">
        <v>60</v>
      </c>
      <c r="AC94" s="10" t="s">
        <v>60</v>
      </c>
      <c r="AD94" s="10" t="s">
        <v>60</v>
      </c>
      <c r="AE94" s="10" t="s">
        <v>60</v>
      </c>
      <c r="AF94" s="10" t="s">
        <v>60</v>
      </c>
    </row>
    <row r="95">
      <c r="A95" s="1" t="s">
        <v>345</v>
      </c>
      <c r="B95" s="1" t="s">
        <v>26</v>
      </c>
      <c r="C95" s="2">
        <v>4.0</v>
      </c>
      <c r="D95" s="1" t="s">
        <v>41</v>
      </c>
      <c r="E95" s="1" t="s">
        <v>384</v>
      </c>
      <c r="F95" s="3"/>
      <c r="G95" s="1" t="s">
        <v>30</v>
      </c>
      <c r="H95" s="4">
        <v>0.04375</v>
      </c>
      <c r="I95" s="1" t="s">
        <v>146</v>
      </c>
      <c r="J95" s="1" t="s">
        <v>28</v>
      </c>
      <c r="K95" s="4">
        <v>0.29444444444444445</v>
      </c>
      <c r="L95" s="1" t="s">
        <v>385</v>
      </c>
      <c r="M95" s="1" t="s">
        <v>30</v>
      </c>
      <c r="N95" s="4">
        <v>0.5645833333333333</v>
      </c>
      <c r="O95" s="1" t="s">
        <v>386</v>
      </c>
      <c r="P95" s="1" t="s">
        <v>28</v>
      </c>
      <c r="Q95" s="4">
        <v>0.8208333333333333</v>
      </c>
      <c r="R95" s="1" t="s">
        <v>360</v>
      </c>
      <c r="S95" s="1">
        <f t="shared" si="1"/>
        <v>122</v>
      </c>
      <c r="T95" s="1">
        <f t="shared" si="2"/>
        <v>120</v>
      </c>
      <c r="U95" s="5">
        <f t="shared" si="3"/>
        <v>122</v>
      </c>
      <c r="V95" s="5" t="s">
        <v>90</v>
      </c>
      <c r="Z95" s="6"/>
      <c r="AA95" s="6"/>
      <c r="AB95" s="6"/>
      <c r="AC95" s="6"/>
      <c r="AD95" s="6"/>
      <c r="AE95" s="6"/>
      <c r="AF95" s="6"/>
    </row>
    <row r="96">
      <c r="A96" s="1" t="s">
        <v>345</v>
      </c>
      <c r="B96" s="1" t="s">
        <v>26</v>
      </c>
      <c r="C96" s="2">
        <v>5.0</v>
      </c>
      <c r="D96" s="1" t="s">
        <v>55</v>
      </c>
      <c r="E96" s="1" t="s">
        <v>387</v>
      </c>
      <c r="F96" s="3"/>
      <c r="G96" s="1" t="s">
        <v>30</v>
      </c>
      <c r="H96" s="4">
        <v>0.059722222222222225</v>
      </c>
      <c r="I96" s="1" t="s">
        <v>114</v>
      </c>
      <c r="J96" s="1" t="s">
        <v>28</v>
      </c>
      <c r="K96" s="4">
        <v>0.3125</v>
      </c>
      <c r="L96" s="1" t="s">
        <v>38</v>
      </c>
      <c r="M96" s="1" t="s">
        <v>30</v>
      </c>
      <c r="N96" s="4">
        <v>0.5868055555555556</v>
      </c>
      <c r="O96" s="1" t="s">
        <v>108</v>
      </c>
      <c r="P96" s="1" t="s">
        <v>28</v>
      </c>
      <c r="Q96" s="4">
        <v>0.8423611111111111</v>
      </c>
      <c r="R96" s="1" t="s">
        <v>218</v>
      </c>
      <c r="S96" s="1">
        <f t="shared" si="1"/>
        <v>116</v>
      </c>
      <c r="T96" s="1">
        <f t="shared" si="2"/>
        <v>106</v>
      </c>
      <c r="U96" s="5">
        <f t="shared" si="3"/>
        <v>116</v>
      </c>
      <c r="V96" s="5" t="s">
        <v>90</v>
      </c>
      <c r="Z96" s="6"/>
      <c r="AA96" s="6"/>
      <c r="AB96" s="6"/>
      <c r="AC96" s="6"/>
      <c r="AD96" s="6"/>
      <c r="AE96" s="6"/>
      <c r="AF96" s="6"/>
    </row>
    <row r="97">
      <c r="A97" s="1" t="s">
        <v>345</v>
      </c>
      <c r="B97" s="1" t="s">
        <v>26</v>
      </c>
      <c r="C97" s="2">
        <v>6.0</v>
      </c>
      <c r="D97" s="1" t="s">
        <v>25</v>
      </c>
      <c r="E97" s="1" t="s">
        <v>264</v>
      </c>
      <c r="F97" s="3"/>
      <c r="G97" s="1" t="s">
        <v>30</v>
      </c>
      <c r="H97" s="4">
        <v>0.07569444444444444</v>
      </c>
      <c r="I97" s="1" t="s">
        <v>115</v>
      </c>
      <c r="J97" s="1" t="s">
        <v>28</v>
      </c>
      <c r="K97" s="4">
        <v>0.33125</v>
      </c>
      <c r="L97" s="1" t="s">
        <v>158</v>
      </c>
      <c r="M97" s="1" t="s">
        <v>30</v>
      </c>
      <c r="N97" s="4">
        <v>0.6097222222222223</v>
      </c>
      <c r="O97" s="1" t="s">
        <v>182</v>
      </c>
      <c r="P97" s="1" t="s">
        <v>28</v>
      </c>
      <c r="Q97" s="4">
        <v>0.8638888888888889</v>
      </c>
      <c r="R97" s="1" t="s">
        <v>123</v>
      </c>
      <c r="S97" s="1">
        <f t="shared" si="1"/>
        <v>106</v>
      </c>
      <c r="T97" s="1">
        <f t="shared" si="2"/>
        <v>89</v>
      </c>
      <c r="U97" s="5">
        <f t="shared" si="3"/>
        <v>106</v>
      </c>
      <c r="V97" s="5" t="s">
        <v>90</v>
      </c>
    </row>
    <row r="98">
      <c r="A98" s="1" t="s">
        <v>345</v>
      </c>
      <c r="B98" s="1" t="s">
        <v>26</v>
      </c>
      <c r="C98" s="2">
        <v>7.0</v>
      </c>
      <c r="D98" s="1" t="s">
        <v>75</v>
      </c>
      <c r="E98" s="6"/>
      <c r="F98" s="3"/>
      <c r="G98" s="1" t="s">
        <v>30</v>
      </c>
      <c r="H98" s="4">
        <v>0.09305555555555556</v>
      </c>
      <c r="I98" s="1" t="s">
        <v>120</v>
      </c>
      <c r="J98" s="1" t="s">
        <v>28</v>
      </c>
      <c r="K98" s="4">
        <v>0.35208333333333336</v>
      </c>
      <c r="L98" s="1" t="s">
        <v>388</v>
      </c>
      <c r="M98" s="1" t="s">
        <v>30</v>
      </c>
      <c r="N98" s="4">
        <v>0.6347222222222222</v>
      </c>
      <c r="O98" s="1" t="s">
        <v>146</v>
      </c>
      <c r="P98" s="1" t="s">
        <v>28</v>
      </c>
      <c r="Q98" s="4">
        <v>0.8875</v>
      </c>
      <c r="R98" s="1" t="s">
        <v>57</v>
      </c>
      <c r="S98" s="1">
        <f t="shared" si="1"/>
        <v>95</v>
      </c>
      <c r="T98" s="1">
        <f t="shared" si="2"/>
        <v>69</v>
      </c>
      <c r="U98" s="5">
        <f t="shared" si="3"/>
        <v>95</v>
      </c>
      <c r="V98" s="5" t="s">
        <v>90</v>
      </c>
      <c r="Z98" s="6"/>
      <c r="AA98" s="6"/>
      <c r="AB98" s="6"/>
      <c r="AC98" s="6"/>
      <c r="AD98" s="6"/>
      <c r="AE98" s="6"/>
      <c r="AF98" s="6"/>
    </row>
    <row r="99">
      <c r="A99" s="1" t="s">
        <v>345</v>
      </c>
      <c r="B99" s="1" t="s">
        <v>26</v>
      </c>
      <c r="C99" s="2">
        <v>8.0</v>
      </c>
      <c r="D99" s="1" t="s">
        <v>86</v>
      </c>
      <c r="E99" s="6"/>
      <c r="F99" s="3"/>
      <c r="G99" s="1" t="s">
        <v>30</v>
      </c>
      <c r="H99" s="4">
        <v>0.11041666666666666</v>
      </c>
      <c r="I99" s="1" t="s">
        <v>389</v>
      </c>
      <c r="J99" s="1" t="s">
        <v>28</v>
      </c>
      <c r="K99" s="4">
        <v>0.375</v>
      </c>
      <c r="L99" s="1" t="s">
        <v>89</v>
      </c>
      <c r="M99" s="1" t="s">
        <v>30</v>
      </c>
      <c r="N99" s="4">
        <v>0.6645833333333333</v>
      </c>
      <c r="O99" s="1" t="s">
        <v>223</v>
      </c>
      <c r="P99" s="1" t="s">
        <v>28</v>
      </c>
      <c r="Q99" s="4">
        <v>0.91875</v>
      </c>
      <c r="R99" s="1" t="s">
        <v>249</v>
      </c>
      <c r="S99" s="1">
        <f t="shared" si="1"/>
        <v>80</v>
      </c>
      <c r="T99" s="1">
        <f t="shared" si="2"/>
        <v>50</v>
      </c>
      <c r="U99" s="5">
        <f t="shared" si="3"/>
        <v>80</v>
      </c>
      <c r="V99" s="5" t="s">
        <v>39</v>
      </c>
      <c r="Z99" s="8" t="s">
        <v>390</v>
      </c>
    </row>
    <row r="100">
      <c r="A100" s="1" t="s">
        <v>345</v>
      </c>
      <c r="B100" s="1" t="s">
        <v>26</v>
      </c>
      <c r="C100" s="2">
        <v>9.0</v>
      </c>
      <c r="D100" s="1" t="s">
        <v>26</v>
      </c>
      <c r="E100" s="6"/>
      <c r="F100" s="7" t="s">
        <v>107</v>
      </c>
      <c r="G100" s="1" t="s">
        <v>30</v>
      </c>
      <c r="H100" s="4">
        <v>0.13125</v>
      </c>
      <c r="I100" s="1" t="s">
        <v>291</v>
      </c>
      <c r="J100" s="1" t="s">
        <v>28</v>
      </c>
      <c r="K100" s="4">
        <v>0.4041666666666667</v>
      </c>
      <c r="L100" s="1" t="s">
        <v>131</v>
      </c>
      <c r="M100" s="1" t="s">
        <v>30</v>
      </c>
      <c r="N100" s="4">
        <v>0.7090277777777778</v>
      </c>
      <c r="O100" s="1" t="s">
        <v>191</v>
      </c>
      <c r="P100" s="1" t="s">
        <v>28</v>
      </c>
      <c r="Q100" s="4">
        <v>0.9895833333333334</v>
      </c>
      <c r="R100" s="1" t="s">
        <v>356</v>
      </c>
      <c r="S100" s="1">
        <f t="shared" si="1"/>
        <v>62</v>
      </c>
      <c r="T100" s="1">
        <f t="shared" si="2"/>
        <v>33</v>
      </c>
      <c r="U100" s="5">
        <f t="shared" si="3"/>
        <v>62</v>
      </c>
      <c r="V100" s="5" t="s">
        <v>39</v>
      </c>
      <c r="Z100" s="9" t="s">
        <v>48</v>
      </c>
      <c r="AA100" s="9" t="s">
        <v>49</v>
      </c>
      <c r="AB100" s="9" t="s">
        <v>50</v>
      </c>
      <c r="AC100" s="9" t="s">
        <v>51</v>
      </c>
      <c r="AD100" s="9" t="s">
        <v>52</v>
      </c>
      <c r="AE100" s="9" t="s">
        <v>53</v>
      </c>
      <c r="AF100" s="9" t="s">
        <v>54</v>
      </c>
    </row>
    <row r="101">
      <c r="A101" s="1" t="s">
        <v>345</v>
      </c>
      <c r="B101" s="1" t="s">
        <v>26</v>
      </c>
      <c r="C101" s="2">
        <v>10.0</v>
      </c>
      <c r="D101" s="1" t="s">
        <v>34</v>
      </c>
      <c r="E101" s="6"/>
      <c r="F101" s="3"/>
      <c r="G101" s="1" t="s">
        <v>30</v>
      </c>
      <c r="H101" s="4">
        <v>0.16319444444444445</v>
      </c>
      <c r="I101" s="1" t="s">
        <v>290</v>
      </c>
      <c r="J101" s="1" t="s">
        <v>28</v>
      </c>
      <c r="K101" s="4">
        <v>0.4479166666666667</v>
      </c>
      <c r="L101" s="1" t="s">
        <v>183</v>
      </c>
      <c r="M101" s="1" t="s">
        <v>30</v>
      </c>
      <c r="N101" s="4">
        <v>0.7881944444444444</v>
      </c>
      <c r="O101" s="1" t="s">
        <v>391</v>
      </c>
      <c r="S101" s="1">
        <f t="shared" si="1"/>
        <v>45</v>
      </c>
      <c r="T101" s="1">
        <f t="shared" si="2"/>
        <v>30</v>
      </c>
      <c r="U101" s="5">
        <f t="shared" si="3"/>
        <v>45</v>
      </c>
      <c r="V101" s="5" t="s">
        <v>39</v>
      </c>
      <c r="Z101" s="10" t="s">
        <v>60</v>
      </c>
      <c r="AA101" s="10" t="s">
        <v>392</v>
      </c>
      <c r="AB101" s="10" t="s">
        <v>303</v>
      </c>
      <c r="AC101" s="10" t="s">
        <v>393</v>
      </c>
      <c r="AD101" s="10" t="s">
        <v>394</v>
      </c>
      <c r="AE101" s="11" t="s">
        <v>395</v>
      </c>
      <c r="AF101" s="11" t="s">
        <v>396</v>
      </c>
    </row>
    <row r="102">
      <c r="A102" s="1" t="s">
        <v>345</v>
      </c>
      <c r="B102" s="1" t="s">
        <v>26</v>
      </c>
      <c r="C102" s="2">
        <v>11.0</v>
      </c>
      <c r="D102" s="1" t="s">
        <v>41</v>
      </c>
      <c r="E102" s="1" t="s">
        <v>42</v>
      </c>
      <c r="F102" s="3"/>
      <c r="G102" s="1" t="s">
        <v>28</v>
      </c>
      <c r="H102" s="4">
        <v>0.08958333333333333</v>
      </c>
      <c r="I102" s="1" t="s">
        <v>397</v>
      </c>
      <c r="J102" s="1" t="s">
        <v>30</v>
      </c>
      <c r="K102" s="4">
        <v>0.24722222222222223</v>
      </c>
      <c r="L102" s="1" t="s">
        <v>398</v>
      </c>
      <c r="M102" s="1" t="s">
        <v>28</v>
      </c>
      <c r="N102" s="4">
        <v>0.5243055555555556</v>
      </c>
      <c r="O102" s="1" t="s">
        <v>181</v>
      </c>
      <c r="P102" s="1" t="s">
        <v>30</v>
      </c>
      <c r="Q102" s="4">
        <v>0.8604166666666667</v>
      </c>
      <c r="R102" s="1" t="s">
        <v>286</v>
      </c>
      <c r="S102" s="1">
        <f t="shared" si="1"/>
        <v>7</v>
      </c>
      <c r="T102" s="1">
        <f t="shared" si="2"/>
        <v>63</v>
      </c>
      <c r="U102" s="5">
        <f t="shared" si="3"/>
        <v>63</v>
      </c>
      <c r="V102" s="5" t="s">
        <v>39</v>
      </c>
      <c r="Z102" s="10" t="s">
        <v>70</v>
      </c>
      <c r="AA102" s="10" t="s">
        <v>399</v>
      </c>
      <c r="AB102" s="10" t="s">
        <v>400</v>
      </c>
      <c r="AC102" s="10" t="s">
        <v>365</v>
      </c>
      <c r="AD102" s="10" t="s">
        <v>401</v>
      </c>
      <c r="AE102" s="11" t="s">
        <v>344</v>
      </c>
      <c r="AF102" s="11" t="s">
        <v>311</v>
      </c>
    </row>
    <row r="103">
      <c r="A103" s="1" t="s">
        <v>345</v>
      </c>
      <c r="B103" s="1" t="s">
        <v>26</v>
      </c>
      <c r="C103" s="2">
        <v>12.0</v>
      </c>
      <c r="D103" s="1" t="s">
        <v>55</v>
      </c>
      <c r="E103" s="1" t="s">
        <v>42</v>
      </c>
      <c r="F103" s="3"/>
      <c r="G103" s="1" t="s">
        <v>28</v>
      </c>
      <c r="H103" s="4">
        <v>0.13402777777777777</v>
      </c>
      <c r="I103" s="1" t="s">
        <v>157</v>
      </c>
      <c r="J103" s="1" t="s">
        <v>30</v>
      </c>
      <c r="K103" s="4">
        <v>0.3375</v>
      </c>
      <c r="L103" s="1" t="s">
        <v>332</v>
      </c>
      <c r="M103" s="1" t="s">
        <v>28</v>
      </c>
      <c r="N103" s="4">
        <v>0.5958333333333333</v>
      </c>
      <c r="O103" s="1" t="s">
        <v>402</v>
      </c>
      <c r="P103" s="1" t="s">
        <v>30</v>
      </c>
      <c r="Q103" s="4">
        <v>0.8972222222222223</v>
      </c>
      <c r="R103" s="1" t="s">
        <v>333</v>
      </c>
      <c r="S103" s="1">
        <f t="shared" si="1"/>
        <v>22</v>
      </c>
      <c r="T103" s="1">
        <f t="shared" si="2"/>
        <v>77</v>
      </c>
      <c r="U103" s="5">
        <f t="shared" si="3"/>
        <v>77</v>
      </c>
      <c r="V103" s="5" t="s">
        <v>39</v>
      </c>
      <c r="Z103" s="10" t="s">
        <v>369</v>
      </c>
      <c r="AA103" s="10" t="s">
        <v>82</v>
      </c>
      <c r="AB103" s="10" t="s">
        <v>403</v>
      </c>
      <c r="AC103" s="10" t="s">
        <v>404</v>
      </c>
      <c r="AD103" s="10" t="s">
        <v>372</v>
      </c>
      <c r="AE103" s="11" t="s">
        <v>405</v>
      </c>
      <c r="AF103" s="11" t="s">
        <v>406</v>
      </c>
    </row>
    <row r="104">
      <c r="A104" s="1" t="s">
        <v>345</v>
      </c>
      <c r="B104" s="1" t="s">
        <v>26</v>
      </c>
      <c r="C104" s="2">
        <v>13.0</v>
      </c>
      <c r="D104" s="1" t="s">
        <v>25</v>
      </c>
      <c r="E104" s="6"/>
      <c r="F104" s="3"/>
      <c r="G104" s="1" t="s">
        <v>28</v>
      </c>
      <c r="H104" s="4">
        <v>0.15833333333333333</v>
      </c>
      <c r="I104" s="1" t="s">
        <v>176</v>
      </c>
      <c r="J104" s="1" t="s">
        <v>30</v>
      </c>
      <c r="K104" s="4">
        <v>0.38819444444444445</v>
      </c>
      <c r="L104" s="1" t="s">
        <v>241</v>
      </c>
      <c r="M104" s="1" t="s">
        <v>28</v>
      </c>
      <c r="N104" s="4">
        <v>0.6402777777777777</v>
      </c>
      <c r="O104" s="1" t="s">
        <v>335</v>
      </c>
      <c r="P104" s="1" t="s">
        <v>30</v>
      </c>
      <c r="Q104" s="4">
        <v>0.9229166666666667</v>
      </c>
      <c r="R104" s="1" t="s">
        <v>134</v>
      </c>
      <c r="S104" s="1">
        <f t="shared" si="1"/>
        <v>47</v>
      </c>
      <c r="T104" s="1">
        <f t="shared" si="2"/>
        <v>96</v>
      </c>
      <c r="U104" s="5">
        <f t="shared" si="3"/>
        <v>96</v>
      </c>
      <c r="V104" s="5" t="s">
        <v>90</v>
      </c>
      <c r="Z104" s="10" t="s">
        <v>375</v>
      </c>
      <c r="AA104" s="10" t="s">
        <v>283</v>
      </c>
      <c r="AB104" s="10" t="s">
        <v>95</v>
      </c>
      <c r="AC104" s="10" t="s">
        <v>207</v>
      </c>
      <c r="AD104" s="10" t="s">
        <v>407</v>
      </c>
      <c r="AE104" s="11" t="s">
        <v>408</v>
      </c>
      <c r="AF104" s="11" t="s">
        <v>409</v>
      </c>
    </row>
    <row r="105">
      <c r="A105" s="1" t="s">
        <v>345</v>
      </c>
      <c r="B105" s="1" t="s">
        <v>26</v>
      </c>
      <c r="C105" s="2">
        <v>14.0</v>
      </c>
      <c r="D105" s="1" t="s">
        <v>75</v>
      </c>
      <c r="E105" s="6"/>
      <c r="F105" s="3"/>
      <c r="G105" s="1" t="s">
        <v>28</v>
      </c>
      <c r="H105" s="4">
        <v>0.17847222222222223</v>
      </c>
      <c r="I105" s="1" t="s">
        <v>262</v>
      </c>
      <c r="J105" s="1" t="s">
        <v>30</v>
      </c>
      <c r="K105" s="4">
        <v>0.4222222222222222</v>
      </c>
      <c r="L105" s="1" t="s">
        <v>120</v>
      </c>
      <c r="M105" s="1" t="s">
        <v>28</v>
      </c>
      <c r="N105" s="4">
        <v>0.6736111111111112</v>
      </c>
      <c r="O105" s="1" t="s">
        <v>410</v>
      </c>
      <c r="P105" s="1" t="s">
        <v>30</v>
      </c>
      <c r="Q105" s="4">
        <v>0.9451388888888889</v>
      </c>
      <c r="R105" s="1" t="s">
        <v>277</v>
      </c>
      <c r="S105" s="1">
        <f t="shared" si="1"/>
        <v>77</v>
      </c>
      <c r="T105" s="1">
        <f t="shared" si="2"/>
        <v>114</v>
      </c>
      <c r="U105" s="5">
        <f t="shared" si="3"/>
        <v>114</v>
      </c>
      <c r="V105" s="5" t="s">
        <v>90</v>
      </c>
      <c r="Z105" s="10" t="s">
        <v>411</v>
      </c>
      <c r="AA105" s="10" t="s">
        <v>324</v>
      </c>
      <c r="AB105" s="10" t="s">
        <v>105</v>
      </c>
      <c r="AC105" s="10" t="s">
        <v>60</v>
      </c>
      <c r="AD105" s="10" t="s">
        <v>60</v>
      </c>
      <c r="AE105" s="10" t="s">
        <v>60</v>
      </c>
      <c r="AF105" s="10" t="s">
        <v>60</v>
      </c>
    </row>
    <row r="106">
      <c r="A106" s="1" t="s">
        <v>345</v>
      </c>
      <c r="B106" s="1" t="s">
        <v>26</v>
      </c>
      <c r="C106" s="2">
        <v>15.0</v>
      </c>
      <c r="D106" s="1" t="s">
        <v>86</v>
      </c>
      <c r="E106" s="6"/>
      <c r="F106" s="3"/>
      <c r="G106" s="1" t="s">
        <v>28</v>
      </c>
      <c r="H106" s="4">
        <v>0.19791666666666666</v>
      </c>
      <c r="I106" s="1" t="s">
        <v>195</v>
      </c>
      <c r="J106" s="1" t="s">
        <v>30</v>
      </c>
      <c r="K106" s="4">
        <v>0.45069444444444445</v>
      </c>
      <c r="L106" s="1" t="s">
        <v>146</v>
      </c>
      <c r="M106" s="1" t="s">
        <v>28</v>
      </c>
      <c r="N106" s="4">
        <v>0.7034722222222223</v>
      </c>
      <c r="O106" s="1" t="s">
        <v>38</v>
      </c>
      <c r="P106" s="1" t="s">
        <v>30</v>
      </c>
      <c r="Q106" s="4">
        <v>0.9666666666666667</v>
      </c>
      <c r="R106" s="1" t="s">
        <v>110</v>
      </c>
      <c r="S106" s="1">
        <f t="shared" si="1"/>
        <v>108</v>
      </c>
      <c r="T106" s="1">
        <f t="shared" si="2"/>
        <v>126</v>
      </c>
      <c r="U106" s="5">
        <f t="shared" si="3"/>
        <v>126</v>
      </c>
      <c r="V106" s="5" t="s">
        <v>47</v>
      </c>
      <c r="Z106" s="10" t="s">
        <v>60</v>
      </c>
      <c r="AA106" s="10" t="s">
        <v>60</v>
      </c>
      <c r="AB106" s="10" t="s">
        <v>60</v>
      </c>
      <c r="AC106" s="10" t="s">
        <v>60</v>
      </c>
      <c r="AD106" s="10" t="s">
        <v>60</v>
      </c>
      <c r="AE106" s="10" t="s">
        <v>60</v>
      </c>
      <c r="AF106" s="10" t="s">
        <v>60</v>
      </c>
    </row>
    <row r="107">
      <c r="A107" s="1" t="s">
        <v>345</v>
      </c>
      <c r="B107" s="1" t="s">
        <v>26</v>
      </c>
      <c r="C107" s="2">
        <v>16.0</v>
      </c>
      <c r="D107" s="1" t="s">
        <v>26</v>
      </c>
      <c r="E107" s="6"/>
      <c r="F107" s="7" t="s">
        <v>143</v>
      </c>
      <c r="G107" s="1" t="s">
        <v>28</v>
      </c>
      <c r="H107" s="4">
        <v>0.21805555555555556</v>
      </c>
      <c r="I107" s="1" t="s">
        <v>38</v>
      </c>
      <c r="J107" s="1" t="s">
        <v>30</v>
      </c>
      <c r="K107" s="4">
        <v>0.4777777777777778</v>
      </c>
      <c r="L107" s="1" t="s">
        <v>108</v>
      </c>
      <c r="M107" s="1" t="s">
        <v>28</v>
      </c>
      <c r="N107" s="4">
        <v>0.7319444444444444</v>
      </c>
      <c r="O107" s="1" t="s">
        <v>412</v>
      </c>
      <c r="P107" s="1" t="s">
        <v>30</v>
      </c>
      <c r="Q107" s="4">
        <v>0.9875</v>
      </c>
      <c r="R107" s="1" t="s">
        <v>58</v>
      </c>
      <c r="S107" s="1">
        <f t="shared" si="1"/>
        <v>137</v>
      </c>
      <c r="T107" s="1">
        <f t="shared" si="2"/>
        <v>133</v>
      </c>
      <c r="U107" s="5">
        <f t="shared" si="3"/>
        <v>137</v>
      </c>
      <c r="V107" s="5" t="s">
        <v>47</v>
      </c>
      <c r="Z107" s="6"/>
      <c r="AA107" s="6"/>
      <c r="AB107" s="6"/>
      <c r="AC107" s="6"/>
      <c r="AD107" s="6"/>
      <c r="AE107" s="6"/>
      <c r="AF107" s="6"/>
    </row>
    <row r="108">
      <c r="A108" s="1" t="s">
        <v>413</v>
      </c>
      <c r="B108" s="1" t="s">
        <v>26</v>
      </c>
      <c r="C108" s="2">
        <v>17.0</v>
      </c>
      <c r="D108" s="1" t="s">
        <v>34</v>
      </c>
      <c r="E108" s="6"/>
      <c r="F108" s="3"/>
      <c r="G108" s="1" t="s">
        <v>28</v>
      </c>
      <c r="H108" s="4">
        <v>0.2388888888888889</v>
      </c>
      <c r="I108" s="1" t="s">
        <v>211</v>
      </c>
      <c r="J108" s="1" t="s">
        <v>30</v>
      </c>
      <c r="K108" s="4">
        <v>0.5055555555555555</v>
      </c>
      <c r="L108" s="1" t="s">
        <v>300</v>
      </c>
      <c r="M108" s="1" t="s">
        <v>28</v>
      </c>
      <c r="N108" s="4">
        <v>0.7597222222222222</v>
      </c>
      <c r="O108" s="1" t="s">
        <v>338</v>
      </c>
      <c r="S108" s="1">
        <f t="shared" si="1"/>
        <v>161</v>
      </c>
      <c r="T108" s="1">
        <f t="shared" si="2"/>
        <v>69</v>
      </c>
      <c r="U108" s="5">
        <f t="shared" si="3"/>
        <v>161</v>
      </c>
      <c r="V108" s="5" t="s">
        <v>47</v>
      </c>
      <c r="Z108" s="6"/>
      <c r="AA108" s="6"/>
      <c r="AB108" s="6"/>
      <c r="AC108" s="6"/>
      <c r="AD108" s="6"/>
      <c r="AE108" s="6"/>
      <c r="AF108" s="6"/>
    </row>
    <row r="109">
      <c r="A109" s="1" t="s">
        <v>413</v>
      </c>
      <c r="B109" s="1" t="s">
        <v>26</v>
      </c>
      <c r="C109" s="2">
        <v>18.0</v>
      </c>
      <c r="D109" s="1" t="s">
        <v>41</v>
      </c>
      <c r="E109" s="1" t="s">
        <v>42</v>
      </c>
      <c r="F109" s="3"/>
      <c r="G109" s="1" t="s">
        <v>30</v>
      </c>
      <c r="H109" s="4">
        <v>0.009027777777777777</v>
      </c>
      <c r="I109" s="1" t="s">
        <v>88</v>
      </c>
      <c r="J109" s="1" t="s">
        <v>28</v>
      </c>
      <c r="K109" s="4">
        <v>0.26180555555555557</v>
      </c>
      <c r="L109" s="1" t="s">
        <v>414</v>
      </c>
      <c r="M109" s="1" t="s">
        <v>30</v>
      </c>
      <c r="N109" s="4">
        <v>0.5333333333333333</v>
      </c>
      <c r="O109" s="1" t="s">
        <v>415</v>
      </c>
      <c r="P109" s="1" t="s">
        <v>28</v>
      </c>
      <c r="Q109" s="4">
        <v>0.7888888888888889</v>
      </c>
      <c r="R109" s="1" t="s">
        <v>167</v>
      </c>
      <c r="S109" s="1">
        <f t="shared" si="1"/>
        <v>147</v>
      </c>
      <c r="T109" s="1">
        <f t="shared" si="2"/>
        <v>156</v>
      </c>
      <c r="U109" s="5">
        <f t="shared" si="3"/>
        <v>156</v>
      </c>
      <c r="V109" s="5" t="s">
        <v>47</v>
      </c>
    </row>
    <row r="110">
      <c r="A110" s="1" t="s">
        <v>413</v>
      </c>
      <c r="B110" s="1" t="s">
        <v>26</v>
      </c>
      <c r="C110" s="2">
        <v>19.0</v>
      </c>
      <c r="D110" s="1" t="s">
        <v>55</v>
      </c>
      <c r="E110" s="1" t="s">
        <v>42</v>
      </c>
      <c r="F110" s="3"/>
      <c r="G110" s="1" t="s">
        <v>30</v>
      </c>
      <c r="H110" s="4">
        <v>0.03125</v>
      </c>
      <c r="I110" s="1" t="s">
        <v>99</v>
      </c>
      <c r="J110" s="1" t="s">
        <v>28</v>
      </c>
      <c r="K110" s="4">
        <v>0.2861111111111111</v>
      </c>
      <c r="L110" s="1" t="s">
        <v>416</v>
      </c>
      <c r="M110" s="1" t="s">
        <v>30</v>
      </c>
      <c r="N110" s="4">
        <v>0.5638888888888889</v>
      </c>
      <c r="O110" s="1" t="s">
        <v>175</v>
      </c>
      <c r="P110" s="1" t="s">
        <v>28</v>
      </c>
      <c r="Q110" s="4">
        <v>0.81875</v>
      </c>
      <c r="R110" s="1" t="s">
        <v>195</v>
      </c>
      <c r="S110" s="1">
        <f t="shared" si="1"/>
        <v>147</v>
      </c>
      <c r="T110" s="1">
        <f t="shared" si="2"/>
        <v>146</v>
      </c>
      <c r="U110" s="5">
        <f t="shared" si="3"/>
        <v>147</v>
      </c>
      <c r="V110" s="5" t="s">
        <v>47</v>
      </c>
      <c r="Z110" s="6"/>
      <c r="AA110" s="6"/>
      <c r="AB110" s="6"/>
      <c r="AC110" s="6"/>
      <c r="AD110" s="6"/>
      <c r="AE110" s="6"/>
      <c r="AF110" s="6"/>
    </row>
    <row r="111">
      <c r="A111" s="1" t="s">
        <v>413</v>
      </c>
      <c r="B111" s="1" t="s">
        <v>26</v>
      </c>
      <c r="C111" s="2">
        <v>20.0</v>
      </c>
      <c r="D111" s="1" t="s">
        <v>25</v>
      </c>
      <c r="E111" s="6"/>
      <c r="F111" s="3"/>
      <c r="G111" s="1" t="s">
        <v>30</v>
      </c>
      <c r="H111" s="4">
        <v>0.05416666666666667</v>
      </c>
      <c r="I111" s="1" t="s">
        <v>31</v>
      </c>
      <c r="J111" s="1" t="s">
        <v>28</v>
      </c>
      <c r="K111" s="4">
        <v>0.31319444444444444</v>
      </c>
      <c r="L111" s="1" t="s">
        <v>417</v>
      </c>
      <c r="M111" s="1" t="s">
        <v>30</v>
      </c>
      <c r="N111" s="4">
        <v>0.5958333333333333</v>
      </c>
      <c r="O111" s="1" t="s">
        <v>177</v>
      </c>
      <c r="P111" s="1" t="s">
        <v>28</v>
      </c>
      <c r="Q111" s="4">
        <v>0.8513888888888889</v>
      </c>
      <c r="R111" s="1" t="s">
        <v>262</v>
      </c>
      <c r="S111" s="1">
        <f t="shared" si="1"/>
        <v>139</v>
      </c>
      <c r="T111" s="1">
        <f t="shared" si="2"/>
        <v>127</v>
      </c>
      <c r="U111" s="5">
        <f t="shared" si="3"/>
        <v>139</v>
      </c>
      <c r="V111" s="5" t="s">
        <v>47</v>
      </c>
      <c r="Z111" s="8" t="s">
        <v>418</v>
      </c>
    </row>
    <row r="112">
      <c r="A112" s="1" t="s">
        <v>413</v>
      </c>
      <c r="B112" s="1" t="s">
        <v>26</v>
      </c>
      <c r="C112" s="2">
        <v>21.0</v>
      </c>
      <c r="D112" s="1" t="s">
        <v>75</v>
      </c>
      <c r="E112" s="6"/>
      <c r="F112" s="3"/>
      <c r="G112" s="1" t="s">
        <v>30</v>
      </c>
      <c r="H112" s="4">
        <v>0.07847222222222222</v>
      </c>
      <c r="I112" s="1" t="s">
        <v>117</v>
      </c>
      <c r="J112" s="1" t="s">
        <v>28</v>
      </c>
      <c r="K112" s="4">
        <v>0.3423611111111111</v>
      </c>
      <c r="L112" s="1" t="s">
        <v>419</v>
      </c>
      <c r="M112" s="1" t="s">
        <v>30</v>
      </c>
      <c r="N112" s="4">
        <v>0.6319444444444444</v>
      </c>
      <c r="O112" s="1" t="s">
        <v>129</v>
      </c>
      <c r="P112" s="1" t="s">
        <v>28</v>
      </c>
      <c r="Q112" s="4">
        <v>0.8875</v>
      </c>
      <c r="R112" s="1" t="s">
        <v>123</v>
      </c>
      <c r="S112" s="1">
        <f t="shared" si="1"/>
        <v>124</v>
      </c>
      <c r="T112" s="1">
        <f t="shared" si="2"/>
        <v>101</v>
      </c>
      <c r="U112" s="5">
        <f t="shared" si="3"/>
        <v>124</v>
      </c>
      <c r="V112" s="5" t="s">
        <v>47</v>
      </c>
      <c r="Z112" s="9" t="s">
        <v>48</v>
      </c>
      <c r="AA112" s="9" t="s">
        <v>49</v>
      </c>
      <c r="AB112" s="9" t="s">
        <v>50</v>
      </c>
      <c r="AC112" s="9" t="s">
        <v>51</v>
      </c>
      <c r="AD112" s="9" t="s">
        <v>52</v>
      </c>
      <c r="AE112" s="9" t="s">
        <v>53</v>
      </c>
      <c r="AF112" s="9" t="s">
        <v>54</v>
      </c>
    </row>
    <row r="113">
      <c r="A113" s="1" t="s">
        <v>413</v>
      </c>
      <c r="B113" s="1" t="s">
        <v>26</v>
      </c>
      <c r="C113" s="2">
        <v>22.0</v>
      </c>
      <c r="D113" s="1" t="s">
        <v>86</v>
      </c>
      <c r="E113" s="6"/>
      <c r="F113" s="3"/>
      <c r="G113" s="1" t="s">
        <v>30</v>
      </c>
      <c r="H113" s="4">
        <v>0.10555555555555556</v>
      </c>
      <c r="I113" s="1" t="s">
        <v>328</v>
      </c>
      <c r="J113" s="1" t="s">
        <v>28</v>
      </c>
      <c r="K113" s="4">
        <v>0.37569444444444444</v>
      </c>
      <c r="L113" s="1" t="s">
        <v>338</v>
      </c>
      <c r="M113" s="1" t="s">
        <v>30</v>
      </c>
      <c r="N113" s="4">
        <v>0.6756944444444445</v>
      </c>
      <c r="O113" s="1" t="s">
        <v>313</v>
      </c>
      <c r="P113" s="1" t="s">
        <v>28</v>
      </c>
      <c r="Q113" s="4">
        <v>0.9354166666666667</v>
      </c>
      <c r="R113" s="1" t="s">
        <v>44</v>
      </c>
      <c r="S113" s="1">
        <f t="shared" si="1"/>
        <v>103</v>
      </c>
      <c r="T113" s="1">
        <f t="shared" si="2"/>
        <v>74</v>
      </c>
      <c r="U113" s="5">
        <f t="shared" si="3"/>
        <v>103</v>
      </c>
      <c r="V113" s="5" t="s">
        <v>90</v>
      </c>
      <c r="Z113" s="10" t="s">
        <v>60</v>
      </c>
      <c r="AA113" s="10" t="s">
        <v>60</v>
      </c>
      <c r="AB113" s="10" t="s">
        <v>60</v>
      </c>
      <c r="AC113" s="10" t="s">
        <v>226</v>
      </c>
      <c r="AD113" s="10" t="s">
        <v>62</v>
      </c>
      <c r="AE113" s="11" t="s">
        <v>420</v>
      </c>
      <c r="AF113" s="11" t="s">
        <v>421</v>
      </c>
    </row>
    <row r="114">
      <c r="A114" s="1" t="s">
        <v>413</v>
      </c>
      <c r="B114" s="1" t="s">
        <v>26</v>
      </c>
      <c r="C114" s="2">
        <v>23.0</v>
      </c>
      <c r="D114" s="1" t="s">
        <v>26</v>
      </c>
      <c r="E114" s="6"/>
      <c r="F114" s="7" t="s">
        <v>184</v>
      </c>
      <c r="G114" s="1" t="s">
        <v>30</v>
      </c>
      <c r="H114" s="4">
        <v>0.13958333333333334</v>
      </c>
      <c r="I114" s="1" t="s">
        <v>422</v>
      </c>
      <c r="J114" s="1" t="s">
        <v>28</v>
      </c>
      <c r="K114" s="4">
        <v>0.4173611111111111</v>
      </c>
      <c r="L114" s="1" t="s">
        <v>388</v>
      </c>
      <c r="M114" s="1" t="s">
        <v>30</v>
      </c>
      <c r="N114" s="4">
        <v>0.7333333333333333</v>
      </c>
      <c r="O114" s="1" t="s">
        <v>31</v>
      </c>
      <c r="S114" s="1">
        <f t="shared" si="1"/>
        <v>80</v>
      </c>
      <c r="T114" s="1">
        <f t="shared" si="2"/>
        <v>52</v>
      </c>
      <c r="U114" s="5">
        <f t="shared" si="3"/>
        <v>80</v>
      </c>
      <c r="V114" s="5" t="s">
        <v>39</v>
      </c>
      <c r="Z114" s="10" t="s">
        <v>139</v>
      </c>
      <c r="AA114" s="10" t="s">
        <v>140</v>
      </c>
      <c r="AB114" s="10" t="s">
        <v>70</v>
      </c>
      <c r="AC114" s="10" t="s">
        <v>399</v>
      </c>
      <c r="AD114" s="10" t="s">
        <v>423</v>
      </c>
      <c r="AE114" s="11" t="s">
        <v>424</v>
      </c>
      <c r="AF114" s="11" t="s">
        <v>425</v>
      </c>
    </row>
    <row r="115">
      <c r="A115" s="1" t="s">
        <v>413</v>
      </c>
      <c r="B115" s="1" t="s">
        <v>26</v>
      </c>
      <c r="C115" s="2">
        <v>24.0</v>
      </c>
      <c r="D115" s="1" t="s">
        <v>34</v>
      </c>
      <c r="E115" s="6"/>
      <c r="F115" s="3"/>
      <c r="G115" s="1" t="s">
        <v>28</v>
      </c>
      <c r="H115" s="4">
        <v>0.003472222222222222</v>
      </c>
      <c r="I115" s="1" t="s">
        <v>426</v>
      </c>
      <c r="J115" s="1" t="s">
        <v>30</v>
      </c>
      <c r="K115" s="4">
        <v>0.19375</v>
      </c>
      <c r="L115" s="1" t="s">
        <v>427</v>
      </c>
      <c r="M115" s="1" t="s">
        <v>28</v>
      </c>
      <c r="N115" s="4">
        <v>0.4756944444444444</v>
      </c>
      <c r="O115" s="1" t="s">
        <v>360</v>
      </c>
      <c r="P115" s="1" t="s">
        <v>30</v>
      </c>
      <c r="Q115" s="4">
        <v>0.8034722222222223</v>
      </c>
      <c r="R115" s="1" t="s">
        <v>112</v>
      </c>
      <c r="S115" s="1">
        <f t="shared" si="1"/>
        <v>20</v>
      </c>
      <c r="T115" s="1">
        <f t="shared" si="2"/>
        <v>91</v>
      </c>
      <c r="U115" s="5">
        <f t="shared" si="3"/>
        <v>91</v>
      </c>
      <c r="V115" s="5" t="s">
        <v>90</v>
      </c>
      <c r="Z115" s="10" t="s">
        <v>367</v>
      </c>
      <c r="AA115" s="10" t="s">
        <v>151</v>
      </c>
      <c r="AB115" s="10" t="s">
        <v>81</v>
      </c>
      <c r="AC115" s="10" t="s">
        <v>428</v>
      </c>
      <c r="AD115" s="10" t="s">
        <v>403</v>
      </c>
      <c r="AE115" s="11" t="s">
        <v>84</v>
      </c>
      <c r="AF115" s="11" t="s">
        <v>429</v>
      </c>
    </row>
    <row r="116">
      <c r="A116" s="1" t="s">
        <v>413</v>
      </c>
      <c r="B116" s="1" t="s">
        <v>26</v>
      </c>
      <c r="C116" s="2">
        <v>25.0</v>
      </c>
      <c r="D116" s="1" t="s">
        <v>41</v>
      </c>
      <c r="E116" s="1" t="s">
        <v>42</v>
      </c>
      <c r="F116" s="3"/>
      <c r="G116" s="1" t="s">
        <v>28</v>
      </c>
      <c r="H116" s="4">
        <v>0.07430555555555556</v>
      </c>
      <c r="I116" s="1" t="s">
        <v>359</v>
      </c>
      <c r="J116" s="1" t="s">
        <v>30</v>
      </c>
      <c r="K116" s="4">
        <v>0.27847222222222223</v>
      </c>
      <c r="L116" s="1" t="s">
        <v>290</v>
      </c>
      <c r="M116" s="1" t="s">
        <v>28</v>
      </c>
      <c r="N116" s="4">
        <v>0.55</v>
      </c>
      <c r="O116" s="1" t="s">
        <v>131</v>
      </c>
      <c r="P116" s="1" t="s">
        <v>30</v>
      </c>
      <c r="Q116" s="4">
        <v>0.8576388888888888</v>
      </c>
      <c r="R116" s="1" t="s">
        <v>112</v>
      </c>
      <c r="S116" s="1">
        <f t="shared" si="1"/>
        <v>22</v>
      </c>
      <c r="T116" s="1">
        <f t="shared" si="2"/>
        <v>87</v>
      </c>
      <c r="U116" s="5">
        <f t="shared" si="3"/>
        <v>87</v>
      </c>
      <c r="V116" s="5" t="s">
        <v>39</v>
      </c>
      <c r="Z116" s="10" t="s">
        <v>430</v>
      </c>
      <c r="AA116" s="10" t="s">
        <v>350</v>
      </c>
      <c r="AB116" s="10" t="s">
        <v>375</v>
      </c>
      <c r="AC116" s="10" t="s">
        <v>283</v>
      </c>
      <c r="AD116" s="10" t="s">
        <v>95</v>
      </c>
      <c r="AE116" s="11" t="s">
        <v>431</v>
      </c>
      <c r="AF116" s="11" t="s">
        <v>432</v>
      </c>
    </row>
    <row r="117">
      <c r="A117" s="1" t="s">
        <v>413</v>
      </c>
      <c r="B117" s="1" t="s">
        <v>26</v>
      </c>
      <c r="C117" s="2">
        <v>26.0</v>
      </c>
      <c r="D117" s="1" t="s">
        <v>55</v>
      </c>
      <c r="E117" s="1" t="s">
        <v>42</v>
      </c>
      <c r="F117" s="3"/>
      <c r="G117" s="1" t="s">
        <v>28</v>
      </c>
      <c r="H117" s="4">
        <v>0.11944444444444445</v>
      </c>
      <c r="I117" s="1" t="s">
        <v>296</v>
      </c>
      <c r="J117" s="1" t="s">
        <v>30</v>
      </c>
      <c r="K117" s="4">
        <v>0.35694444444444445</v>
      </c>
      <c r="L117" s="1" t="s">
        <v>291</v>
      </c>
      <c r="M117" s="1" t="s">
        <v>28</v>
      </c>
      <c r="N117" s="4">
        <v>0.6090277777777777</v>
      </c>
      <c r="O117" s="1" t="s">
        <v>251</v>
      </c>
      <c r="P117" s="1" t="s">
        <v>30</v>
      </c>
      <c r="Q117" s="4">
        <v>0.8951388888888889</v>
      </c>
      <c r="R117" s="1" t="s">
        <v>118</v>
      </c>
      <c r="S117" s="1">
        <f t="shared" si="1"/>
        <v>42</v>
      </c>
      <c r="T117" s="1">
        <f t="shared" si="2"/>
        <v>91</v>
      </c>
      <c r="U117" s="5">
        <f t="shared" si="3"/>
        <v>91</v>
      </c>
      <c r="V117" s="5" t="s">
        <v>90</v>
      </c>
      <c r="Z117" s="10" t="s">
        <v>433</v>
      </c>
      <c r="AA117" s="10" t="s">
        <v>381</v>
      </c>
      <c r="AB117" s="10" t="s">
        <v>352</v>
      </c>
      <c r="AC117" s="10" t="s">
        <v>324</v>
      </c>
      <c r="AD117" s="10" t="s">
        <v>354</v>
      </c>
      <c r="AE117" s="11" t="s">
        <v>106</v>
      </c>
      <c r="AF117" s="10" t="s">
        <v>60</v>
      </c>
    </row>
    <row r="118">
      <c r="A118" s="1" t="s">
        <v>413</v>
      </c>
      <c r="B118" s="1" t="s">
        <v>26</v>
      </c>
      <c r="C118" s="2">
        <v>27.0</v>
      </c>
      <c r="D118" s="1" t="s">
        <v>25</v>
      </c>
      <c r="E118" s="6"/>
      <c r="F118" s="3"/>
      <c r="G118" s="1" t="s">
        <v>28</v>
      </c>
      <c r="H118" s="4">
        <v>0.1486111111111111</v>
      </c>
      <c r="I118" s="1" t="s">
        <v>128</v>
      </c>
      <c r="J118" s="1" t="s">
        <v>30</v>
      </c>
      <c r="K118" s="4">
        <v>0.4027777777777778</v>
      </c>
      <c r="L118" s="1" t="s">
        <v>191</v>
      </c>
      <c r="M118" s="1" t="s">
        <v>28</v>
      </c>
      <c r="N118" s="4">
        <v>0.6520833333333333</v>
      </c>
      <c r="O118" s="1" t="s">
        <v>335</v>
      </c>
      <c r="P118" s="1" t="s">
        <v>30</v>
      </c>
      <c r="Q118" s="4">
        <v>0.9229166666666667</v>
      </c>
      <c r="R118" s="1" t="s">
        <v>118</v>
      </c>
      <c r="S118" s="1">
        <f t="shared" si="1"/>
        <v>67</v>
      </c>
      <c r="T118" s="1">
        <f t="shared" si="2"/>
        <v>95</v>
      </c>
      <c r="U118" s="5">
        <f t="shared" si="3"/>
        <v>95</v>
      </c>
      <c r="V118" s="5" t="s">
        <v>90</v>
      </c>
      <c r="Z118" s="10" t="s">
        <v>60</v>
      </c>
      <c r="AA118" s="10" t="s">
        <v>60</v>
      </c>
      <c r="AB118" s="10" t="s">
        <v>60</v>
      </c>
      <c r="AC118" s="10" t="s">
        <v>60</v>
      </c>
      <c r="AD118" s="10" t="s">
        <v>60</v>
      </c>
      <c r="AE118" s="10" t="s">
        <v>60</v>
      </c>
      <c r="AF118" s="10" t="s">
        <v>60</v>
      </c>
    </row>
    <row r="119">
      <c r="A119" s="1" t="s">
        <v>413</v>
      </c>
      <c r="B119" s="1" t="s">
        <v>26</v>
      </c>
      <c r="C119" s="2">
        <v>28.0</v>
      </c>
      <c r="D119" s="1" t="s">
        <v>75</v>
      </c>
      <c r="E119" s="6"/>
      <c r="F119" s="3"/>
      <c r="G119" s="1" t="s">
        <v>28</v>
      </c>
      <c r="H119" s="4">
        <v>0.17222222222222222</v>
      </c>
      <c r="I119" s="1" t="s">
        <v>251</v>
      </c>
      <c r="J119" s="1" t="s">
        <v>30</v>
      </c>
      <c r="K119" s="4">
        <v>0.4354166666666667</v>
      </c>
      <c r="L119" s="1" t="s">
        <v>200</v>
      </c>
      <c r="M119" s="1" t="s">
        <v>28</v>
      </c>
      <c r="N119" s="4">
        <v>0.6861111111111111</v>
      </c>
      <c r="O119" s="1" t="s">
        <v>89</v>
      </c>
      <c r="P119" s="1" t="s">
        <v>30</v>
      </c>
      <c r="Q119" s="4">
        <v>0.9458333333333333</v>
      </c>
      <c r="R119" s="1" t="s">
        <v>118</v>
      </c>
      <c r="S119" s="1">
        <f t="shared" si="1"/>
        <v>90</v>
      </c>
      <c r="T119" s="1">
        <f t="shared" si="2"/>
        <v>98</v>
      </c>
      <c r="U119" s="5">
        <f t="shared" si="3"/>
        <v>98</v>
      </c>
      <c r="V119" s="5" t="s">
        <v>90</v>
      </c>
      <c r="Z119" s="6"/>
      <c r="AA119" s="6"/>
      <c r="AB119" s="6"/>
      <c r="AC119" s="6"/>
      <c r="AD119" s="6"/>
      <c r="AE119" s="6"/>
      <c r="AF119" s="6"/>
    </row>
    <row r="120">
      <c r="A120" s="1" t="s">
        <v>413</v>
      </c>
      <c r="B120" s="1" t="s">
        <v>26</v>
      </c>
      <c r="C120" s="2">
        <v>29.0</v>
      </c>
      <c r="D120" s="1" t="s">
        <v>86</v>
      </c>
      <c r="E120" s="6"/>
      <c r="F120" s="3"/>
      <c r="G120" s="1" t="s">
        <v>28</v>
      </c>
      <c r="H120" s="4">
        <v>0.19375</v>
      </c>
      <c r="I120" s="1" t="s">
        <v>307</v>
      </c>
      <c r="J120" s="1" t="s">
        <v>30</v>
      </c>
      <c r="K120" s="4">
        <v>0.4618055555555556</v>
      </c>
      <c r="L120" s="1" t="s">
        <v>45</v>
      </c>
      <c r="M120" s="1" t="s">
        <v>28</v>
      </c>
      <c r="N120" s="4">
        <v>0.7145833333333333</v>
      </c>
      <c r="O120" s="1" t="s">
        <v>265</v>
      </c>
      <c r="P120" s="1" t="s">
        <v>30</v>
      </c>
      <c r="Q120" s="4">
        <v>0.9645833333333333</v>
      </c>
      <c r="R120" s="1" t="s">
        <v>118</v>
      </c>
      <c r="S120" s="1">
        <f t="shared" si="1"/>
        <v>110</v>
      </c>
      <c r="T120" s="1">
        <f t="shared" si="2"/>
        <v>99</v>
      </c>
      <c r="U120" s="5">
        <f t="shared" si="3"/>
        <v>110</v>
      </c>
      <c r="V120" s="5" t="s">
        <v>90</v>
      </c>
      <c r="Z120" s="6"/>
      <c r="AA120" s="6"/>
      <c r="AB120" s="6"/>
      <c r="AC120" s="6"/>
      <c r="AD120" s="6"/>
      <c r="AE120" s="6"/>
      <c r="AF120" s="6"/>
    </row>
    <row r="121">
      <c r="A121" s="1" t="s">
        <v>413</v>
      </c>
      <c r="B121" s="1" t="s">
        <v>26</v>
      </c>
      <c r="C121" s="2">
        <v>30.0</v>
      </c>
      <c r="D121" s="1" t="s">
        <v>26</v>
      </c>
      <c r="E121" s="6"/>
      <c r="F121" s="3"/>
      <c r="G121" s="1" t="s">
        <v>28</v>
      </c>
      <c r="H121" s="4">
        <v>0.21388888888888888</v>
      </c>
      <c r="I121" s="1" t="s">
        <v>434</v>
      </c>
      <c r="J121" s="1" t="s">
        <v>30</v>
      </c>
      <c r="K121" s="4">
        <v>0.4861111111111111</v>
      </c>
      <c r="L121" s="1" t="s">
        <v>174</v>
      </c>
      <c r="M121" s="1" t="s">
        <v>28</v>
      </c>
      <c r="N121" s="4">
        <v>0.7409722222222223</v>
      </c>
      <c r="O121" s="1" t="s">
        <v>89</v>
      </c>
      <c r="P121" s="1" t="s">
        <v>30</v>
      </c>
      <c r="Q121" s="4">
        <v>0.9826388888888888</v>
      </c>
      <c r="R121" s="1" t="s">
        <v>200</v>
      </c>
      <c r="S121" s="1">
        <f t="shared" si="1"/>
        <v>126</v>
      </c>
      <c r="T121" s="1">
        <f t="shared" si="2"/>
        <v>97</v>
      </c>
      <c r="U121" s="5">
        <f t="shared" si="3"/>
        <v>126</v>
      </c>
      <c r="V121" s="5" t="s">
        <v>47</v>
      </c>
    </row>
    <row r="122">
      <c r="A122" s="1" t="s">
        <v>413</v>
      </c>
      <c r="B122" s="1" t="s">
        <v>34</v>
      </c>
      <c r="C122" s="2">
        <v>1.0</v>
      </c>
      <c r="D122" s="1" t="s">
        <v>34</v>
      </c>
      <c r="E122" s="1" t="s">
        <v>435</v>
      </c>
      <c r="F122" s="7" t="s">
        <v>35</v>
      </c>
      <c r="G122" s="1" t="s">
        <v>28</v>
      </c>
      <c r="H122" s="4">
        <v>0.23402777777777778</v>
      </c>
      <c r="I122" s="1" t="s">
        <v>216</v>
      </c>
      <c r="J122" s="1" t="s">
        <v>30</v>
      </c>
      <c r="K122" s="4">
        <v>0.5083333333333333</v>
      </c>
      <c r="L122" s="1" t="s">
        <v>215</v>
      </c>
      <c r="M122" s="1" t="s">
        <v>28</v>
      </c>
      <c r="N122" s="4">
        <v>0.7652777777777777</v>
      </c>
      <c r="O122" s="1" t="s">
        <v>179</v>
      </c>
      <c r="S122" s="1">
        <f t="shared" si="1"/>
        <v>137</v>
      </c>
      <c r="T122" s="1">
        <f t="shared" si="2"/>
        <v>45</v>
      </c>
      <c r="U122" s="5">
        <f t="shared" si="3"/>
        <v>137</v>
      </c>
      <c r="V122" s="5" t="s">
        <v>47</v>
      </c>
      <c r="Z122" s="6"/>
      <c r="AA122" s="6"/>
      <c r="AB122" s="6"/>
      <c r="AC122" s="6"/>
      <c r="AD122" s="6"/>
      <c r="AE122" s="6"/>
      <c r="AF122" s="6"/>
    </row>
    <row r="123">
      <c r="A123" s="1" t="s">
        <v>413</v>
      </c>
      <c r="B123" s="1" t="s">
        <v>34</v>
      </c>
      <c r="C123" s="2">
        <v>2.0</v>
      </c>
      <c r="D123" s="1" t="s">
        <v>41</v>
      </c>
      <c r="E123" s="1" t="s">
        <v>42</v>
      </c>
      <c r="F123" s="3"/>
      <c r="G123" s="1" t="s">
        <v>30</v>
      </c>
      <c r="H123" s="4">
        <v>6.944444444444445E-4</v>
      </c>
      <c r="I123" s="1" t="s">
        <v>223</v>
      </c>
      <c r="J123" s="1" t="s">
        <v>28</v>
      </c>
      <c r="K123" s="4">
        <v>0.2534722222222222</v>
      </c>
      <c r="L123" s="1" t="s">
        <v>436</v>
      </c>
      <c r="M123" s="1" t="s">
        <v>30</v>
      </c>
      <c r="N123" s="4">
        <v>0.5298611111111111</v>
      </c>
      <c r="O123" s="1" t="s">
        <v>386</v>
      </c>
      <c r="P123" s="1" t="s">
        <v>28</v>
      </c>
      <c r="Q123" s="4">
        <v>0.7888888888888889</v>
      </c>
      <c r="R123" s="1" t="s">
        <v>292</v>
      </c>
      <c r="S123" s="1">
        <f t="shared" si="1"/>
        <v>114</v>
      </c>
      <c r="T123" s="1">
        <f t="shared" si="2"/>
        <v>117</v>
      </c>
      <c r="U123" s="5">
        <f t="shared" si="3"/>
        <v>117</v>
      </c>
      <c r="V123" s="5" t="s">
        <v>90</v>
      </c>
      <c r="Z123" s="8" t="s">
        <v>437</v>
      </c>
    </row>
    <row r="124">
      <c r="A124" s="1" t="s">
        <v>413</v>
      </c>
      <c r="B124" s="1" t="s">
        <v>34</v>
      </c>
      <c r="C124" s="2">
        <v>3.0</v>
      </c>
      <c r="D124" s="1" t="s">
        <v>55</v>
      </c>
      <c r="E124" s="1" t="s">
        <v>42</v>
      </c>
      <c r="F124" s="3"/>
      <c r="G124" s="1" t="s">
        <v>30</v>
      </c>
      <c r="H124" s="4">
        <v>0.019444444444444445</v>
      </c>
      <c r="I124" s="1" t="s">
        <v>115</v>
      </c>
      <c r="J124" s="1" t="s">
        <v>28</v>
      </c>
      <c r="K124" s="4">
        <v>0.27361111111111114</v>
      </c>
      <c r="L124" s="1" t="s">
        <v>338</v>
      </c>
      <c r="M124" s="1" t="s">
        <v>30</v>
      </c>
      <c r="N124" s="4">
        <v>0.5520833333333334</v>
      </c>
      <c r="O124" s="1" t="s">
        <v>386</v>
      </c>
      <c r="P124" s="1" t="s">
        <v>28</v>
      </c>
      <c r="Q124" s="4">
        <v>0.8118055555555556</v>
      </c>
      <c r="R124" s="1" t="s">
        <v>402</v>
      </c>
      <c r="S124" s="1">
        <f t="shared" si="1"/>
        <v>114</v>
      </c>
      <c r="T124" s="1">
        <f t="shared" si="2"/>
        <v>111</v>
      </c>
      <c r="U124" s="5">
        <f t="shared" si="3"/>
        <v>114</v>
      </c>
      <c r="V124" s="5" t="s">
        <v>90</v>
      </c>
      <c r="Z124" s="9" t="s">
        <v>48</v>
      </c>
      <c r="AA124" s="9" t="s">
        <v>49</v>
      </c>
      <c r="AB124" s="9" t="s">
        <v>50</v>
      </c>
      <c r="AC124" s="9" t="s">
        <v>51</v>
      </c>
      <c r="AD124" s="9" t="s">
        <v>52</v>
      </c>
      <c r="AE124" s="9" t="s">
        <v>53</v>
      </c>
      <c r="AF124" s="9" t="s">
        <v>54</v>
      </c>
    </row>
    <row r="125">
      <c r="A125" s="1" t="s">
        <v>413</v>
      </c>
      <c r="B125" s="1" t="s">
        <v>34</v>
      </c>
      <c r="C125" s="2">
        <v>4.0</v>
      </c>
      <c r="D125" s="1" t="s">
        <v>25</v>
      </c>
      <c r="E125" s="6"/>
      <c r="F125" s="3"/>
      <c r="G125" s="1" t="s">
        <v>30</v>
      </c>
      <c r="H125" s="4">
        <v>0.03819444444444445</v>
      </c>
      <c r="I125" s="1" t="s">
        <v>333</v>
      </c>
      <c r="J125" s="1" t="s">
        <v>28</v>
      </c>
      <c r="K125" s="4">
        <v>0.29375</v>
      </c>
      <c r="L125" s="1" t="s">
        <v>436</v>
      </c>
      <c r="M125" s="1" t="s">
        <v>30</v>
      </c>
      <c r="N125" s="4">
        <v>0.5743055555555555</v>
      </c>
      <c r="O125" s="1" t="s">
        <v>215</v>
      </c>
      <c r="P125" s="1" t="s">
        <v>28</v>
      </c>
      <c r="Q125" s="4">
        <v>0.8347222222222223</v>
      </c>
      <c r="R125" s="1" t="s">
        <v>181</v>
      </c>
      <c r="S125" s="1">
        <f t="shared" si="1"/>
        <v>110</v>
      </c>
      <c r="T125" s="1">
        <f t="shared" si="2"/>
        <v>101</v>
      </c>
      <c r="U125" s="5">
        <f t="shared" si="3"/>
        <v>110</v>
      </c>
      <c r="V125" s="5" t="s">
        <v>90</v>
      </c>
      <c r="Z125" s="10" t="s">
        <v>60</v>
      </c>
      <c r="AA125" s="10" t="s">
        <v>60</v>
      </c>
      <c r="AB125" s="10" t="s">
        <v>60</v>
      </c>
      <c r="AC125" s="10" t="s">
        <v>60</v>
      </c>
      <c r="AD125" s="10" t="s">
        <v>60</v>
      </c>
      <c r="AE125" s="10" t="s">
        <v>60</v>
      </c>
      <c r="AF125" s="11" t="s">
        <v>438</v>
      </c>
    </row>
    <row r="126">
      <c r="A126" s="1" t="s">
        <v>413</v>
      </c>
      <c r="B126" s="1" t="s">
        <v>34</v>
      </c>
      <c r="C126" s="2">
        <v>5.0</v>
      </c>
      <c r="D126" s="1" t="s">
        <v>75</v>
      </c>
      <c r="E126" s="6"/>
      <c r="F126" s="3"/>
      <c r="G126" s="1" t="s">
        <v>30</v>
      </c>
      <c r="H126" s="4">
        <v>0.05763888888888889</v>
      </c>
      <c r="I126" s="1" t="s">
        <v>120</v>
      </c>
      <c r="J126" s="1" t="s">
        <v>28</v>
      </c>
      <c r="K126" s="4">
        <v>0.3145833333333333</v>
      </c>
      <c r="L126" s="1" t="s">
        <v>385</v>
      </c>
      <c r="M126" s="1" t="s">
        <v>30</v>
      </c>
      <c r="N126" s="4">
        <v>0.5979166666666667</v>
      </c>
      <c r="O126" s="1" t="s">
        <v>274</v>
      </c>
      <c r="P126" s="1" t="s">
        <v>28</v>
      </c>
      <c r="Q126" s="4">
        <v>0.8576388888888888</v>
      </c>
      <c r="R126" s="1" t="s">
        <v>256</v>
      </c>
      <c r="S126" s="1">
        <f t="shared" si="1"/>
        <v>105</v>
      </c>
      <c r="T126" s="1">
        <f t="shared" si="2"/>
        <v>89</v>
      </c>
      <c r="U126" s="5">
        <f t="shared" si="3"/>
        <v>105</v>
      </c>
      <c r="V126" s="5" t="s">
        <v>90</v>
      </c>
      <c r="Z126" s="10" t="s">
        <v>439</v>
      </c>
      <c r="AA126" s="10" t="s">
        <v>393</v>
      </c>
      <c r="AB126" s="10" t="s">
        <v>271</v>
      </c>
      <c r="AC126" s="10" t="s">
        <v>139</v>
      </c>
      <c r="AD126" s="10" t="s">
        <v>140</v>
      </c>
      <c r="AE126" s="11" t="s">
        <v>440</v>
      </c>
      <c r="AF126" s="11" t="s">
        <v>441</v>
      </c>
    </row>
    <row r="127">
      <c r="A127" s="1" t="s">
        <v>413</v>
      </c>
      <c r="B127" s="1" t="s">
        <v>34</v>
      </c>
      <c r="C127" s="2">
        <v>6.0</v>
      </c>
      <c r="D127" s="1" t="s">
        <v>86</v>
      </c>
      <c r="E127" s="6"/>
      <c r="F127" s="3"/>
      <c r="G127" s="1" t="s">
        <v>30</v>
      </c>
      <c r="H127" s="4">
        <v>0.07777777777777778</v>
      </c>
      <c r="I127" s="1" t="s">
        <v>328</v>
      </c>
      <c r="J127" s="1" t="s">
        <v>28</v>
      </c>
      <c r="K127" s="4">
        <v>0.33819444444444446</v>
      </c>
      <c r="L127" s="1" t="s">
        <v>158</v>
      </c>
      <c r="M127" s="1" t="s">
        <v>30</v>
      </c>
      <c r="N127" s="4">
        <v>0.6229166666666667</v>
      </c>
      <c r="O127" s="1" t="s">
        <v>45</v>
      </c>
      <c r="P127" s="1" t="s">
        <v>28</v>
      </c>
      <c r="Q127" s="4">
        <v>0.8833333333333333</v>
      </c>
      <c r="R127" s="1" t="s">
        <v>65</v>
      </c>
      <c r="S127" s="1">
        <f t="shared" si="1"/>
        <v>95</v>
      </c>
      <c r="T127" s="1">
        <f t="shared" si="2"/>
        <v>74</v>
      </c>
      <c r="U127" s="5">
        <f t="shared" si="3"/>
        <v>95</v>
      </c>
      <c r="V127" s="5" t="s">
        <v>90</v>
      </c>
      <c r="Z127" s="10" t="s">
        <v>442</v>
      </c>
      <c r="AA127" s="10" t="s">
        <v>342</v>
      </c>
      <c r="AB127" s="10" t="s">
        <v>309</v>
      </c>
      <c r="AC127" s="10" t="s">
        <v>310</v>
      </c>
      <c r="AD127" s="10" t="s">
        <v>151</v>
      </c>
      <c r="AE127" s="11" t="s">
        <v>198</v>
      </c>
      <c r="AF127" s="11" t="s">
        <v>443</v>
      </c>
    </row>
    <row r="128">
      <c r="A128" s="1" t="s">
        <v>413</v>
      </c>
      <c r="B128" s="1" t="s">
        <v>34</v>
      </c>
      <c r="C128" s="2">
        <v>7.0</v>
      </c>
      <c r="D128" s="1" t="s">
        <v>26</v>
      </c>
      <c r="E128" s="6"/>
      <c r="F128" s="3"/>
      <c r="G128" s="1" t="s">
        <v>30</v>
      </c>
      <c r="H128" s="4">
        <v>0.10069444444444445</v>
      </c>
      <c r="I128" s="1" t="s">
        <v>327</v>
      </c>
      <c r="J128" s="1" t="s">
        <v>28</v>
      </c>
      <c r="K128" s="4">
        <v>0.3638888888888889</v>
      </c>
      <c r="L128" s="1" t="s">
        <v>147</v>
      </c>
      <c r="M128" s="1" t="s">
        <v>30</v>
      </c>
      <c r="N128" s="4">
        <v>0.6520833333333333</v>
      </c>
      <c r="O128" s="1" t="s">
        <v>134</v>
      </c>
      <c r="P128" s="1" t="s">
        <v>28</v>
      </c>
      <c r="Q128" s="4">
        <v>0.9159722222222222</v>
      </c>
      <c r="R128" s="1" t="s">
        <v>44</v>
      </c>
      <c r="S128" s="1">
        <f t="shared" si="1"/>
        <v>83</v>
      </c>
      <c r="T128" s="1">
        <f t="shared" si="2"/>
        <v>60</v>
      </c>
      <c r="U128" s="5">
        <f t="shared" si="3"/>
        <v>83</v>
      </c>
      <c r="V128" s="5" t="s">
        <v>39</v>
      </c>
      <c r="Z128" s="10" t="s">
        <v>403</v>
      </c>
      <c r="AA128" s="10" t="s">
        <v>444</v>
      </c>
      <c r="AB128" s="10" t="s">
        <v>372</v>
      </c>
      <c r="AC128" s="10" t="s">
        <v>373</v>
      </c>
      <c r="AD128" s="10" t="s">
        <v>350</v>
      </c>
      <c r="AE128" s="11" t="s">
        <v>445</v>
      </c>
      <c r="AF128" s="11" t="s">
        <v>204</v>
      </c>
    </row>
    <row r="129">
      <c r="A129" s="1" t="s">
        <v>413</v>
      </c>
      <c r="B129" s="1" t="s">
        <v>34</v>
      </c>
      <c r="C129" s="2">
        <v>8.0</v>
      </c>
      <c r="D129" s="1" t="s">
        <v>34</v>
      </c>
      <c r="E129" s="6"/>
      <c r="F129" s="3"/>
      <c r="G129" s="1" t="s">
        <v>30</v>
      </c>
      <c r="H129" s="4">
        <v>0.1284722222222222</v>
      </c>
      <c r="I129" s="1" t="s">
        <v>291</v>
      </c>
      <c r="J129" s="1" t="s">
        <v>28</v>
      </c>
      <c r="K129" s="4">
        <v>0.39444444444444443</v>
      </c>
      <c r="L129" s="1" t="s">
        <v>301</v>
      </c>
      <c r="M129" s="1" t="s">
        <v>30</v>
      </c>
      <c r="N129" s="4">
        <v>0.6902777777777778</v>
      </c>
      <c r="O129" s="1" t="s">
        <v>446</v>
      </c>
      <c r="P129" s="1" t="s">
        <v>28</v>
      </c>
      <c r="Q129" s="4">
        <v>0.9673611111111111</v>
      </c>
      <c r="R129" s="1" t="s">
        <v>36</v>
      </c>
      <c r="S129" s="1">
        <f t="shared" si="1"/>
        <v>69</v>
      </c>
      <c r="T129" s="1">
        <f t="shared" si="2"/>
        <v>48</v>
      </c>
      <c r="U129" s="5">
        <f t="shared" si="3"/>
        <v>69</v>
      </c>
      <c r="V129" s="5" t="s">
        <v>39</v>
      </c>
      <c r="Z129" s="10" t="s">
        <v>206</v>
      </c>
      <c r="AA129" s="10" t="s">
        <v>447</v>
      </c>
      <c r="AB129" s="10" t="s">
        <v>448</v>
      </c>
      <c r="AC129" s="10" t="s">
        <v>380</v>
      </c>
      <c r="AD129" s="10" t="s">
        <v>381</v>
      </c>
      <c r="AE129" s="11" t="s">
        <v>209</v>
      </c>
      <c r="AF129" s="11" t="s">
        <v>210</v>
      </c>
    </row>
    <row r="130">
      <c r="A130" s="1" t="s">
        <v>413</v>
      </c>
      <c r="B130" s="1" t="s">
        <v>34</v>
      </c>
      <c r="C130" s="2">
        <v>9.0</v>
      </c>
      <c r="D130" s="1" t="s">
        <v>41</v>
      </c>
      <c r="E130" s="1" t="s">
        <v>42</v>
      </c>
      <c r="F130" s="7" t="s">
        <v>107</v>
      </c>
      <c r="G130" s="1" t="s">
        <v>30</v>
      </c>
      <c r="H130" s="4">
        <v>0.16805555555555557</v>
      </c>
      <c r="I130" s="1" t="s">
        <v>427</v>
      </c>
      <c r="J130" s="1" t="s">
        <v>28</v>
      </c>
      <c r="K130" s="4">
        <v>0.4354166666666667</v>
      </c>
      <c r="L130" s="1" t="s">
        <v>131</v>
      </c>
      <c r="M130" s="1" t="s">
        <v>30</v>
      </c>
      <c r="N130" s="4">
        <v>0.74375</v>
      </c>
      <c r="O130" s="1" t="s">
        <v>286</v>
      </c>
      <c r="S130" s="1">
        <f t="shared" si="1"/>
        <v>55</v>
      </c>
      <c r="T130" s="1">
        <f t="shared" si="2"/>
        <v>35</v>
      </c>
      <c r="U130" s="5">
        <f t="shared" si="3"/>
        <v>55</v>
      </c>
      <c r="V130" s="5" t="s">
        <v>39</v>
      </c>
      <c r="Z130" s="10" t="s">
        <v>449</v>
      </c>
      <c r="AA130" s="10" t="s">
        <v>60</v>
      </c>
      <c r="AB130" s="10" t="s">
        <v>60</v>
      </c>
      <c r="AC130" s="10" t="s">
        <v>60</v>
      </c>
      <c r="AD130" s="10" t="s">
        <v>60</v>
      </c>
      <c r="AE130" s="10" t="s">
        <v>60</v>
      </c>
      <c r="AF130" s="10" t="s">
        <v>60</v>
      </c>
    </row>
    <row r="131">
      <c r="A131" s="1" t="s">
        <v>413</v>
      </c>
      <c r="B131" s="1" t="s">
        <v>34</v>
      </c>
      <c r="C131" s="2">
        <v>10.0</v>
      </c>
      <c r="D131" s="1" t="s">
        <v>55</v>
      </c>
      <c r="E131" s="1" t="s">
        <v>42</v>
      </c>
      <c r="F131" s="3"/>
      <c r="G131" s="1" t="s">
        <v>28</v>
      </c>
      <c r="H131" s="4">
        <v>0.03125</v>
      </c>
      <c r="I131" s="1" t="s">
        <v>44</v>
      </c>
      <c r="J131" s="1" t="s">
        <v>30</v>
      </c>
      <c r="K131" s="4">
        <v>0.23125</v>
      </c>
      <c r="L131" s="1" t="s">
        <v>116</v>
      </c>
      <c r="M131" s="1" t="s">
        <v>28</v>
      </c>
      <c r="N131" s="4">
        <v>0.49166666666666664</v>
      </c>
      <c r="O131" s="1" t="s">
        <v>402</v>
      </c>
      <c r="P131" s="1" t="s">
        <v>30</v>
      </c>
      <c r="Q131" s="4">
        <v>0.8013888888888889</v>
      </c>
      <c r="R131" s="1" t="s">
        <v>286</v>
      </c>
      <c r="S131" s="1">
        <f t="shared" si="1"/>
        <v>21</v>
      </c>
      <c r="T131" s="1">
        <f t="shared" si="2"/>
        <v>70</v>
      </c>
      <c r="U131" s="5">
        <f t="shared" si="3"/>
        <v>70</v>
      </c>
      <c r="V131" s="5" t="s">
        <v>39</v>
      </c>
      <c r="Z131" s="6"/>
      <c r="AA131" s="6"/>
      <c r="AB131" s="6"/>
      <c r="AC131" s="6"/>
      <c r="AD131" s="6"/>
      <c r="AE131" s="6"/>
      <c r="AF131" s="6"/>
    </row>
    <row r="132">
      <c r="A132" s="1" t="s">
        <v>413</v>
      </c>
      <c r="B132" s="1" t="s">
        <v>34</v>
      </c>
      <c r="C132" s="2">
        <v>11.0</v>
      </c>
      <c r="D132" s="1" t="s">
        <v>25</v>
      </c>
      <c r="E132" s="6"/>
      <c r="F132" s="3"/>
      <c r="G132" s="1" t="s">
        <v>28</v>
      </c>
      <c r="H132" s="4">
        <v>0.07847222222222222</v>
      </c>
      <c r="I132" s="1" t="s">
        <v>230</v>
      </c>
      <c r="J132" s="1" t="s">
        <v>30</v>
      </c>
      <c r="K132" s="4">
        <v>0.3020833333333333</v>
      </c>
      <c r="L132" s="1" t="s">
        <v>427</v>
      </c>
      <c r="M132" s="1" t="s">
        <v>28</v>
      </c>
      <c r="N132" s="4">
        <v>0.5541666666666667</v>
      </c>
      <c r="O132" s="1" t="s">
        <v>220</v>
      </c>
      <c r="P132" s="1" t="s">
        <v>30</v>
      </c>
      <c r="Q132" s="4">
        <v>0.8451388888888889</v>
      </c>
      <c r="R132" s="1" t="s">
        <v>122</v>
      </c>
      <c r="S132" s="1">
        <f t="shared" si="1"/>
        <v>34</v>
      </c>
      <c r="T132" s="1">
        <f t="shared" si="2"/>
        <v>74</v>
      </c>
      <c r="U132" s="5">
        <f t="shared" si="3"/>
        <v>74</v>
      </c>
      <c r="V132" s="5" t="s">
        <v>39</v>
      </c>
      <c r="Z132" s="6"/>
      <c r="AA132" s="6"/>
      <c r="AB132" s="6"/>
      <c r="AC132" s="6"/>
      <c r="AD132" s="6"/>
      <c r="AE132" s="6"/>
      <c r="AF132" s="6"/>
    </row>
    <row r="133">
      <c r="A133" s="1" t="s">
        <v>413</v>
      </c>
      <c r="B133" s="1" t="s">
        <v>34</v>
      </c>
      <c r="C133" s="2">
        <v>12.0</v>
      </c>
      <c r="D133" s="1" t="s">
        <v>75</v>
      </c>
      <c r="E133" s="6"/>
      <c r="F133" s="3"/>
      <c r="G133" s="1" t="s">
        <v>28</v>
      </c>
      <c r="H133" s="4">
        <v>0.1111111111111111</v>
      </c>
      <c r="I133" s="1" t="s">
        <v>128</v>
      </c>
      <c r="J133" s="1" t="s">
        <v>30</v>
      </c>
      <c r="K133" s="4">
        <v>0.35555555555555557</v>
      </c>
      <c r="L133" s="1" t="s">
        <v>236</v>
      </c>
      <c r="M133" s="1" t="s">
        <v>28</v>
      </c>
      <c r="N133" s="4">
        <v>0.6055555555555555</v>
      </c>
      <c r="O133" s="1" t="s">
        <v>251</v>
      </c>
      <c r="P133" s="1" t="s">
        <v>30</v>
      </c>
      <c r="Q133" s="4">
        <v>0.8784722222222222</v>
      </c>
      <c r="R133" s="1" t="s">
        <v>446</v>
      </c>
      <c r="S133" s="1">
        <f t="shared" si="1"/>
        <v>58</v>
      </c>
      <c r="T133" s="1">
        <f t="shared" si="2"/>
        <v>83</v>
      </c>
      <c r="U133" s="5">
        <f t="shared" si="3"/>
        <v>83</v>
      </c>
      <c r="V133" s="5" t="s">
        <v>39</v>
      </c>
    </row>
    <row r="134">
      <c r="A134" s="1" t="s">
        <v>413</v>
      </c>
      <c r="B134" s="1" t="s">
        <v>34</v>
      </c>
      <c r="C134" s="2">
        <v>13.0</v>
      </c>
      <c r="D134" s="1" t="s">
        <v>86</v>
      </c>
      <c r="E134" s="6"/>
      <c r="F134" s="3"/>
      <c r="G134" s="1" t="s">
        <v>28</v>
      </c>
      <c r="H134" s="4">
        <v>0.1375</v>
      </c>
      <c r="I134" s="1" t="s">
        <v>360</v>
      </c>
      <c r="J134" s="1" t="s">
        <v>30</v>
      </c>
      <c r="K134" s="4">
        <v>0.3951388888888889</v>
      </c>
      <c r="L134" s="1" t="s">
        <v>224</v>
      </c>
      <c r="M134" s="1" t="s">
        <v>28</v>
      </c>
      <c r="N134" s="4">
        <v>0.6465277777777778</v>
      </c>
      <c r="O134" s="1" t="s">
        <v>89</v>
      </c>
      <c r="P134" s="1" t="s">
        <v>30</v>
      </c>
      <c r="Q134" s="4">
        <v>0.9069444444444444</v>
      </c>
      <c r="R134" s="1" t="s">
        <v>115</v>
      </c>
      <c r="S134" s="1">
        <f t="shared" si="1"/>
        <v>87</v>
      </c>
      <c r="T134" s="1">
        <f t="shared" si="2"/>
        <v>94</v>
      </c>
      <c r="U134" s="5">
        <f t="shared" si="3"/>
        <v>94</v>
      </c>
      <c r="V134" s="5" t="s">
        <v>90</v>
      </c>
      <c r="Z134" s="6"/>
      <c r="AA134" s="6"/>
      <c r="AB134" s="6"/>
      <c r="AC134" s="6"/>
      <c r="AD134" s="6"/>
      <c r="AE134" s="6"/>
      <c r="AF134" s="6"/>
    </row>
    <row r="135">
      <c r="A135" s="1" t="s">
        <v>413</v>
      </c>
      <c r="B135" s="1" t="s">
        <v>34</v>
      </c>
      <c r="C135" s="2">
        <v>14.0</v>
      </c>
      <c r="D135" s="1" t="s">
        <v>26</v>
      </c>
      <c r="E135" s="6"/>
      <c r="F135" s="3"/>
      <c r="G135" s="1" t="s">
        <v>28</v>
      </c>
      <c r="H135" s="4">
        <v>0.1625</v>
      </c>
      <c r="I135" s="1" t="s">
        <v>434</v>
      </c>
      <c r="J135" s="1" t="s">
        <v>30</v>
      </c>
      <c r="K135" s="4">
        <v>0.42916666666666664</v>
      </c>
      <c r="L135" s="1" t="s">
        <v>110</v>
      </c>
      <c r="M135" s="1" t="s">
        <v>28</v>
      </c>
      <c r="N135" s="4">
        <v>0.6826388888888889</v>
      </c>
      <c r="O135" s="1" t="s">
        <v>32</v>
      </c>
      <c r="P135" s="1" t="s">
        <v>30</v>
      </c>
      <c r="Q135" s="4">
        <v>0.9333333333333333</v>
      </c>
      <c r="R135" s="1" t="s">
        <v>112</v>
      </c>
      <c r="S135" s="1">
        <f t="shared" si="1"/>
        <v>119</v>
      </c>
      <c r="T135" s="1">
        <f t="shared" si="2"/>
        <v>101</v>
      </c>
      <c r="U135" s="5">
        <f t="shared" si="3"/>
        <v>119</v>
      </c>
      <c r="V135" s="5" t="s">
        <v>90</v>
      </c>
      <c r="Z135" s="8" t="s">
        <v>450</v>
      </c>
    </row>
    <row r="136">
      <c r="A136" s="1" t="s">
        <v>413</v>
      </c>
      <c r="B136" s="1" t="s">
        <v>34</v>
      </c>
      <c r="C136" s="2">
        <v>15.0</v>
      </c>
      <c r="D136" s="1" t="s">
        <v>34</v>
      </c>
      <c r="E136" s="6"/>
      <c r="F136" s="3"/>
      <c r="G136" s="1" t="s">
        <v>28</v>
      </c>
      <c r="H136" s="4">
        <v>0.18819444444444444</v>
      </c>
      <c r="I136" s="1" t="s">
        <v>67</v>
      </c>
      <c r="J136" s="1" t="s">
        <v>30</v>
      </c>
      <c r="K136" s="4">
        <v>0.46041666666666664</v>
      </c>
      <c r="L136" s="1" t="s">
        <v>219</v>
      </c>
      <c r="M136" s="1" t="s">
        <v>28</v>
      </c>
      <c r="N136" s="4">
        <v>0.7166666666666667</v>
      </c>
      <c r="O136" s="1" t="s">
        <v>388</v>
      </c>
      <c r="P136" s="1" t="s">
        <v>30</v>
      </c>
      <c r="Q136" s="4">
        <v>0.9590277777777778</v>
      </c>
      <c r="R136" s="1" t="s">
        <v>200</v>
      </c>
      <c r="S136" s="1">
        <f t="shared" si="1"/>
        <v>148</v>
      </c>
      <c r="T136" s="1">
        <f t="shared" si="2"/>
        <v>104</v>
      </c>
      <c r="U136" s="5">
        <f t="shared" si="3"/>
        <v>148</v>
      </c>
      <c r="V136" s="5" t="s">
        <v>47</v>
      </c>
      <c r="Z136" s="9" t="s">
        <v>48</v>
      </c>
      <c r="AA136" s="9" t="s">
        <v>49</v>
      </c>
      <c r="AB136" s="9" t="s">
        <v>50</v>
      </c>
      <c r="AC136" s="9" t="s">
        <v>51</v>
      </c>
      <c r="AD136" s="9" t="s">
        <v>52</v>
      </c>
      <c r="AE136" s="9" t="s">
        <v>53</v>
      </c>
      <c r="AF136" s="9" t="s">
        <v>54</v>
      </c>
    </row>
    <row r="137">
      <c r="A137" s="1" t="s">
        <v>413</v>
      </c>
      <c r="B137" s="1" t="s">
        <v>34</v>
      </c>
      <c r="C137" s="2">
        <v>16.0</v>
      </c>
      <c r="D137" s="1" t="s">
        <v>41</v>
      </c>
      <c r="E137" s="1" t="s">
        <v>42</v>
      </c>
      <c r="F137" s="7" t="s">
        <v>143</v>
      </c>
      <c r="G137" s="1" t="s">
        <v>28</v>
      </c>
      <c r="H137" s="4">
        <v>0.21458333333333332</v>
      </c>
      <c r="I137" s="1" t="s">
        <v>451</v>
      </c>
      <c r="J137" s="1" t="s">
        <v>30</v>
      </c>
      <c r="K137" s="4">
        <v>0.49236111111111114</v>
      </c>
      <c r="L137" s="1" t="s">
        <v>177</v>
      </c>
      <c r="M137" s="1" t="s">
        <v>28</v>
      </c>
      <c r="N137" s="4">
        <v>0.75</v>
      </c>
      <c r="O137" s="1" t="s">
        <v>32</v>
      </c>
      <c r="P137" s="1" t="s">
        <v>30</v>
      </c>
      <c r="Q137" s="4">
        <v>0.9854166666666667</v>
      </c>
      <c r="R137" s="1" t="s">
        <v>200</v>
      </c>
      <c r="S137" s="1">
        <f t="shared" si="1"/>
        <v>172</v>
      </c>
      <c r="T137" s="1">
        <f t="shared" si="2"/>
        <v>102</v>
      </c>
      <c r="U137" s="5">
        <f t="shared" si="3"/>
        <v>172</v>
      </c>
      <c r="V137" s="5" t="s">
        <v>47</v>
      </c>
      <c r="Z137" s="10" t="s">
        <v>60</v>
      </c>
      <c r="AA137" s="10" t="s">
        <v>452</v>
      </c>
      <c r="AB137" s="10" t="s">
        <v>62</v>
      </c>
      <c r="AC137" s="10" t="s">
        <v>393</v>
      </c>
      <c r="AD137" s="10" t="s">
        <v>271</v>
      </c>
      <c r="AE137" s="11" t="s">
        <v>340</v>
      </c>
      <c r="AF137" s="11" t="s">
        <v>453</v>
      </c>
    </row>
    <row r="138">
      <c r="A138" s="1" t="s">
        <v>454</v>
      </c>
      <c r="B138" s="1" t="s">
        <v>34</v>
      </c>
      <c r="C138" s="2">
        <v>17.0</v>
      </c>
      <c r="D138" s="1" t="s">
        <v>55</v>
      </c>
      <c r="E138" s="1" t="s">
        <v>42</v>
      </c>
      <c r="F138" s="3"/>
      <c r="G138" s="1" t="s">
        <v>28</v>
      </c>
      <c r="H138" s="4">
        <v>0.24305555555555555</v>
      </c>
      <c r="I138" s="1" t="s">
        <v>455</v>
      </c>
      <c r="J138" s="1" t="s">
        <v>30</v>
      </c>
      <c r="K138" s="4">
        <v>0.525</v>
      </c>
      <c r="L138" s="1" t="s">
        <v>456</v>
      </c>
      <c r="M138" s="1" t="s">
        <v>28</v>
      </c>
      <c r="N138" s="4">
        <v>0.7833333333333333</v>
      </c>
      <c r="O138" s="1" t="s">
        <v>89</v>
      </c>
      <c r="S138" s="1">
        <f t="shared" si="1"/>
        <v>185</v>
      </c>
      <c r="T138" s="1">
        <f t="shared" si="2"/>
        <v>49</v>
      </c>
      <c r="U138" s="5">
        <f t="shared" si="3"/>
        <v>185</v>
      </c>
      <c r="V138" s="5" t="s">
        <v>47</v>
      </c>
      <c r="Z138" s="10" t="s">
        <v>457</v>
      </c>
      <c r="AA138" s="10" t="s">
        <v>232</v>
      </c>
      <c r="AB138" s="10" t="s">
        <v>458</v>
      </c>
      <c r="AC138" s="10" t="s">
        <v>342</v>
      </c>
      <c r="AD138" s="10" t="s">
        <v>309</v>
      </c>
      <c r="AE138" s="11" t="s">
        <v>459</v>
      </c>
      <c r="AF138" s="11" t="s">
        <v>460</v>
      </c>
    </row>
    <row r="139">
      <c r="A139" s="1" t="s">
        <v>454</v>
      </c>
      <c r="B139" s="1" t="s">
        <v>34</v>
      </c>
      <c r="C139" s="2">
        <v>18.0</v>
      </c>
      <c r="D139" s="1" t="s">
        <v>25</v>
      </c>
      <c r="E139" s="6"/>
      <c r="F139" s="3"/>
      <c r="G139" s="1" t="s">
        <v>30</v>
      </c>
      <c r="H139" s="4">
        <v>0.0125</v>
      </c>
      <c r="I139" s="1" t="s">
        <v>223</v>
      </c>
      <c r="J139" s="1" t="s">
        <v>28</v>
      </c>
      <c r="K139" s="4">
        <v>0.27291666666666664</v>
      </c>
      <c r="L139" s="1" t="s">
        <v>461</v>
      </c>
      <c r="M139" s="1" t="s">
        <v>30</v>
      </c>
      <c r="N139" s="4">
        <v>0.5590277777777778</v>
      </c>
      <c r="O139" s="1" t="s">
        <v>175</v>
      </c>
      <c r="P139" s="1" t="s">
        <v>28</v>
      </c>
      <c r="Q139" s="4">
        <v>0.8180555555555555</v>
      </c>
      <c r="R139" s="1" t="s">
        <v>292</v>
      </c>
      <c r="S139" s="1">
        <f t="shared" si="1"/>
        <v>140</v>
      </c>
      <c r="T139" s="1">
        <f t="shared" si="2"/>
        <v>135</v>
      </c>
      <c r="U139" s="5">
        <f t="shared" si="3"/>
        <v>140</v>
      </c>
      <c r="V139" s="5" t="s">
        <v>47</v>
      </c>
      <c r="Z139" s="10" t="s">
        <v>462</v>
      </c>
      <c r="AA139" s="10" t="s">
        <v>428</v>
      </c>
      <c r="AB139" s="10" t="s">
        <v>403</v>
      </c>
      <c r="AC139" s="10" t="s">
        <v>444</v>
      </c>
      <c r="AD139" s="10" t="s">
        <v>372</v>
      </c>
      <c r="AE139" s="11" t="s">
        <v>463</v>
      </c>
      <c r="AF139" s="11" t="s">
        <v>317</v>
      </c>
    </row>
    <row r="140">
      <c r="A140" s="1" t="s">
        <v>454</v>
      </c>
      <c r="B140" s="1" t="s">
        <v>34</v>
      </c>
      <c r="C140" s="2">
        <v>19.0</v>
      </c>
      <c r="D140" s="1" t="s">
        <v>75</v>
      </c>
      <c r="E140" s="6"/>
      <c r="F140" s="3"/>
      <c r="G140" s="1" t="s">
        <v>30</v>
      </c>
      <c r="H140" s="4">
        <v>0.04097222222222222</v>
      </c>
      <c r="I140" s="1" t="s">
        <v>224</v>
      </c>
      <c r="J140" s="1" t="s">
        <v>28</v>
      </c>
      <c r="K140" s="4">
        <v>0.30486111111111114</v>
      </c>
      <c r="L140" s="1" t="s">
        <v>464</v>
      </c>
      <c r="M140" s="1" t="s">
        <v>30</v>
      </c>
      <c r="N140" s="4">
        <v>0.5951388888888889</v>
      </c>
      <c r="O140" s="1" t="s">
        <v>217</v>
      </c>
      <c r="P140" s="1" t="s">
        <v>28</v>
      </c>
      <c r="Q140" s="4">
        <v>0.8534722222222222</v>
      </c>
      <c r="R140" s="1" t="s">
        <v>183</v>
      </c>
      <c r="S140" s="1">
        <f t="shared" si="1"/>
        <v>135</v>
      </c>
      <c r="T140" s="1">
        <f t="shared" si="2"/>
        <v>120</v>
      </c>
      <c r="U140" s="5">
        <f t="shared" si="3"/>
        <v>135</v>
      </c>
      <c r="V140" s="5" t="s">
        <v>47</v>
      </c>
      <c r="Z140" s="10" t="s">
        <v>93</v>
      </c>
      <c r="AA140" s="10" t="s">
        <v>94</v>
      </c>
      <c r="AB140" s="10" t="s">
        <v>243</v>
      </c>
      <c r="AC140" s="10" t="s">
        <v>465</v>
      </c>
      <c r="AD140" s="10" t="s">
        <v>466</v>
      </c>
      <c r="AE140" s="11" t="s">
        <v>408</v>
      </c>
      <c r="AF140" s="11" t="s">
        <v>467</v>
      </c>
    </row>
    <row r="141">
      <c r="A141" s="1" t="s">
        <v>454</v>
      </c>
      <c r="B141" s="1" t="s">
        <v>34</v>
      </c>
      <c r="C141" s="2">
        <v>20.0</v>
      </c>
      <c r="D141" s="1" t="s">
        <v>86</v>
      </c>
      <c r="E141" s="6"/>
      <c r="F141" s="3"/>
      <c r="G141" s="1" t="s">
        <v>30</v>
      </c>
      <c r="H141" s="4">
        <v>0.07222222222222222</v>
      </c>
      <c r="I141" s="1" t="s">
        <v>326</v>
      </c>
      <c r="J141" s="1" t="s">
        <v>28</v>
      </c>
      <c r="K141" s="4">
        <v>0.3388888888888889</v>
      </c>
      <c r="L141" s="1" t="s">
        <v>414</v>
      </c>
      <c r="M141" s="1" t="s">
        <v>30</v>
      </c>
      <c r="N141" s="4">
        <v>0.6340277777777777</v>
      </c>
      <c r="O141" s="1" t="s">
        <v>129</v>
      </c>
      <c r="P141" s="1" t="s">
        <v>28</v>
      </c>
      <c r="Q141" s="4">
        <v>0.8923611111111112</v>
      </c>
      <c r="R141" s="1" t="s">
        <v>176</v>
      </c>
      <c r="S141" s="1">
        <f t="shared" si="1"/>
        <v>123</v>
      </c>
      <c r="T141" s="1">
        <f t="shared" si="2"/>
        <v>102</v>
      </c>
      <c r="U141" s="5">
        <f t="shared" si="3"/>
        <v>123</v>
      </c>
      <c r="V141" s="5" t="s">
        <v>90</v>
      </c>
      <c r="Z141" s="10" t="s">
        <v>103</v>
      </c>
      <c r="AA141" s="10" t="s">
        <v>104</v>
      </c>
      <c r="AB141" s="10" t="s">
        <v>449</v>
      </c>
      <c r="AC141" s="10" t="s">
        <v>468</v>
      </c>
      <c r="AD141" s="10" t="s">
        <v>60</v>
      </c>
      <c r="AE141" s="10" t="s">
        <v>60</v>
      </c>
      <c r="AF141" s="10" t="s">
        <v>60</v>
      </c>
    </row>
    <row r="142">
      <c r="A142" s="1" t="s">
        <v>454</v>
      </c>
      <c r="B142" s="1" t="s">
        <v>34</v>
      </c>
      <c r="C142" s="2">
        <v>21.0</v>
      </c>
      <c r="D142" s="1" t="s">
        <v>26</v>
      </c>
      <c r="E142" s="6"/>
      <c r="F142" s="3"/>
      <c r="G142" s="1" t="s">
        <v>30</v>
      </c>
      <c r="H142" s="4">
        <v>0.1076388888888889</v>
      </c>
      <c r="I142" s="1" t="s">
        <v>389</v>
      </c>
      <c r="J142" s="1" t="s">
        <v>28</v>
      </c>
      <c r="K142" s="4">
        <v>0.3763888888888889</v>
      </c>
      <c r="L142" s="1" t="s">
        <v>59</v>
      </c>
      <c r="M142" s="1" t="s">
        <v>30</v>
      </c>
      <c r="N142" s="4">
        <v>0.6756944444444445</v>
      </c>
      <c r="O142" s="1" t="s">
        <v>66</v>
      </c>
      <c r="P142" s="1" t="s">
        <v>28</v>
      </c>
      <c r="Q142" s="4">
        <v>0.9361111111111111</v>
      </c>
      <c r="R142" s="1" t="s">
        <v>230</v>
      </c>
      <c r="S142" s="1">
        <f t="shared" si="1"/>
        <v>105</v>
      </c>
      <c r="T142" s="1">
        <f t="shared" si="2"/>
        <v>84</v>
      </c>
      <c r="U142" s="5">
        <f t="shared" si="3"/>
        <v>105</v>
      </c>
      <c r="V142" s="5" t="s">
        <v>90</v>
      </c>
      <c r="Z142" s="10" t="s">
        <v>60</v>
      </c>
      <c r="AA142" s="10" t="s">
        <v>60</v>
      </c>
      <c r="AB142" s="10" t="s">
        <v>60</v>
      </c>
      <c r="AC142" s="10" t="s">
        <v>60</v>
      </c>
      <c r="AD142" s="10" t="s">
        <v>60</v>
      </c>
      <c r="AE142" s="10" t="s">
        <v>60</v>
      </c>
      <c r="AF142" s="10" t="s">
        <v>60</v>
      </c>
    </row>
    <row r="143">
      <c r="A143" s="1" t="s">
        <v>454</v>
      </c>
      <c r="B143" s="1" t="s">
        <v>34</v>
      </c>
      <c r="C143" s="2">
        <v>22.0</v>
      </c>
      <c r="D143" s="1" t="s">
        <v>34</v>
      </c>
      <c r="E143" s="6"/>
      <c r="F143" s="7" t="s">
        <v>184</v>
      </c>
      <c r="G143" s="1" t="s">
        <v>30</v>
      </c>
      <c r="H143" s="4">
        <v>0.15</v>
      </c>
      <c r="I143" s="1" t="s">
        <v>334</v>
      </c>
      <c r="J143" s="1" t="s">
        <v>28</v>
      </c>
      <c r="K143" s="4">
        <v>0.41805555555555557</v>
      </c>
      <c r="L143" s="1" t="s">
        <v>158</v>
      </c>
      <c r="M143" s="1" t="s">
        <v>30</v>
      </c>
      <c r="N143" s="4">
        <v>0.7222222222222222</v>
      </c>
      <c r="O143" s="1" t="s">
        <v>469</v>
      </c>
      <c r="P143" s="1" t="s">
        <v>28</v>
      </c>
      <c r="Q143" s="4">
        <v>0.9840277777777777</v>
      </c>
      <c r="R143" s="1" t="s">
        <v>470</v>
      </c>
      <c r="S143" s="1">
        <f t="shared" si="1"/>
        <v>86</v>
      </c>
      <c r="T143" s="1">
        <f t="shared" si="2"/>
        <v>72</v>
      </c>
      <c r="U143" s="5">
        <f t="shared" si="3"/>
        <v>86</v>
      </c>
      <c r="V143" s="5" t="s">
        <v>39</v>
      </c>
      <c r="Z143" s="6"/>
      <c r="AA143" s="6"/>
      <c r="AB143" s="6"/>
      <c r="AC143" s="6"/>
      <c r="AD143" s="6"/>
      <c r="AE143" s="6"/>
      <c r="AF143" s="6"/>
    </row>
    <row r="144">
      <c r="A144" s="1" t="s">
        <v>454</v>
      </c>
      <c r="B144" s="1" t="s">
        <v>34</v>
      </c>
      <c r="C144" s="2">
        <v>23.0</v>
      </c>
      <c r="D144" s="1" t="s">
        <v>41</v>
      </c>
      <c r="E144" s="1" t="s">
        <v>42</v>
      </c>
      <c r="F144" s="3"/>
      <c r="G144" s="1" t="s">
        <v>30</v>
      </c>
      <c r="H144" s="4">
        <v>0.20347222222222222</v>
      </c>
      <c r="I144" s="1" t="s">
        <v>355</v>
      </c>
      <c r="J144" s="1" t="s">
        <v>28</v>
      </c>
      <c r="K144" s="4">
        <v>0.46875</v>
      </c>
      <c r="L144" s="1" t="s">
        <v>135</v>
      </c>
      <c r="M144" s="1" t="s">
        <v>30</v>
      </c>
      <c r="N144" s="4">
        <v>0.7701388888888889</v>
      </c>
      <c r="O144" s="1" t="s">
        <v>115</v>
      </c>
      <c r="S144" s="1">
        <f t="shared" si="1"/>
        <v>69</v>
      </c>
      <c r="T144" s="1">
        <f t="shared" si="2"/>
        <v>45</v>
      </c>
      <c r="U144" s="5">
        <f t="shared" si="3"/>
        <v>69</v>
      </c>
      <c r="V144" s="5" t="s">
        <v>39</v>
      </c>
      <c r="Z144" s="6"/>
      <c r="AA144" s="6"/>
      <c r="AB144" s="6"/>
      <c r="AC144" s="6"/>
      <c r="AD144" s="6"/>
      <c r="AE144" s="6"/>
      <c r="AF144" s="6"/>
    </row>
    <row r="145">
      <c r="A145" s="1" t="s">
        <v>454</v>
      </c>
      <c r="B145" s="1" t="s">
        <v>34</v>
      </c>
      <c r="C145" s="2">
        <v>24.0</v>
      </c>
      <c r="D145" s="1" t="s">
        <v>55</v>
      </c>
      <c r="E145" s="1" t="s">
        <v>42</v>
      </c>
      <c r="F145" s="3"/>
      <c r="G145" s="1" t="s">
        <v>28</v>
      </c>
      <c r="H145" s="4">
        <v>0.03194444444444444</v>
      </c>
      <c r="I145" s="1" t="s">
        <v>256</v>
      </c>
      <c r="J145" s="1" t="s">
        <v>30</v>
      </c>
      <c r="K145" s="4">
        <v>0.2673611111111111</v>
      </c>
      <c r="L145" s="1" t="s">
        <v>355</v>
      </c>
      <c r="M145" s="1" t="s">
        <v>28</v>
      </c>
      <c r="N145" s="4">
        <v>0.5263888888888889</v>
      </c>
      <c r="O145" s="1" t="s">
        <v>192</v>
      </c>
      <c r="P145" s="1" t="s">
        <v>30</v>
      </c>
      <c r="Q145" s="4">
        <v>0.8138888888888889</v>
      </c>
      <c r="R145" s="1" t="s">
        <v>120</v>
      </c>
      <c r="S145" s="1">
        <f t="shared" si="1"/>
        <v>43</v>
      </c>
      <c r="T145" s="1">
        <f t="shared" si="2"/>
        <v>78</v>
      </c>
      <c r="U145" s="5">
        <f t="shared" si="3"/>
        <v>78</v>
      </c>
      <c r="V145" s="5" t="s">
        <v>39</v>
      </c>
    </row>
    <row r="146">
      <c r="A146" s="1" t="s">
        <v>454</v>
      </c>
      <c r="B146" s="1" t="s">
        <v>34</v>
      </c>
      <c r="C146" s="2">
        <v>25.0</v>
      </c>
      <c r="D146" s="1" t="s">
        <v>25</v>
      </c>
      <c r="E146" s="6"/>
      <c r="F146" s="3"/>
      <c r="G146" s="1" t="s">
        <v>28</v>
      </c>
      <c r="H146" s="4">
        <v>0.07361111111111111</v>
      </c>
      <c r="I146" s="1" t="s">
        <v>181</v>
      </c>
      <c r="J146" s="1" t="s">
        <v>30</v>
      </c>
      <c r="K146" s="4">
        <v>0.3298611111111111</v>
      </c>
      <c r="L146" s="1" t="s">
        <v>248</v>
      </c>
      <c r="M146" s="1" t="s">
        <v>28</v>
      </c>
      <c r="N146" s="4">
        <v>0.58125</v>
      </c>
      <c r="O146" s="1" t="s">
        <v>402</v>
      </c>
      <c r="P146" s="1" t="s">
        <v>30</v>
      </c>
      <c r="Q146" s="4">
        <v>0.8513888888888889</v>
      </c>
      <c r="R146" s="1" t="s">
        <v>286</v>
      </c>
      <c r="S146" s="1">
        <f t="shared" si="1"/>
        <v>54</v>
      </c>
      <c r="T146" s="1">
        <f t="shared" si="2"/>
        <v>70</v>
      </c>
      <c r="U146" s="5">
        <f t="shared" si="3"/>
        <v>70</v>
      </c>
      <c r="V146" s="5" t="s">
        <v>39</v>
      </c>
    </row>
    <row r="147">
      <c r="A147" s="1" t="s">
        <v>454</v>
      </c>
      <c r="B147" s="1" t="s">
        <v>34</v>
      </c>
      <c r="C147" s="2">
        <v>26.0</v>
      </c>
      <c r="D147" s="1" t="s">
        <v>75</v>
      </c>
      <c r="E147" s="6"/>
      <c r="F147" s="3"/>
      <c r="G147" s="1" t="s">
        <v>28</v>
      </c>
      <c r="H147" s="4">
        <v>0.10833333333333334</v>
      </c>
      <c r="I147" s="1" t="s">
        <v>357</v>
      </c>
      <c r="J147" s="1" t="s">
        <v>30</v>
      </c>
      <c r="K147" s="4">
        <v>0.37916666666666665</v>
      </c>
      <c r="L147" s="1" t="s">
        <v>191</v>
      </c>
      <c r="M147" s="1" t="s">
        <v>28</v>
      </c>
      <c r="N147" s="4">
        <v>0.6291666666666667</v>
      </c>
      <c r="O147" s="1" t="s">
        <v>100</v>
      </c>
      <c r="P147" s="1" t="s">
        <v>30</v>
      </c>
      <c r="Q147" s="4">
        <v>0.8833333333333333</v>
      </c>
      <c r="R147" s="1" t="s">
        <v>250</v>
      </c>
      <c r="S147" s="1">
        <f t="shared" si="1"/>
        <v>72</v>
      </c>
      <c r="T147" s="1">
        <f t="shared" si="2"/>
        <v>66</v>
      </c>
      <c r="U147" s="5">
        <f t="shared" si="3"/>
        <v>72</v>
      </c>
      <c r="V147" s="5" t="s">
        <v>39</v>
      </c>
    </row>
    <row r="148">
      <c r="A148" s="1" t="s">
        <v>454</v>
      </c>
      <c r="B148" s="1" t="s">
        <v>34</v>
      </c>
      <c r="C148" s="2">
        <v>27.0</v>
      </c>
      <c r="D148" s="1" t="s">
        <v>86</v>
      </c>
      <c r="E148" s="6"/>
      <c r="F148" s="3"/>
      <c r="G148" s="1" t="s">
        <v>28</v>
      </c>
      <c r="H148" s="4">
        <v>0.13819444444444445</v>
      </c>
      <c r="I148" s="1" t="s">
        <v>360</v>
      </c>
      <c r="J148" s="1" t="s">
        <v>30</v>
      </c>
      <c r="K148" s="4">
        <v>0.4166666666666667</v>
      </c>
      <c r="L148" s="1" t="s">
        <v>223</v>
      </c>
      <c r="M148" s="1" t="s">
        <v>28</v>
      </c>
      <c r="N148" s="4">
        <v>0.66875</v>
      </c>
      <c r="O148" s="1" t="s">
        <v>100</v>
      </c>
      <c r="P148" s="1" t="s">
        <v>30</v>
      </c>
      <c r="Q148" s="4">
        <v>0.9097222222222222</v>
      </c>
      <c r="R148" s="1" t="s">
        <v>250</v>
      </c>
      <c r="S148" s="1">
        <f t="shared" si="1"/>
        <v>90</v>
      </c>
      <c r="T148" s="1">
        <f t="shared" si="2"/>
        <v>66</v>
      </c>
      <c r="U148" s="5">
        <f t="shared" si="3"/>
        <v>90</v>
      </c>
      <c r="V148" s="5" t="s">
        <v>39</v>
      </c>
    </row>
    <row r="149">
      <c r="A149" s="1" t="s">
        <v>454</v>
      </c>
      <c r="B149" s="1" t="s">
        <v>34</v>
      </c>
      <c r="C149" s="2">
        <v>28.0</v>
      </c>
      <c r="D149" s="1" t="s">
        <v>26</v>
      </c>
      <c r="E149" s="6"/>
      <c r="F149" s="3"/>
      <c r="G149" s="1" t="s">
        <v>28</v>
      </c>
      <c r="H149" s="4">
        <v>0.16458333333333333</v>
      </c>
      <c r="I149" s="1" t="s">
        <v>307</v>
      </c>
      <c r="J149" s="1" t="s">
        <v>30</v>
      </c>
      <c r="K149" s="4">
        <v>0.44722222222222224</v>
      </c>
      <c r="L149" s="1" t="s">
        <v>37</v>
      </c>
      <c r="M149" s="1" t="s">
        <v>28</v>
      </c>
      <c r="N149" s="4">
        <v>0.7013888888888888</v>
      </c>
      <c r="O149" s="1" t="s">
        <v>218</v>
      </c>
      <c r="P149" s="1" t="s">
        <v>30</v>
      </c>
      <c r="Q149" s="4">
        <v>0.9340277777777778</v>
      </c>
      <c r="R149" s="1" t="s">
        <v>250</v>
      </c>
      <c r="S149" s="1">
        <f t="shared" si="1"/>
        <v>106</v>
      </c>
      <c r="T149" s="1">
        <f t="shared" si="2"/>
        <v>67</v>
      </c>
      <c r="U149" s="5">
        <f t="shared" si="3"/>
        <v>106</v>
      </c>
      <c r="V149" s="5" t="s">
        <v>90</v>
      </c>
    </row>
    <row r="150">
      <c r="A150" s="1" t="s">
        <v>454</v>
      </c>
      <c r="B150" s="1" t="s">
        <v>34</v>
      </c>
      <c r="C150" s="2">
        <v>29.0</v>
      </c>
      <c r="D150" s="1" t="s">
        <v>34</v>
      </c>
      <c r="E150" s="6"/>
      <c r="F150" s="3"/>
      <c r="G150" s="1" t="s">
        <v>28</v>
      </c>
      <c r="H150" s="4">
        <v>0.18958333333333333</v>
      </c>
      <c r="I150" s="1" t="s">
        <v>434</v>
      </c>
      <c r="J150" s="1" t="s">
        <v>30</v>
      </c>
      <c r="K150" s="4">
        <v>0.47291666666666665</v>
      </c>
      <c r="L150" s="1" t="s">
        <v>58</v>
      </c>
      <c r="M150" s="1" t="s">
        <v>28</v>
      </c>
      <c r="N150" s="4">
        <v>0.7305555555555555</v>
      </c>
      <c r="O150" s="1" t="s">
        <v>218</v>
      </c>
      <c r="P150" s="1" t="s">
        <v>30</v>
      </c>
      <c r="Q150" s="4">
        <v>0.9569444444444445</v>
      </c>
      <c r="R150" s="1" t="s">
        <v>328</v>
      </c>
      <c r="S150" s="1">
        <f t="shared" si="1"/>
        <v>121</v>
      </c>
      <c r="T150" s="1">
        <f t="shared" si="2"/>
        <v>68</v>
      </c>
      <c r="U150" s="5">
        <f t="shared" si="3"/>
        <v>121</v>
      </c>
      <c r="V150" s="5" t="s">
        <v>90</v>
      </c>
    </row>
    <row r="151">
      <c r="A151" s="1" t="s">
        <v>454</v>
      </c>
      <c r="B151" s="1" t="s">
        <v>34</v>
      </c>
      <c r="C151" s="2">
        <v>30.0</v>
      </c>
      <c r="D151" s="1" t="s">
        <v>41</v>
      </c>
      <c r="E151" s="1" t="s">
        <v>42</v>
      </c>
      <c r="F151" s="7" t="s">
        <v>35</v>
      </c>
      <c r="G151" s="1" t="s">
        <v>28</v>
      </c>
      <c r="H151" s="4">
        <v>0.21319444444444444</v>
      </c>
      <c r="I151" s="1" t="s">
        <v>167</v>
      </c>
      <c r="J151" s="1" t="s">
        <v>30</v>
      </c>
      <c r="K151" s="4">
        <v>0.49722222222222223</v>
      </c>
      <c r="L151" s="1" t="s">
        <v>124</v>
      </c>
      <c r="M151" s="1" t="s">
        <v>28</v>
      </c>
      <c r="N151" s="4">
        <v>0.7569444444444444</v>
      </c>
      <c r="O151" s="1" t="s">
        <v>218</v>
      </c>
      <c r="P151" s="1" t="s">
        <v>30</v>
      </c>
      <c r="Q151" s="4">
        <v>0.9798611111111111</v>
      </c>
      <c r="R151" s="1" t="s">
        <v>191</v>
      </c>
      <c r="S151" s="1">
        <f t="shared" si="1"/>
        <v>132</v>
      </c>
      <c r="T151" s="1">
        <f t="shared" si="2"/>
        <v>70</v>
      </c>
      <c r="U151" s="5">
        <f t="shared" si="3"/>
        <v>132</v>
      </c>
      <c r="V151" s="5" t="s">
        <v>47</v>
      </c>
    </row>
    <row r="152">
      <c r="A152" s="1" t="s">
        <v>454</v>
      </c>
      <c r="B152" s="1" t="s">
        <v>34</v>
      </c>
      <c r="C152" s="2">
        <v>31.0</v>
      </c>
      <c r="D152" s="1" t="s">
        <v>55</v>
      </c>
      <c r="E152" s="1" t="s">
        <v>42</v>
      </c>
      <c r="F152" s="3"/>
      <c r="G152" s="1" t="s">
        <v>28</v>
      </c>
      <c r="H152" s="4">
        <v>0.23680555555555555</v>
      </c>
      <c r="I152" s="1" t="s">
        <v>297</v>
      </c>
      <c r="J152" s="1" t="s">
        <v>30</v>
      </c>
      <c r="K152" s="4">
        <v>0.5201388888888889</v>
      </c>
      <c r="L152" s="1" t="s">
        <v>215</v>
      </c>
      <c r="M152" s="1" t="s">
        <v>28</v>
      </c>
      <c r="N152" s="4">
        <v>0.7819444444444444</v>
      </c>
      <c r="O152" s="1" t="s">
        <v>183</v>
      </c>
      <c r="S152" s="1">
        <f t="shared" si="1"/>
        <v>140</v>
      </c>
      <c r="T152" s="1">
        <f t="shared" si="2"/>
        <v>32</v>
      </c>
      <c r="U152" s="5">
        <f t="shared" si="3"/>
        <v>140</v>
      </c>
      <c r="V152" s="5" t="s">
        <v>47</v>
      </c>
    </row>
    <row r="153">
      <c r="A153" s="1" t="s">
        <v>454</v>
      </c>
      <c r="B153" s="1" t="s">
        <v>41</v>
      </c>
      <c r="C153" s="2">
        <v>1.0</v>
      </c>
      <c r="D153" s="1" t="s">
        <v>25</v>
      </c>
      <c r="E153" s="6"/>
      <c r="F153" s="3"/>
      <c r="G153" s="1" t="s">
        <v>30</v>
      </c>
      <c r="H153" s="4">
        <v>0.0020833333333333333</v>
      </c>
      <c r="I153" s="1" t="s">
        <v>191</v>
      </c>
      <c r="J153" s="1" t="s">
        <v>28</v>
      </c>
      <c r="K153" s="4">
        <v>0.2590277777777778</v>
      </c>
      <c r="L153" s="1" t="s">
        <v>338</v>
      </c>
      <c r="M153" s="1" t="s">
        <v>30</v>
      </c>
      <c r="N153" s="4">
        <v>0.5430555555555555</v>
      </c>
      <c r="O153" s="1" t="s">
        <v>215</v>
      </c>
      <c r="P153" s="1" t="s">
        <v>28</v>
      </c>
      <c r="Q153" s="4">
        <v>0.8055555555555556</v>
      </c>
      <c r="R153" s="1" t="s">
        <v>190</v>
      </c>
      <c r="S153" s="1">
        <f t="shared" si="1"/>
        <v>105</v>
      </c>
      <c r="T153" s="1">
        <f t="shared" si="2"/>
        <v>103</v>
      </c>
      <c r="U153" s="5">
        <f t="shared" si="3"/>
        <v>105</v>
      </c>
      <c r="V153" s="5" t="s">
        <v>90</v>
      </c>
    </row>
    <row r="154">
      <c r="A154" s="1" t="s">
        <v>454</v>
      </c>
      <c r="B154" s="1" t="s">
        <v>41</v>
      </c>
      <c r="C154" s="2">
        <v>2.0</v>
      </c>
      <c r="D154" s="1" t="s">
        <v>75</v>
      </c>
      <c r="E154" s="6"/>
      <c r="F154" s="3"/>
      <c r="G154" s="1" t="s">
        <v>30</v>
      </c>
      <c r="H154" s="4">
        <v>0.024305555555555556</v>
      </c>
      <c r="I154" s="1" t="s">
        <v>191</v>
      </c>
      <c r="J154" s="1" t="s">
        <v>28</v>
      </c>
      <c r="K154" s="4">
        <v>0.2826388888888889</v>
      </c>
      <c r="L154" s="1" t="s">
        <v>412</v>
      </c>
      <c r="M154" s="1" t="s">
        <v>30</v>
      </c>
      <c r="N154" s="4">
        <v>0.5659722222222222</v>
      </c>
      <c r="O154" s="1" t="s">
        <v>185</v>
      </c>
      <c r="P154" s="1" t="s">
        <v>28</v>
      </c>
      <c r="Q154" s="4">
        <v>0.8284722222222223</v>
      </c>
      <c r="R154" s="1" t="s">
        <v>181</v>
      </c>
      <c r="S154" s="1">
        <f t="shared" si="1"/>
        <v>106</v>
      </c>
      <c r="T154" s="1">
        <f t="shared" si="2"/>
        <v>99</v>
      </c>
      <c r="U154" s="5">
        <f t="shared" si="3"/>
        <v>106</v>
      </c>
      <c r="V154" s="5" t="s">
        <v>90</v>
      </c>
    </row>
    <row r="155">
      <c r="A155" s="1" t="s">
        <v>454</v>
      </c>
      <c r="B155" s="1" t="s">
        <v>41</v>
      </c>
      <c r="C155" s="2">
        <v>3.0</v>
      </c>
      <c r="D155" s="1" t="s">
        <v>86</v>
      </c>
      <c r="E155" s="6"/>
      <c r="F155" s="3"/>
      <c r="G155" s="1" t="s">
        <v>30</v>
      </c>
      <c r="H155" s="4">
        <v>0.04722222222222222</v>
      </c>
      <c r="I155" s="1" t="s">
        <v>191</v>
      </c>
      <c r="J155" s="1" t="s">
        <v>28</v>
      </c>
      <c r="K155" s="4">
        <v>0.3055555555555556</v>
      </c>
      <c r="L155" s="1" t="s">
        <v>338</v>
      </c>
      <c r="M155" s="1" t="s">
        <v>30</v>
      </c>
      <c r="N155" s="4">
        <v>0.5895833333333333</v>
      </c>
      <c r="O155" s="1" t="s">
        <v>274</v>
      </c>
      <c r="P155" s="1" t="s">
        <v>28</v>
      </c>
      <c r="Q155" s="4">
        <v>0.8520833333333333</v>
      </c>
      <c r="R155" s="1" t="s">
        <v>471</v>
      </c>
      <c r="S155" s="1">
        <f t="shared" si="1"/>
        <v>105</v>
      </c>
      <c r="T155" s="1">
        <f t="shared" si="2"/>
        <v>92</v>
      </c>
      <c r="U155" s="5">
        <f t="shared" si="3"/>
        <v>105</v>
      </c>
      <c r="V155" s="5" t="s">
        <v>90</v>
      </c>
    </row>
    <row r="156">
      <c r="A156" s="1" t="s">
        <v>454</v>
      </c>
      <c r="B156" s="1" t="s">
        <v>41</v>
      </c>
      <c r="C156" s="2">
        <v>4.0</v>
      </c>
      <c r="D156" s="1" t="s">
        <v>26</v>
      </c>
      <c r="E156" s="6"/>
      <c r="F156" s="3"/>
      <c r="G156" s="1" t="s">
        <v>30</v>
      </c>
      <c r="H156" s="4">
        <v>0.07152777777777777</v>
      </c>
      <c r="I156" s="1" t="s">
        <v>328</v>
      </c>
      <c r="J156" s="1" t="s">
        <v>28</v>
      </c>
      <c r="K156" s="4">
        <v>0.33055555555555555</v>
      </c>
      <c r="L156" s="1" t="s">
        <v>385</v>
      </c>
      <c r="M156" s="1" t="s">
        <v>30</v>
      </c>
      <c r="N156" s="4">
        <v>0.6152777777777778</v>
      </c>
      <c r="O156" s="1" t="s">
        <v>110</v>
      </c>
      <c r="P156" s="1" t="s">
        <v>28</v>
      </c>
      <c r="Q156" s="4">
        <v>0.8770833333333333</v>
      </c>
      <c r="R156" s="1" t="s">
        <v>123</v>
      </c>
      <c r="S156" s="1">
        <f t="shared" si="1"/>
        <v>100</v>
      </c>
      <c r="T156" s="1">
        <f t="shared" si="2"/>
        <v>84</v>
      </c>
      <c r="U156" s="5">
        <f t="shared" si="3"/>
        <v>100</v>
      </c>
      <c r="V156" s="5" t="s">
        <v>90</v>
      </c>
    </row>
    <row r="157">
      <c r="A157" s="1" t="s">
        <v>454</v>
      </c>
      <c r="B157" s="1" t="s">
        <v>41</v>
      </c>
      <c r="C157" s="2">
        <v>5.0</v>
      </c>
      <c r="D157" s="1" t="s">
        <v>34</v>
      </c>
      <c r="E157" s="6"/>
      <c r="F157" s="3"/>
      <c r="G157" s="1" t="s">
        <v>30</v>
      </c>
      <c r="H157" s="4">
        <v>0.09791666666666667</v>
      </c>
      <c r="I157" s="1" t="s">
        <v>391</v>
      </c>
      <c r="J157" s="1" t="s">
        <v>28</v>
      </c>
      <c r="K157" s="4">
        <v>0.35694444444444445</v>
      </c>
      <c r="L157" s="1" t="s">
        <v>78</v>
      </c>
      <c r="M157" s="1" t="s">
        <v>30</v>
      </c>
      <c r="N157" s="4">
        <v>0.6423611111111112</v>
      </c>
      <c r="O157" s="1" t="s">
        <v>469</v>
      </c>
      <c r="P157" s="1" t="s">
        <v>28</v>
      </c>
      <c r="Q157" s="4">
        <v>0.9055555555555556</v>
      </c>
      <c r="R157" s="1" t="s">
        <v>256</v>
      </c>
      <c r="S157" s="1">
        <f t="shared" si="1"/>
        <v>92</v>
      </c>
      <c r="T157" s="1">
        <f t="shared" si="2"/>
        <v>76</v>
      </c>
      <c r="U157" s="5">
        <f t="shared" si="3"/>
        <v>92</v>
      </c>
      <c r="V157" s="5" t="s">
        <v>90</v>
      </c>
    </row>
    <row r="158">
      <c r="A158" s="1" t="s">
        <v>454</v>
      </c>
      <c r="B158" s="1" t="s">
        <v>41</v>
      </c>
      <c r="C158" s="2">
        <v>6.0</v>
      </c>
      <c r="D158" s="1" t="s">
        <v>41</v>
      </c>
      <c r="E158" s="1" t="s">
        <v>42</v>
      </c>
      <c r="F158" s="3"/>
      <c r="G158" s="1" t="s">
        <v>30</v>
      </c>
      <c r="H158" s="4">
        <v>0.1284722222222222</v>
      </c>
      <c r="I158" s="1" t="s">
        <v>248</v>
      </c>
      <c r="J158" s="1" t="s">
        <v>28</v>
      </c>
      <c r="K158" s="4">
        <v>0.3875</v>
      </c>
      <c r="L158" s="1" t="s">
        <v>388</v>
      </c>
      <c r="M158" s="1" t="s">
        <v>30</v>
      </c>
      <c r="N158" s="4">
        <v>0.6736111111111112</v>
      </c>
      <c r="O158" s="1" t="s">
        <v>200</v>
      </c>
      <c r="P158" s="1" t="s">
        <v>28</v>
      </c>
      <c r="Q158" s="4">
        <v>0.9402777777777778</v>
      </c>
      <c r="R158" s="1" t="s">
        <v>256</v>
      </c>
      <c r="S158" s="1">
        <f t="shared" si="1"/>
        <v>82</v>
      </c>
      <c r="T158" s="1">
        <f t="shared" si="2"/>
        <v>70</v>
      </c>
      <c r="U158" s="5">
        <f t="shared" si="3"/>
        <v>82</v>
      </c>
      <c r="V158" s="5" t="s">
        <v>39</v>
      </c>
    </row>
    <row r="159">
      <c r="A159" s="1" t="s">
        <v>454</v>
      </c>
      <c r="B159" s="1" t="s">
        <v>41</v>
      </c>
      <c r="C159" s="2">
        <v>7.0</v>
      </c>
      <c r="D159" s="1" t="s">
        <v>55</v>
      </c>
      <c r="E159" s="1" t="s">
        <v>42</v>
      </c>
      <c r="F159" s="7" t="s">
        <v>107</v>
      </c>
      <c r="G159" s="1" t="s">
        <v>30</v>
      </c>
      <c r="H159" s="4">
        <v>0.16597222222222222</v>
      </c>
      <c r="I159" s="1" t="s">
        <v>291</v>
      </c>
      <c r="J159" s="1" t="s">
        <v>28</v>
      </c>
      <c r="K159" s="4">
        <v>0.42291666666666666</v>
      </c>
      <c r="L159" s="1" t="s">
        <v>89</v>
      </c>
      <c r="M159" s="1" t="s">
        <v>30</v>
      </c>
      <c r="N159" s="4">
        <v>0.7097222222222223</v>
      </c>
      <c r="O159" s="1" t="s">
        <v>333</v>
      </c>
      <c r="P159" s="1" t="s">
        <v>28</v>
      </c>
      <c r="Q159" s="4">
        <v>0.9805555555555555</v>
      </c>
      <c r="R159" s="1" t="s">
        <v>471</v>
      </c>
      <c r="S159" s="1">
        <f t="shared" si="1"/>
        <v>71</v>
      </c>
      <c r="T159" s="1">
        <f t="shared" si="2"/>
        <v>67</v>
      </c>
      <c r="U159" s="5">
        <f t="shared" si="3"/>
        <v>71</v>
      </c>
      <c r="V159" s="5" t="s">
        <v>39</v>
      </c>
    </row>
    <row r="160">
      <c r="A160" s="1" t="s">
        <v>454</v>
      </c>
      <c r="B160" s="1" t="s">
        <v>41</v>
      </c>
      <c r="C160" s="2">
        <v>8.0</v>
      </c>
      <c r="D160" s="1" t="s">
        <v>25</v>
      </c>
      <c r="E160" s="6"/>
      <c r="F160" s="3"/>
      <c r="G160" s="1" t="s">
        <v>30</v>
      </c>
      <c r="H160" s="4">
        <v>0.21388888888888888</v>
      </c>
      <c r="I160" s="1" t="s">
        <v>355</v>
      </c>
      <c r="J160" s="1" t="s">
        <v>28</v>
      </c>
      <c r="K160" s="4">
        <v>0.4666666666666667</v>
      </c>
      <c r="L160" s="1" t="s">
        <v>472</v>
      </c>
      <c r="M160" s="1" t="s">
        <v>30</v>
      </c>
      <c r="N160" s="4">
        <v>0.7506944444444444</v>
      </c>
      <c r="O160" s="1" t="s">
        <v>122</v>
      </c>
      <c r="S160" s="1">
        <f t="shared" si="1"/>
        <v>64</v>
      </c>
      <c r="T160" s="1">
        <f t="shared" si="2"/>
        <v>37</v>
      </c>
      <c r="U160" s="5">
        <f t="shared" si="3"/>
        <v>64</v>
      </c>
      <c r="V160" s="5" t="s">
        <v>39</v>
      </c>
    </row>
    <row r="161">
      <c r="A161" s="1" t="s">
        <v>454</v>
      </c>
      <c r="B161" s="1" t="s">
        <v>41</v>
      </c>
      <c r="C161" s="2">
        <v>9.0</v>
      </c>
      <c r="D161" s="1" t="s">
        <v>75</v>
      </c>
      <c r="E161" s="6"/>
      <c r="F161" s="3"/>
      <c r="G161" s="1" t="s">
        <v>28</v>
      </c>
      <c r="H161" s="4">
        <v>0.022222222222222223</v>
      </c>
      <c r="I161" s="1" t="s">
        <v>190</v>
      </c>
      <c r="J161" s="1" t="s">
        <v>30</v>
      </c>
      <c r="K161" s="4">
        <v>0.26875</v>
      </c>
      <c r="L161" s="1" t="s">
        <v>422</v>
      </c>
      <c r="M161" s="1" t="s">
        <v>28</v>
      </c>
      <c r="N161" s="4">
        <v>0.5180555555555556</v>
      </c>
      <c r="O161" s="1" t="s">
        <v>262</v>
      </c>
      <c r="P161" s="1" t="s">
        <v>30</v>
      </c>
      <c r="Q161" s="4">
        <v>0.7923611111111111</v>
      </c>
      <c r="R161" s="1" t="s">
        <v>328</v>
      </c>
      <c r="S161" s="1">
        <f t="shared" si="1"/>
        <v>54</v>
      </c>
      <c r="T161" s="1">
        <f t="shared" si="2"/>
        <v>72</v>
      </c>
      <c r="U161" s="5">
        <f t="shared" si="3"/>
        <v>72</v>
      </c>
      <c r="V161" s="5" t="s">
        <v>39</v>
      </c>
    </row>
    <row r="162">
      <c r="A162" s="1" t="s">
        <v>454</v>
      </c>
      <c r="B162" s="1" t="s">
        <v>41</v>
      </c>
      <c r="C162" s="2">
        <v>10.0</v>
      </c>
      <c r="D162" s="1" t="s">
        <v>86</v>
      </c>
      <c r="E162" s="6"/>
      <c r="F162" s="3"/>
      <c r="G162" s="1" t="s">
        <v>28</v>
      </c>
      <c r="H162" s="4">
        <v>0.06041666666666667</v>
      </c>
      <c r="I162" s="1" t="s">
        <v>192</v>
      </c>
      <c r="J162" s="1" t="s">
        <v>30</v>
      </c>
      <c r="K162" s="4">
        <v>0.32222222222222224</v>
      </c>
      <c r="L162" s="1" t="s">
        <v>250</v>
      </c>
      <c r="M162" s="1" t="s">
        <v>28</v>
      </c>
      <c r="N162" s="4">
        <v>0.5715277777777777</v>
      </c>
      <c r="O162" s="1" t="s">
        <v>220</v>
      </c>
      <c r="P162" s="1" t="s">
        <v>30</v>
      </c>
      <c r="Q162" s="4">
        <v>0.8319444444444445</v>
      </c>
      <c r="R162" s="1" t="s">
        <v>250</v>
      </c>
      <c r="S162" s="1">
        <f t="shared" si="1"/>
        <v>72</v>
      </c>
      <c r="T162" s="1">
        <f t="shared" si="2"/>
        <v>70</v>
      </c>
      <c r="U162" s="5">
        <f t="shared" si="3"/>
        <v>72</v>
      </c>
      <c r="V162" s="5" t="s">
        <v>39</v>
      </c>
    </row>
    <row r="163">
      <c r="A163" s="1" t="s">
        <v>454</v>
      </c>
      <c r="B163" s="1" t="s">
        <v>41</v>
      </c>
      <c r="C163" s="2">
        <v>11.0</v>
      </c>
      <c r="D163" s="1" t="s">
        <v>26</v>
      </c>
      <c r="E163" s="6"/>
      <c r="F163" s="3"/>
      <c r="G163" s="1" t="s">
        <v>28</v>
      </c>
      <c r="H163" s="4">
        <v>0.09513888888888888</v>
      </c>
      <c r="I163" s="1" t="s">
        <v>89</v>
      </c>
      <c r="J163" s="1" t="s">
        <v>30</v>
      </c>
      <c r="K163" s="4">
        <v>0.36944444444444446</v>
      </c>
      <c r="L163" s="1" t="s">
        <v>112</v>
      </c>
      <c r="M163" s="1" t="s">
        <v>28</v>
      </c>
      <c r="N163" s="4">
        <v>0.6229166666666667</v>
      </c>
      <c r="O163" s="1" t="s">
        <v>262</v>
      </c>
      <c r="P163" s="1" t="s">
        <v>30</v>
      </c>
      <c r="Q163" s="4">
        <v>0.8680555555555556</v>
      </c>
      <c r="R163" s="1" t="s">
        <v>295</v>
      </c>
      <c r="S163" s="1">
        <f t="shared" si="1"/>
        <v>96</v>
      </c>
      <c r="T163" s="1">
        <f t="shared" si="2"/>
        <v>70</v>
      </c>
      <c r="U163" s="5">
        <f t="shared" si="3"/>
        <v>96</v>
      </c>
      <c r="V163" s="5" t="s">
        <v>90</v>
      </c>
    </row>
    <row r="164">
      <c r="A164" s="1" t="s">
        <v>454</v>
      </c>
      <c r="B164" s="1" t="s">
        <v>41</v>
      </c>
      <c r="C164" s="2">
        <v>12.0</v>
      </c>
      <c r="D164" s="1" t="s">
        <v>34</v>
      </c>
      <c r="E164" s="6"/>
      <c r="F164" s="3"/>
      <c r="G164" s="1" t="s">
        <v>28</v>
      </c>
      <c r="H164" s="4">
        <v>0.12916666666666668</v>
      </c>
      <c r="I164" s="1" t="s">
        <v>158</v>
      </c>
      <c r="J164" s="1" t="s">
        <v>30</v>
      </c>
      <c r="K164" s="4">
        <v>0.41041666666666665</v>
      </c>
      <c r="L164" s="1" t="s">
        <v>88</v>
      </c>
      <c r="M164" s="1" t="s">
        <v>28</v>
      </c>
      <c r="N164" s="4">
        <v>0.66875</v>
      </c>
      <c r="O164" s="1" t="s">
        <v>131</v>
      </c>
      <c r="P164" s="1" t="s">
        <v>30</v>
      </c>
      <c r="Q164" s="4">
        <v>0.9034722222222222</v>
      </c>
      <c r="R164" s="1" t="s">
        <v>250</v>
      </c>
      <c r="S164" s="1">
        <f t="shared" si="1"/>
        <v>123</v>
      </c>
      <c r="T164" s="1">
        <f t="shared" si="2"/>
        <v>73</v>
      </c>
      <c r="U164" s="5">
        <f t="shared" si="3"/>
        <v>123</v>
      </c>
      <c r="V164" s="5" t="s">
        <v>90</v>
      </c>
    </row>
    <row r="165">
      <c r="A165" s="1" t="s">
        <v>454</v>
      </c>
      <c r="B165" s="1" t="s">
        <v>41</v>
      </c>
      <c r="C165" s="2">
        <v>13.0</v>
      </c>
      <c r="D165" s="1" t="s">
        <v>41</v>
      </c>
      <c r="E165" s="1" t="s">
        <v>42</v>
      </c>
      <c r="F165" s="3"/>
      <c r="G165" s="1" t="s">
        <v>28</v>
      </c>
      <c r="H165" s="4">
        <v>0.1638888888888889</v>
      </c>
      <c r="I165" s="1" t="s">
        <v>205</v>
      </c>
      <c r="J165" s="1" t="s">
        <v>30</v>
      </c>
      <c r="K165" s="4">
        <v>0.4486111111111111</v>
      </c>
      <c r="L165" s="1" t="s">
        <v>386</v>
      </c>
      <c r="M165" s="1" t="s">
        <v>28</v>
      </c>
      <c r="N165" s="4">
        <v>0.7097222222222223</v>
      </c>
      <c r="O165" s="1" t="s">
        <v>251</v>
      </c>
      <c r="P165" s="1" t="s">
        <v>30</v>
      </c>
      <c r="Q165" s="4">
        <v>0.9368055555555556</v>
      </c>
      <c r="R165" s="1" t="s">
        <v>328</v>
      </c>
      <c r="S165" s="1">
        <f t="shared" si="1"/>
        <v>149</v>
      </c>
      <c r="T165" s="1">
        <f t="shared" si="2"/>
        <v>76</v>
      </c>
      <c r="U165" s="5">
        <f t="shared" si="3"/>
        <v>149</v>
      </c>
      <c r="V165" s="5" t="s">
        <v>47</v>
      </c>
    </row>
    <row r="166">
      <c r="A166" s="1" t="s">
        <v>454</v>
      </c>
      <c r="B166" s="1" t="s">
        <v>41</v>
      </c>
      <c r="C166" s="2">
        <v>14.0</v>
      </c>
      <c r="D166" s="1" t="s">
        <v>55</v>
      </c>
      <c r="E166" s="1" t="s">
        <v>42</v>
      </c>
      <c r="F166" s="7" t="s">
        <v>143</v>
      </c>
      <c r="G166" s="1" t="s">
        <v>28</v>
      </c>
      <c r="H166" s="4">
        <v>0.1986111111111111</v>
      </c>
      <c r="I166" s="1" t="s">
        <v>473</v>
      </c>
      <c r="J166" s="1" t="s">
        <v>30</v>
      </c>
      <c r="K166" s="4">
        <v>0.4861111111111111</v>
      </c>
      <c r="L166" s="1" t="s">
        <v>132</v>
      </c>
      <c r="M166" s="1" t="s">
        <v>28</v>
      </c>
      <c r="N166" s="4">
        <v>0.7472222222222222</v>
      </c>
      <c r="O166" s="1" t="s">
        <v>251</v>
      </c>
      <c r="P166" s="1" t="s">
        <v>30</v>
      </c>
      <c r="Q166" s="4">
        <v>0.9701388888888889</v>
      </c>
      <c r="R166" s="1" t="s">
        <v>191</v>
      </c>
      <c r="S166" s="1">
        <f t="shared" si="1"/>
        <v>170</v>
      </c>
      <c r="T166" s="1">
        <f t="shared" si="2"/>
        <v>78</v>
      </c>
      <c r="U166" s="5">
        <f t="shared" si="3"/>
        <v>170</v>
      </c>
      <c r="V166" s="5" t="s">
        <v>47</v>
      </c>
    </row>
    <row r="167">
      <c r="A167" s="1" t="s">
        <v>474</v>
      </c>
      <c r="B167" s="1" t="s">
        <v>41</v>
      </c>
      <c r="C167" s="2">
        <v>15.0</v>
      </c>
      <c r="D167" s="1" t="s">
        <v>25</v>
      </c>
      <c r="E167" s="6"/>
      <c r="F167" s="3"/>
      <c r="G167" s="1" t="s">
        <v>28</v>
      </c>
      <c r="H167" s="4">
        <v>0.23333333333333334</v>
      </c>
      <c r="I167" s="1" t="s">
        <v>464</v>
      </c>
      <c r="J167" s="1" t="s">
        <v>30</v>
      </c>
      <c r="K167" s="4">
        <v>0.5222222222222223</v>
      </c>
      <c r="L167" s="1" t="s">
        <v>475</v>
      </c>
      <c r="M167" s="1" t="s">
        <v>28</v>
      </c>
      <c r="N167" s="4">
        <v>0.7833333333333333</v>
      </c>
      <c r="O167" s="1" t="s">
        <v>251</v>
      </c>
      <c r="S167" s="1">
        <f t="shared" si="1"/>
        <v>183</v>
      </c>
      <c r="T167" s="1">
        <f t="shared" si="2"/>
        <v>42</v>
      </c>
      <c r="U167" s="5">
        <f t="shared" si="3"/>
        <v>183</v>
      </c>
      <c r="V167" s="5" t="s">
        <v>47</v>
      </c>
    </row>
    <row r="168">
      <c r="A168" s="1" t="s">
        <v>474</v>
      </c>
      <c r="B168" s="1" t="s">
        <v>41</v>
      </c>
      <c r="C168" s="2">
        <v>16.0</v>
      </c>
      <c r="D168" s="1" t="s">
        <v>75</v>
      </c>
      <c r="E168" s="6"/>
      <c r="F168" s="3"/>
      <c r="G168" s="1" t="s">
        <v>30</v>
      </c>
      <c r="H168" s="4">
        <v>0.003472222222222222</v>
      </c>
      <c r="I168" s="1" t="s">
        <v>326</v>
      </c>
      <c r="J168" s="1" t="s">
        <v>28</v>
      </c>
      <c r="K168" s="4">
        <v>0.26805555555555555</v>
      </c>
      <c r="L168" s="1" t="s">
        <v>476</v>
      </c>
      <c r="M168" s="1" t="s">
        <v>30</v>
      </c>
      <c r="N168" s="4">
        <v>0.5583333333333333</v>
      </c>
      <c r="O168" s="1" t="s">
        <v>475</v>
      </c>
      <c r="P168" s="1" t="s">
        <v>28</v>
      </c>
      <c r="Q168" s="4">
        <v>0.8173611111111111</v>
      </c>
      <c r="R168" s="1" t="s">
        <v>131</v>
      </c>
      <c r="S168" s="1">
        <f t="shared" si="1"/>
        <v>135</v>
      </c>
      <c r="T168" s="1">
        <f t="shared" si="2"/>
        <v>131</v>
      </c>
      <c r="U168" s="5">
        <f t="shared" si="3"/>
        <v>135</v>
      </c>
      <c r="V168" s="5" t="s">
        <v>47</v>
      </c>
    </row>
    <row r="169">
      <c r="A169" s="1" t="s">
        <v>474</v>
      </c>
      <c r="B169" s="1" t="s">
        <v>41</v>
      </c>
      <c r="C169" s="2">
        <v>17.0</v>
      </c>
      <c r="D169" s="1" t="s">
        <v>86</v>
      </c>
      <c r="E169" s="6"/>
      <c r="F169" s="3"/>
      <c r="G169" s="1" t="s">
        <v>30</v>
      </c>
      <c r="H169" s="4">
        <v>0.0375</v>
      </c>
      <c r="I169" s="1" t="s">
        <v>120</v>
      </c>
      <c r="J169" s="1" t="s">
        <v>28</v>
      </c>
      <c r="K169" s="4">
        <v>0.30277777777777776</v>
      </c>
      <c r="L169" s="1" t="s">
        <v>477</v>
      </c>
      <c r="M169" s="1" t="s">
        <v>30</v>
      </c>
      <c r="N169" s="4">
        <v>0.59375</v>
      </c>
      <c r="O169" s="1" t="s">
        <v>300</v>
      </c>
      <c r="P169" s="1" t="s">
        <v>28</v>
      </c>
      <c r="Q169" s="4">
        <v>0.8506944444444444</v>
      </c>
      <c r="R169" s="1" t="s">
        <v>262</v>
      </c>
      <c r="S169" s="1">
        <f t="shared" si="1"/>
        <v>135</v>
      </c>
      <c r="T169" s="1">
        <f t="shared" si="2"/>
        <v>123</v>
      </c>
      <c r="U169" s="5">
        <f t="shared" si="3"/>
        <v>135</v>
      </c>
      <c r="V169" s="5" t="s">
        <v>47</v>
      </c>
    </row>
    <row r="170">
      <c r="A170" s="1" t="s">
        <v>474</v>
      </c>
      <c r="B170" s="1" t="s">
        <v>41</v>
      </c>
      <c r="C170" s="2">
        <v>18.0</v>
      </c>
      <c r="D170" s="1" t="s">
        <v>26</v>
      </c>
      <c r="E170" s="6"/>
      <c r="F170" s="3"/>
      <c r="G170" s="1" t="s">
        <v>30</v>
      </c>
      <c r="H170" s="4">
        <v>0.07291666666666667</v>
      </c>
      <c r="I170" s="1" t="s">
        <v>326</v>
      </c>
      <c r="J170" s="1" t="s">
        <v>28</v>
      </c>
      <c r="K170" s="4">
        <v>0.3368055555555556</v>
      </c>
      <c r="L170" s="1" t="s">
        <v>478</v>
      </c>
      <c r="M170" s="1" t="s">
        <v>30</v>
      </c>
      <c r="N170" s="4">
        <v>0.6284722222222222</v>
      </c>
      <c r="O170" s="1" t="s">
        <v>386</v>
      </c>
      <c r="P170" s="1" t="s">
        <v>28</v>
      </c>
      <c r="Q170" s="4">
        <v>0.8833333333333333</v>
      </c>
      <c r="R170" s="1" t="s">
        <v>220</v>
      </c>
      <c r="S170" s="1">
        <f t="shared" si="1"/>
        <v>129</v>
      </c>
      <c r="T170" s="1">
        <f t="shared" si="2"/>
        <v>113</v>
      </c>
      <c r="U170" s="5">
        <f t="shared" si="3"/>
        <v>129</v>
      </c>
      <c r="V170" s="5" t="s">
        <v>47</v>
      </c>
    </row>
    <row r="171">
      <c r="A171" s="1" t="s">
        <v>474</v>
      </c>
      <c r="B171" s="1" t="s">
        <v>41</v>
      </c>
      <c r="C171" s="2">
        <v>19.0</v>
      </c>
      <c r="D171" s="1" t="s">
        <v>34</v>
      </c>
      <c r="E171" s="1" t="s">
        <v>479</v>
      </c>
      <c r="F171" s="3"/>
      <c r="G171" s="1" t="s">
        <v>30</v>
      </c>
      <c r="H171" s="4">
        <v>0.10972222222222222</v>
      </c>
      <c r="I171" s="1" t="s">
        <v>191</v>
      </c>
      <c r="J171" s="1" t="s">
        <v>28</v>
      </c>
      <c r="K171" s="4">
        <v>0.37222222222222223</v>
      </c>
      <c r="L171" s="1" t="s">
        <v>419</v>
      </c>
      <c r="M171" s="1" t="s">
        <v>30</v>
      </c>
      <c r="N171" s="4">
        <v>0.6625</v>
      </c>
      <c r="O171" s="1" t="s">
        <v>313</v>
      </c>
      <c r="P171" s="1" t="s">
        <v>28</v>
      </c>
      <c r="Q171" s="4">
        <v>0.9166666666666666</v>
      </c>
      <c r="R171" s="1" t="s">
        <v>357</v>
      </c>
      <c r="S171" s="1">
        <f t="shared" si="1"/>
        <v>116</v>
      </c>
      <c r="T171" s="1">
        <f t="shared" si="2"/>
        <v>100</v>
      </c>
      <c r="U171" s="5">
        <f t="shared" si="3"/>
        <v>116</v>
      </c>
      <c r="V171" s="5" t="s">
        <v>90</v>
      </c>
    </row>
    <row r="172">
      <c r="A172" s="1" t="s">
        <v>474</v>
      </c>
      <c r="B172" s="1" t="s">
        <v>41</v>
      </c>
      <c r="C172" s="2">
        <v>20.0</v>
      </c>
      <c r="D172" s="1" t="s">
        <v>41</v>
      </c>
      <c r="E172" s="1" t="s">
        <v>42</v>
      </c>
      <c r="F172" s="3"/>
      <c r="G172" s="1" t="s">
        <v>30</v>
      </c>
      <c r="H172" s="4">
        <v>0.14930555555555555</v>
      </c>
      <c r="I172" s="1" t="s">
        <v>250</v>
      </c>
      <c r="J172" s="1" t="s">
        <v>28</v>
      </c>
      <c r="K172" s="4">
        <v>0.40902777777777777</v>
      </c>
      <c r="L172" s="1" t="s">
        <v>385</v>
      </c>
      <c r="M172" s="1" t="s">
        <v>30</v>
      </c>
      <c r="N172" s="4">
        <v>0.6951388888888889</v>
      </c>
      <c r="O172" s="1" t="s">
        <v>114</v>
      </c>
      <c r="P172" s="1" t="s">
        <v>28</v>
      </c>
      <c r="Q172" s="4">
        <v>0.9506944444444444</v>
      </c>
      <c r="R172" s="1" t="s">
        <v>402</v>
      </c>
      <c r="S172" s="1">
        <f t="shared" si="1"/>
        <v>99</v>
      </c>
      <c r="T172" s="1">
        <f t="shared" si="2"/>
        <v>86</v>
      </c>
      <c r="U172" s="5">
        <f t="shared" si="3"/>
        <v>99</v>
      </c>
      <c r="V172" s="5" t="s">
        <v>90</v>
      </c>
    </row>
    <row r="173">
      <c r="A173" s="1" t="s">
        <v>474</v>
      </c>
      <c r="B173" s="1" t="s">
        <v>41</v>
      </c>
      <c r="C173" s="2">
        <v>21.0</v>
      </c>
      <c r="D173" s="1" t="s">
        <v>55</v>
      </c>
      <c r="E173" s="1" t="s">
        <v>42</v>
      </c>
      <c r="F173" s="7" t="s">
        <v>184</v>
      </c>
      <c r="G173" s="1" t="s">
        <v>30</v>
      </c>
      <c r="H173" s="4">
        <v>0.19236111111111112</v>
      </c>
      <c r="I173" s="1" t="s">
        <v>480</v>
      </c>
      <c r="J173" s="1" t="s">
        <v>28</v>
      </c>
      <c r="K173" s="4">
        <v>0.4486111111111111</v>
      </c>
      <c r="L173" s="1" t="s">
        <v>307</v>
      </c>
      <c r="M173" s="1" t="s">
        <v>30</v>
      </c>
      <c r="N173" s="4">
        <v>0.7277777777777777</v>
      </c>
      <c r="O173" s="1" t="s">
        <v>120</v>
      </c>
      <c r="P173" s="1" t="s">
        <v>28</v>
      </c>
      <c r="Q173" s="4">
        <v>0.9868055555555556</v>
      </c>
      <c r="R173" s="1" t="s">
        <v>357</v>
      </c>
      <c r="S173" s="1">
        <f t="shared" si="1"/>
        <v>80</v>
      </c>
      <c r="T173" s="1">
        <f t="shared" si="2"/>
        <v>75</v>
      </c>
      <c r="U173" s="5">
        <f t="shared" si="3"/>
        <v>80</v>
      </c>
      <c r="V173" s="5" t="s">
        <v>39</v>
      </c>
    </row>
    <row r="174">
      <c r="A174" s="1" t="s">
        <v>474</v>
      </c>
      <c r="B174" s="1" t="s">
        <v>41</v>
      </c>
      <c r="C174" s="2">
        <v>22.0</v>
      </c>
      <c r="D174" s="1" t="s">
        <v>25</v>
      </c>
      <c r="E174" s="6"/>
      <c r="F174" s="3"/>
      <c r="G174" s="1" t="s">
        <v>30</v>
      </c>
      <c r="H174" s="4">
        <v>0.24097222222222223</v>
      </c>
      <c r="I174" s="1" t="s">
        <v>248</v>
      </c>
      <c r="J174" s="1" t="s">
        <v>28</v>
      </c>
      <c r="K174" s="4">
        <v>0.49444444444444446</v>
      </c>
      <c r="L174" s="1" t="s">
        <v>220</v>
      </c>
      <c r="M174" s="1" t="s">
        <v>30</v>
      </c>
      <c r="N174" s="4">
        <v>0.7618055555555555</v>
      </c>
      <c r="O174" s="1" t="s">
        <v>480</v>
      </c>
      <c r="S174" s="1">
        <f t="shared" si="1"/>
        <v>63</v>
      </c>
      <c r="T174" s="1">
        <f t="shared" si="2"/>
        <v>29</v>
      </c>
      <c r="U174" s="5">
        <f t="shared" si="3"/>
        <v>63</v>
      </c>
      <c r="V174" s="5" t="s">
        <v>39</v>
      </c>
    </row>
    <row r="175">
      <c r="A175" s="1" t="s">
        <v>474</v>
      </c>
      <c r="B175" s="1" t="s">
        <v>41</v>
      </c>
      <c r="C175" s="2">
        <v>23.0</v>
      </c>
      <c r="D175" s="1" t="s">
        <v>75</v>
      </c>
      <c r="E175" s="6"/>
      <c r="F175" s="3"/>
      <c r="G175" s="1" t="s">
        <v>28</v>
      </c>
      <c r="H175" s="4">
        <v>0.024305555555555556</v>
      </c>
      <c r="I175" s="1" t="s">
        <v>262</v>
      </c>
      <c r="J175" s="1" t="s">
        <v>30</v>
      </c>
      <c r="K175" s="4">
        <v>0.29583333333333334</v>
      </c>
      <c r="L175" s="1" t="s">
        <v>248</v>
      </c>
      <c r="M175" s="1" t="s">
        <v>28</v>
      </c>
      <c r="N175" s="4">
        <v>0.5465277777777777</v>
      </c>
      <c r="O175" s="1" t="s">
        <v>189</v>
      </c>
      <c r="P175" s="1" t="s">
        <v>30</v>
      </c>
      <c r="Q175" s="4">
        <v>0.7979166666666667</v>
      </c>
      <c r="R175" s="1" t="s">
        <v>291</v>
      </c>
      <c r="S175" s="1">
        <f t="shared" si="1"/>
        <v>64</v>
      </c>
      <c r="T175" s="1">
        <f t="shared" si="2"/>
        <v>49</v>
      </c>
      <c r="U175" s="5">
        <f t="shared" si="3"/>
        <v>64</v>
      </c>
      <c r="V175" s="5" t="s">
        <v>39</v>
      </c>
    </row>
    <row r="176">
      <c r="A176" s="1" t="s">
        <v>474</v>
      </c>
      <c r="B176" s="1" t="s">
        <v>41</v>
      </c>
      <c r="C176" s="2">
        <v>24.0</v>
      </c>
      <c r="D176" s="1" t="s">
        <v>86</v>
      </c>
      <c r="E176" s="6"/>
      <c r="F176" s="3"/>
      <c r="G176" s="1" t="s">
        <v>28</v>
      </c>
      <c r="H176" s="4">
        <v>0.06319444444444444</v>
      </c>
      <c r="I176" s="1" t="s">
        <v>292</v>
      </c>
      <c r="J176" s="1" t="s">
        <v>30</v>
      </c>
      <c r="K176" s="4">
        <v>0.35208333333333336</v>
      </c>
      <c r="L176" s="1" t="s">
        <v>391</v>
      </c>
      <c r="M176" s="1" t="s">
        <v>28</v>
      </c>
      <c r="N176" s="4">
        <v>0.6034722222222222</v>
      </c>
      <c r="O176" s="1" t="s">
        <v>256</v>
      </c>
      <c r="P176" s="1" t="s">
        <v>30</v>
      </c>
      <c r="Q176" s="4">
        <v>0.8361111111111111</v>
      </c>
      <c r="R176" s="1" t="s">
        <v>235</v>
      </c>
      <c r="S176" s="1">
        <f t="shared" si="1"/>
        <v>71</v>
      </c>
      <c r="T176" s="1">
        <f t="shared" si="2"/>
        <v>40</v>
      </c>
      <c r="U176" s="5">
        <f t="shared" si="3"/>
        <v>71</v>
      </c>
      <c r="V176" s="5" t="s">
        <v>39</v>
      </c>
    </row>
    <row r="177">
      <c r="A177" s="1" t="s">
        <v>474</v>
      </c>
      <c r="B177" s="1" t="s">
        <v>41</v>
      </c>
      <c r="C177" s="2">
        <v>25.0</v>
      </c>
      <c r="D177" s="1" t="s">
        <v>26</v>
      </c>
      <c r="E177" s="6"/>
      <c r="F177" s="3"/>
      <c r="G177" s="1" t="s">
        <v>28</v>
      </c>
      <c r="H177" s="4">
        <v>0.10208333333333333</v>
      </c>
      <c r="I177" s="1" t="s">
        <v>179</v>
      </c>
      <c r="J177" s="1" t="s">
        <v>30</v>
      </c>
      <c r="K177" s="4">
        <v>0.39861111111111114</v>
      </c>
      <c r="L177" s="1" t="s">
        <v>326</v>
      </c>
      <c r="M177" s="1" t="s">
        <v>28</v>
      </c>
      <c r="N177" s="4">
        <v>0.6541666666666667</v>
      </c>
      <c r="O177" s="1" t="s">
        <v>173</v>
      </c>
      <c r="P177" s="1" t="s">
        <v>30</v>
      </c>
      <c r="Q177" s="4">
        <v>0.8736111111111111</v>
      </c>
      <c r="R177" s="1" t="s">
        <v>235</v>
      </c>
      <c r="S177" s="1">
        <f t="shared" si="1"/>
        <v>83</v>
      </c>
      <c r="T177" s="1">
        <f t="shared" si="2"/>
        <v>39</v>
      </c>
      <c r="U177" s="5">
        <f t="shared" si="3"/>
        <v>83</v>
      </c>
      <c r="V177" s="5" t="s">
        <v>39</v>
      </c>
    </row>
    <row r="178">
      <c r="A178" s="1" t="s">
        <v>474</v>
      </c>
      <c r="B178" s="1" t="s">
        <v>41</v>
      </c>
      <c r="C178" s="2">
        <v>26.0</v>
      </c>
      <c r="D178" s="1" t="s">
        <v>34</v>
      </c>
      <c r="E178" s="6"/>
      <c r="F178" s="3"/>
      <c r="G178" s="1" t="s">
        <v>28</v>
      </c>
      <c r="H178" s="4">
        <v>0.13819444444444445</v>
      </c>
      <c r="I178" s="1" t="s">
        <v>265</v>
      </c>
      <c r="J178" s="1" t="s">
        <v>30</v>
      </c>
      <c r="K178" s="4">
        <v>0.43472222222222223</v>
      </c>
      <c r="L178" s="1" t="s">
        <v>112</v>
      </c>
      <c r="M178" s="1" t="s">
        <v>28</v>
      </c>
      <c r="N178" s="4">
        <v>0.69375</v>
      </c>
      <c r="O178" s="1" t="s">
        <v>176</v>
      </c>
      <c r="P178" s="1" t="s">
        <v>30</v>
      </c>
      <c r="Q178" s="4">
        <v>0.9076388888888889</v>
      </c>
      <c r="R178" s="1" t="s">
        <v>481</v>
      </c>
      <c r="S178" s="1">
        <f t="shared" si="1"/>
        <v>97</v>
      </c>
      <c r="T178" s="1">
        <f t="shared" si="2"/>
        <v>43</v>
      </c>
      <c r="U178" s="5">
        <f t="shared" si="3"/>
        <v>97</v>
      </c>
      <c r="V178" s="5" t="s">
        <v>90</v>
      </c>
    </row>
    <row r="179">
      <c r="A179" s="1" t="s">
        <v>474</v>
      </c>
      <c r="B179" s="1" t="s">
        <v>41</v>
      </c>
      <c r="C179" s="2">
        <v>27.0</v>
      </c>
      <c r="D179" s="1" t="s">
        <v>41</v>
      </c>
      <c r="E179" s="1" t="s">
        <v>42</v>
      </c>
      <c r="F179" s="3"/>
      <c r="G179" s="1" t="s">
        <v>28</v>
      </c>
      <c r="H179" s="4">
        <v>0.1701388888888889</v>
      </c>
      <c r="I179" s="1" t="s">
        <v>388</v>
      </c>
      <c r="J179" s="1" t="s">
        <v>30</v>
      </c>
      <c r="K179" s="4">
        <v>0.4638888888888889</v>
      </c>
      <c r="L179" s="1" t="s">
        <v>37</v>
      </c>
      <c r="M179" s="1" t="s">
        <v>28</v>
      </c>
      <c r="N179" s="4">
        <v>0.7243055555555555</v>
      </c>
      <c r="O179" s="1" t="s">
        <v>189</v>
      </c>
      <c r="P179" s="1" t="s">
        <v>30</v>
      </c>
      <c r="Q179" s="4">
        <v>0.9381944444444444</v>
      </c>
      <c r="R179" s="1" t="s">
        <v>291</v>
      </c>
      <c r="S179" s="1">
        <f t="shared" si="1"/>
        <v>111</v>
      </c>
      <c r="T179" s="1">
        <f t="shared" si="2"/>
        <v>49</v>
      </c>
      <c r="U179" s="5">
        <f t="shared" si="3"/>
        <v>111</v>
      </c>
      <c r="V179" s="5" t="s">
        <v>90</v>
      </c>
    </row>
    <row r="180">
      <c r="A180" s="1" t="s">
        <v>474</v>
      </c>
      <c r="B180" s="1" t="s">
        <v>41</v>
      </c>
      <c r="C180" s="2">
        <v>28.0</v>
      </c>
      <c r="D180" s="1" t="s">
        <v>55</v>
      </c>
      <c r="E180" s="1" t="s">
        <v>42</v>
      </c>
      <c r="F180" s="3"/>
      <c r="G180" s="1" t="s">
        <v>28</v>
      </c>
      <c r="H180" s="4">
        <v>0.19930555555555557</v>
      </c>
      <c r="I180" s="1" t="s">
        <v>78</v>
      </c>
      <c r="J180" s="1" t="s">
        <v>30</v>
      </c>
      <c r="K180" s="4">
        <v>0.4888888888888889</v>
      </c>
      <c r="L180" s="1" t="s">
        <v>88</v>
      </c>
      <c r="M180" s="1" t="s">
        <v>28</v>
      </c>
      <c r="N180" s="4">
        <v>0.7506944444444444</v>
      </c>
      <c r="O180" s="1" t="s">
        <v>190</v>
      </c>
      <c r="P180" s="1" t="s">
        <v>30</v>
      </c>
      <c r="Q180" s="4">
        <v>0.9652777777777778</v>
      </c>
      <c r="R180" s="1" t="s">
        <v>248</v>
      </c>
      <c r="S180" s="1">
        <f t="shared" si="1"/>
        <v>124</v>
      </c>
      <c r="T180" s="1">
        <f t="shared" si="2"/>
        <v>56</v>
      </c>
      <c r="U180" s="5">
        <f t="shared" si="3"/>
        <v>124</v>
      </c>
      <c r="V180" s="5" t="s">
        <v>47</v>
      </c>
    </row>
    <row r="181">
      <c r="A181" s="1" t="s">
        <v>474</v>
      </c>
      <c r="B181" s="1" t="s">
        <v>41</v>
      </c>
      <c r="C181" s="2">
        <v>29.0</v>
      </c>
      <c r="D181" s="1" t="s">
        <v>25</v>
      </c>
      <c r="E181" s="6"/>
      <c r="F181" s="7" t="s">
        <v>35</v>
      </c>
      <c r="G181" s="1" t="s">
        <v>28</v>
      </c>
      <c r="H181" s="4">
        <v>0.22569444444444445</v>
      </c>
      <c r="I181" s="1" t="s">
        <v>436</v>
      </c>
      <c r="J181" s="1" t="s">
        <v>30</v>
      </c>
      <c r="K181" s="4">
        <v>0.5131944444444444</v>
      </c>
      <c r="L181" s="1" t="s">
        <v>182</v>
      </c>
      <c r="M181" s="1" t="s">
        <v>28</v>
      </c>
      <c r="N181" s="4">
        <v>0.7743055555555556</v>
      </c>
      <c r="O181" s="1" t="s">
        <v>100</v>
      </c>
      <c r="P181" s="1" t="s">
        <v>30</v>
      </c>
      <c r="Q181" s="4">
        <v>0.9909722222222223</v>
      </c>
      <c r="R181" s="1" t="s">
        <v>391</v>
      </c>
      <c r="S181" s="1">
        <f t="shared" si="1"/>
        <v>134</v>
      </c>
      <c r="T181" s="1">
        <f t="shared" si="2"/>
        <v>63</v>
      </c>
      <c r="U181" s="5">
        <f t="shared" si="3"/>
        <v>134</v>
      </c>
      <c r="V181" s="5" t="s">
        <v>47</v>
      </c>
    </row>
    <row r="182">
      <c r="A182" s="1" t="s">
        <v>474</v>
      </c>
      <c r="B182" s="1" t="s">
        <v>41</v>
      </c>
      <c r="C182" s="2">
        <v>30.0</v>
      </c>
      <c r="D182" s="1" t="s">
        <v>75</v>
      </c>
      <c r="E182" s="6"/>
      <c r="F182" s="3"/>
      <c r="G182" s="1" t="s">
        <v>28</v>
      </c>
      <c r="H182" s="4">
        <v>0.25069444444444444</v>
      </c>
      <c r="I182" s="1" t="s">
        <v>46</v>
      </c>
      <c r="J182" s="1" t="s">
        <v>30</v>
      </c>
      <c r="K182" s="4">
        <v>0.5361111111111111</v>
      </c>
      <c r="L182" s="1" t="s">
        <v>174</v>
      </c>
      <c r="M182" s="1" t="s">
        <v>28</v>
      </c>
      <c r="N182" s="4">
        <v>0.7972222222222223</v>
      </c>
      <c r="O182" s="1" t="s">
        <v>218</v>
      </c>
      <c r="S182" s="1">
        <f t="shared" si="1"/>
        <v>140</v>
      </c>
      <c r="T182" s="1">
        <f t="shared" si="2"/>
        <v>34</v>
      </c>
      <c r="U182" s="5">
        <f t="shared" si="3"/>
        <v>140</v>
      </c>
      <c r="V182" s="5" t="s">
        <v>47</v>
      </c>
    </row>
    <row r="183">
      <c r="A183" s="1" t="s">
        <v>474</v>
      </c>
      <c r="B183" s="1" t="s">
        <v>482</v>
      </c>
      <c r="C183" s="2">
        <v>1.0</v>
      </c>
      <c r="D183" s="1" t="s">
        <v>86</v>
      </c>
      <c r="E183" s="6"/>
      <c r="F183" s="3"/>
      <c r="G183" s="1" t="s">
        <v>30</v>
      </c>
      <c r="H183" s="4">
        <v>0.01597222222222222</v>
      </c>
      <c r="I183" s="1" t="s">
        <v>250</v>
      </c>
      <c r="J183" s="1" t="s">
        <v>28</v>
      </c>
      <c r="K183" s="4">
        <v>0.2743055555555556</v>
      </c>
      <c r="L183" s="1" t="s">
        <v>211</v>
      </c>
      <c r="M183" s="1" t="s">
        <v>30</v>
      </c>
      <c r="N183" s="4">
        <v>0.5583333333333333</v>
      </c>
      <c r="O183" s="1" t="s">
        <v>274</v>
      </c>
      <c r="P183" s="1" t="s">
        <v>28</v>
      </c>
      <c r="Q183" s="4">
        <v>0.8180555555555555</v>
      </c>
      <c r="R183" s="1" t="s">
        <v>357</v>
      </c>
      <c r="S183" s="1">
        <f t="shared" si="1"/>
        <v>109</v>
      </c>
      <c r="T183" s="1">
        <f t="shared" si="2"/>
        <v>103</v>
      </c>
      <c r="U183" s="5">
        <f t="shared" si="3"/>
        <v>109</v>
      </c>
      <c r="V183" s="5" t="s">
        <v>90</v>
      </c>
    </row>
    <row r="184">
      <c r="A184" s="1" t="s">
        <v>474</v>
      </c>
      <c r="B184" s="1" t="s">
        <v>482</v>
      </c>
      <c r="C184" s="2">
        <v>2.0</v>
      </c>
      <c r="D184" s="1" t="s">
        <v>26</v>
      </c>
      <c r="E184" s="6"/>
      <c r="F184" s="3"/>
      <c r="G184" s="1" t="s">
        <v>30</v>
      </c>
      <c r="H184" s="4">
        <v>0.04027777777777778</v>
      </c>
      <c r="I184" s="1" t="s">
        <v>286</v>
      </c>
      <c r="J184" s="1" t="s">
        <v>28</v>
      </c>
      <c r="K184" s="4">
        <v>0.2986111111111111</v>
      </c>
      <c r="L184" s="1" t="s">
        <v>346</v>
      </c>
      <c r="M184" s="1" t="s">
        <v>30</v>
      </c>
      <c r="N184" s="4">
        <v>0.58125</v>
      </c>
      <c r="O184" s="1" t="s">
        <v>66</v>
      </c>
      <c r="P184" s="1" t="s">
        <v>28</v>
      </c>
      <c r="Q184" s="4">
        <v>0.8395833333333333</v>
      </c>
      <c r="R184" s="1" t="s">
        <v>220</v>
      </c>
      <c r="S184" s="1">
        <f t="shared" si="1"/>
        <v>112</v>
      </c>
      <c r="T184" s="1">
        <f t="shared" si="2"/>
        <v>102</v>
      </c>
      <c r="U184" s="5">
        <f t="shared" si="3"/>
        <v>112</v>
      </c>
      <c r="V184" s="5" t="s">
        <v>90</v>
      </c>
    </row>
    <row r="185">
      <c r="A185" s="1" t="s">
        <v>474</v>
      </c>
      <c r="B185" s="1" t="s">
        <v>482</v>
      </c>
      <c r="C185" s="2">
        <v>3.0</v>
      </c>
      <c r="D185" s="1" t="s">
        <v>34</v>
      </c>
      <c r="E185" s="6"/>
      <c r="F185" s="3"/>
      <c r="G185" s="1" t="s">
        <v>30</v>
      </c>
      <c r="H185" s="4">
        <v>0.06597222222222222</v>
      </c>
      <c r="I185" s="1" t="s">
        <v>191</v>
      </c>
      <c r="J185" s="1" t="s">
        <v>28</v>
      </c>
      <c r="K185" s="4">
        <v>0.3229166666666667</v>
      </c>
      <c r="L185" s="1" t="s">
        <v>211</v>
      </c>
      <c r="M185" s="1" t="s">
        <v>30</v>
      </c>
      <c r="N185" s="4">
        <v>0.6041666666666666</v>
      </c>
      <c r="O185" s="1" t="s">
        <v>110</v>
      </c>
      <c r="P185" s="1" t="s">
        <v>28</v>
      </c>
      <c r="Q185" s="4">
        <v>0.8618055555555556</v>
      </c>
      <c r="R185" s="1" t="s">
        <v>262</v>
      </c>
      <c r="S185" s="1">
        <f t="shared" si="1"/>
        <v>112</v>
      </c>
      <c r="T185" s="1">
        <f t="shared" si="2"/>
        <v>99</v>
      </c>
      <c r="U185" s="5">
        <f t="shared" si="3"/>
        <v>112</v>
      </c>
      <c r="V185" s="5" t="s">
        <v>90</v>
      </c>
    </row>
    <row r="186">
      <c r="A186" s="1" t="s">
        <v>474</v>
      </c>
      <c r="B186" s="1" t="s">
        <v>482</v>
      </c>
      <c r="C186" s="2">
        <v>4.0</v>
      </c>
      <c r="D186" s="1" t="s">
        <v>41</v>
      </c>
      <c r="E186" s="1" t="s">
        <v>42</v>
      </c>
      <c r="F186" s="3"/>
      <c r="G186" s="1" t="s">
        <v>30</v>
      </c>
      <c r="H186" s="4">
        <v>0.09305555555555556</v>
      </c>
      <c r="I186" s="1" t="s">
        <v>286</v>
      </c>
      <c r="J186" s="1" t="s">
        <v>28</v>
      </c>
      <c r="K186" s="4">
        <v>0.3486111111111111</v>
      </c>
      <c r="L186" s="1" t="s">
        <v>46</v>
      </c>
      <c r="M186" s="1" t="s">
        <v>30</v>
      </c>
      <c r="N186" s="4">
        <v>0.6270833333333333</v>
      </c>
      <c r="O186" s="1" t="s">
        <v>146</v>
      </c>
      <c r="P186" s="1" t="s">
        <v>28</v>
      </c>
      <c r="Q186" s="4">
        <v>0.8854166666666666</v>
      </c>
      <c r="R186" s="1" t="s">
        <v>131</v>
      </c>
      <c r="S186" s="1">
        <f t="shared" si="1"/>
        <v>107</v>
      </c>
      <c r="T186" s="1">
        <f t="shared" si="2"/>
        <v>96</v>
      </c>
      <c r="U186" s="5">
        <f t="shared" si="3"/>
        <v>107</v>
      </c>
      <c r="V186" s="5" t="s">
        <v>90</v>
      </c>
    </row>
    <row r="187">
      <c r="A187" s="1" t="s">
        <v>474</v>
      </c>
      <c r="B187" s="1" t="s">
        <v>482</v>
      </c>
      <c r="C187" s="2">
        <v>5.0</v>
      </c>
      <c r="D187" s="1" t="s">
        <v>55</v>
      </c>
      <c r="E187" s="1" t="s">
        <v>42</v>
      </c>
      <c r="F187" s="3"/>
      <c r="G187" s="1" t="s">
        <v>30</v>
      </c>
      <c r="H187" s="4">
        <v>0.12222222222222222</v>
      </c>
      <c r="I187" s="1" t="s">
        <v>328</v>
      </c>
      <c r="J187" s="1" t="s">
        <v>28</v>
      </c>
      <c r="K187" s="4">
        <v>0.3763888888888889</v>
      </c>
      <c r="L187" s="1" t="s">
        <v>385</v>
      </c>
      <c r="M187" s="1" t="s">
        <v>30</v>
      </c>
      <c r="N187" s="4">
        <v>0.6513888888888889</v>
      </c>
      <c r="O187" s="1" t="s">
        <v>134</v>
      </c>
      <c r="P187" s="1" t="s">
        <v>28</v>
      </c>
      <c r="Q187" s="4">
        <v>0.9111111111111111</v>
      </c>
      <c r="R187" s="1" t="s">
        <v>292</v>
      </c>
      <c r="S187" s="1">
        <f t="shared" si="1"/>
        <v>100</v>
      </c>
      <c r="T187" s="1">
        <f t="shared" si="2"/>
        <v>91</v>
      </c>
      <c r="U187" s="5">
        <f t="shared" si="3"/>
        <v>100</v>
      </c>
      <c r="V187" s="5" t="s">
        <v>90</v>
      </c>
    </row>
    <row r="188">
      <c r="A188" s="1" t="s">
        <v>474</v>
      </c>
      <c r="B188" s="1" t="s">
        <v>482</v>
      </c>
      <c r="C188" s="2">
        <v>6.0</v>
      </c>
      <c r="D188" s="1" t="s">
        <v>25</v>
      </c>
      <c r="E188" s="6"/>
      <c r="F188" s="3"/>
      <c r="G188" s="1" t="s">
        <v>30</v>
      </c>
      <c r="H188" s="4">
        <v>0.15555555555555556</v>
      </c>
      <c r="I188" s="1" t="s">
        <v>295</v>
      </c>
      <c r="J188" s="1" t="s">
        <v>28</v>
      </c>
      <c r="K188" s="4">
        <v>0.40694444444444444</v>
      </c>
      <c r="L188" s="1" t="s">
        <v>434</v>
      </c>
      <c r="M188" s="1" t="s">
        <v>30</v>
      </c>
      <c r="N188" s="4">
        <v>0.6784722222222223</v>
      </c>
      <c r="O188" s="1" t="s">
        <v>224</v>
      </c>
      <c r="P188" s="1" t="s">
        <v>28</v>
      </c>
      <c r="Q188" s="4">
        <v>0.9409722222222222</v>
      </c>
      <c r="R188" s="1" t="s">
        <v>472</v>
      </c>
      <c r="S188" s="1">
        <f t="shared" si="1"/>
        <v>90</v>
      </c>
      <c r="T188" s="1">
        <f t="shared" si="2"/>
        <v>86</v>
      </c>
      <c r="U188" s="5">
        <f t="shared" si="3"/>
        <v>90</v>
      </c>
      <c r="V188" s="5" t="s">
        <v>39</v>
      </c>
    </row>
    <row r="189">
      <c r="A189" s="1" t="s">
        <v>474</v>
      </c>
      <c r="B189" s="1" t="s">
        <v>482</v>
      </c>
      <c r="C189" s="2">
        <v>7.0</v>
      </c>
      <c r="D189" s="1" t="s">
        <v>75</v>
      </c>
      <c r="E189" s="6"/>
      <c r="F189" s="7" t="s">
        <v>107</v>
      </c>
      <c r="G189" s="1" t="s">
        <v>30</v>
      </c>
      <c r="H189" s="4">
        <v>0.19444444444444445</v>
      </c>
      <c r="I189" s="1" t="s">
        <v>389</v>
      </c>
      <c r="J189" s="1" t="s">
        <v>28</v>
      </c>
      <c r="K189" s="4">
        <v>0.44375</v>
      </c>
      <c r="L189" s="1" t="s">
        <v>135</v>
      </c>
      <c r="M189" s="1" t="s">
        <v>30</v>
      </c>
      <c r="N189" s="4">
        <v>0.7083333333333334</v>
      </c>
      <c r="O189" s="1" t="s">
        <v>286</v>
      </c>
      <c r="P189" s="1" t="s">
        <v>28</v>
      </c>
      <c r="Q189" s="4">
        <v>0.9743055555555555</v>
      </c>
      <c r="R189" s="1" t="s">
        <v>335</v>
      </c>
      <c r="S189" s="1">
        <f t="shared" si="1"/>
        <v>79</v>
      </c>
      <c r="T189" s="1">
        <f t="shared" si="2"/>
        <v>81</v>
      </c>
      <c r="U189" s="5">
        <f t="shared" si="3"/>
        <v>81</v>
      </c>
      <c r="V189" s="5" t="s">
        <v>39</v>
      </c>
    </row>
    <row r="190">
      <c r="A190" s="1" t="s">
        <v>474</v>
      </c>
      <c r="B190" s="1" t="s">
        <v>482</v>
      </c>
      <c r="C190" s="2">
        <v>8.0</v>
      </c>
      <c r="D190" s="1" t="s">
        <v>86</v>
      </c>
      <c r="E190" s="6"/>
      <c r="F190" s="3"/>
      <c r="G190" s="1" t="s">
        <v>30</v>
      </c>
      <c r="H190" s="4">
        <v>0.24097222222222223</v>
      </c>
      <c r="I190" s="1" t="s">
        <v>295</v>
      </c>
      <c r="J190" s="1" t="s">
        <v>28</v>
      </c>
      <c r="K190" s="4">
        <v>0.48819444444444443</v>
      </c>
      <c r="L190" s="1" t="s">
        <v>262</v>
      </c>
      <c r="M190" s="1" t="s">
        <v>30</v>
      </c>
      <c r="N190" s="4">
        <v>0.74375</v>
      </c>
      <c r="O190" s="1" t="s">
        <v>236</v>
      </c>
      <c r="S190" s="1">
        <f t="shared" si="1"/>
        <v>70</v>
      </c>
      <c r="T190" s="1">
        <f t="shared" si="2"/>
        <v>27</v>
      </c>
      <c r="U190" s="5">
        <f t="shared" si="3"/>
        <v>70</v>
      </c>
      <c r="V190" s="5" t="s">
        <v>39</v>
      </c>
    </row>
    <row r="191">
      <c r="A191" s="1" t="s">
        <v>474</v>
      </c>
      <c r="B191" s="1" t="s">
        <v>482</v>
      </c>
      <c r="C191" s="2">
        <v>9.0</v>
      </c>
      <c r="D191" s="1" t="s">
        <v>26</v>
      </c>
      <c r="E191" s="6"/>
      <c r="F191" s="3"/>
      <c r="G191" s="1" t="s">
        <v>28</v>
      </c>
      <c r="H191" s="4">
        <v>0.013194444444444444</v>
      </c>
      <c r="I191" s="1" t="s">
        <v>89</v>
      </c>
      <c r="J191" s="1" t="s">
        <v>30</v>
      </c>
      <c r="K191" s="4">
        <v>0.29444444444444445</v>
      </c>
      <c r="L191" s="1" t="s">
        <v>191</v>
      </c>
      <c r="M191" s="1" t="s">
        <v>28</v>
      </c>
      <c r="N191" s="4">
        <v>0.5444444444444444</v>
      </c>
      <c r="O191" s="1" t="s">
        <v>190</v>
      </c>
      <c r="P191" s="1" t="s">
        <v>30</v>
      </c>
      <c r="Q191" s="4">
        <v>0.7861111111111111</v>
      </c>
      <c r="R191" s="1" t="s">
        <v>355</v>
      </c>
      <c r="S191" s="1">
        <f t="shared" si="1"/>
        <v>85</v>
      </c>
      <c r="T191" s="1">
        <f t="shared" si="2"/>
        <v>51</v>
      </c>
      <c r="U191" s="5">
        <f t="shared" si="3"/>
        <v>85</v>
      </c>
      <c r="V191" s="5" t="s">
        <v>39</v>
      </c>
    </row>
    <row r="192">
      <c r="A192" s="1" t="s">
        <v>474</v>
      </c>
      <c r="B192" s="1" t="s">
        <v>482</v>
      </c>
      <c r="C192" s="2">
        <v>10.0</v>
      </c>
      <c r="D192" s="1" t="s">
        <v>34</v>
      </c>
      <c r="E192" s="6"/>
      <c r="F192" s="3"/>
      <c r="G192" s="1" t="s">
        <v>28</v>
      </c>
      <c r="H192" s="4">
        <v>0.05763888888888889</v>
      </c>
      <c r="I192" s="1" t="s">
        <v>147</v>
      </c>
      <c r="J192" s="1" t="s">
        <v>30</v>
      </c>
      <c r="K192" s="4">
        <v>0.35138888888888886</v>
      </c>
      <c r="L192" s="1" t="s">
        <v>117</v>
      </c>
      <c r="M192" s="1" t="s">
        <v>28</v>
      </c>
      <c r="N192" s="4">
        <v>0.6104166666666667</v>
      </c>
      <c r="O192" s="1" t="s">
        <v>189</v>
      </c>
      <c r="P192" s="1" t="s">
        <v>30</v>
      </c>
      <c r="Q192" s="4">
        <v>0.8340277777777778</v>
      </c>
      <c r="R192" s="1" t="s">
        <v>483</v>
      </c>
      <c r="S192" s="1">
        <f t="shared" si="1"/>
        <v>99</v>
      </c>
      <c r="T192" s="1">
        <f t="shared" si="2"/>
        <v>44</v>
      </c>
      <c r="U192" s="5">
        <f t="shared" si="3"/>
        <v>99</v>
      </c>
      <c r="V192" s="5" t="s">
        <v>90</v>
      </c>
    </row>
    <row r="193">
      <c r="A193" s="1" t="s">
        <v>474</v>
      </c>
      <c r="B193" s="1" t="s">
        <v>482</v>
      </c>
      <c r="C193" s="2">
        <v>11.0</v>
      </c>
      <c r="D193" s="1" t="s">
        <v>41</v>
      </c>
      <c r="E193" s="1" t="s">
        <v>42</v>
      </c>
      <c r="F193" s="3"/>
      <c r="G193" s="1" t="s">
        <v>28</v>
      </c>
      <c r="H193" s="4">
        <v>0.10486111111111111</v>
      </c>
      <c r="I193" s="1" t="s">
        <v>167</v>
      </c>
      <c r="J193" s="1" t="s">
        <v>30</v>
      </c>
      <c r="K193" s="4">
        <v>0.4027777777777778</v>
      </c>
      <c r="L193" s="1" t="s">
        <v>146</v>
      </c>
      <c r="M193" s="1" t="s">
        <v>28</v>
      </c>
      <c r="N193" s="4">
        <v>0.6680555555555555</v>
      </c>
      <c r="O193" s="1" t="s">
        <v>214</v>
      </c>
      <c r="P193" s="1" t="s">
        <v>30</v>
      </c>
      <c r="Q193" s="4">
        <v>0.8826388888888889</v>
      </c>
      <c r="R193" s="1" t="s">
        <v>483</v>
      </c>
      <c r="S193" s="1">
        <f t="shared" si="1"/>
        <v>119</v>
      </c>
      <c r="T193" s="1">
        <f t="shared" si="2"/>
        <v>46</v>
      </c>
      <c r="U193" s="5">
        <f t="shared" si="3"/>
        <v>119</v>
      </c>
      <c r="V193" s="5" t="s">
        <v>90</v>
      </c>
    </row>
    <row r="194">
      <c r="A194" s="1" t="s">
        <v>474</v>
      </c>
      <c r="B194" s="1" t="s">
        <v>482</v>
      </c>
      <c r="C194" s="2">
        <v>12.0</v>
      </c>
      <c r="D194" s="1" t="s">
        <v>55</v>
      </c>
      <c r="E194" s="1" t="s">
        <v>42</v>
      </c>
      <c r="F194" s="3"/>
      <c r="G194" s="1" t="s">
        <v>28</v>
      </c>
      <c r="H194" s="4">
        <v>0.15069444444444444</v>
      </c>
      <c r="I194" s="1" t="s">
        <v>59</v>
      </c>
      <c r="J194" s="1" t="s">
        <v>30</v>
      </c>
      <c r="K194" s="4">
        <v>0.44722222222222224</v>
      </c>
      <c r="L194" s="1" t="s">
        <v>124</v>
      </c>
      <c r="M194" s="1" t="s">
        <v>28</v>
      </c>
      <c r="N194" s="4">
        <v>0.7118055555555556</v>
      </c>
      <c r="O194" s="1" t="s">
        <v>402</v>
      </c>
      <c r="P194" s="1" t="s">
        <v>30</v>
      </c>
      <c r="Q194" s="4">
        <v>0.9263888888888889</v>
      </c>
      <c r="R194" s="1" t="s">
        <v>291</v>
      </c>
      <c r="S194" s="1">
        <f t="shared" si="1"/>
        <v>143</v>
      </c>
      <c r="T194" s="1">
        <f t="shared" si="2"/>
        <v>57</v>
      </c>
      <c r="U194" s="5">
        <f t="shared" si="3"/>
        <v>143</v>
      </c>
      <c r="V194" s="5" t="s">
        <v>47</v>
      </c>
    </row>
    <row r="195">
      <c r="A195" s="1" t="s">
        <v>474</v>
      </c>
      <c r="B195" s="1" t="s">
        <v>482</v>
      </c>
      <c r="C195" s="2">
        <v>13.0</v>
      </c>
      <c r="D195" s="1" t="s">
        <v>25</v>
      </c>
      <c r="E195" s="6"/>
      <c r="F195" s="7" t="s">
        <v>143</v>
      </c>
      <c r="G195" s="1" t="s">
        <v>28</v>
      </c>
      <c r="H195" s="4">
        <v>0.19305555555555556</v>
      </c>
      <c r="I195" s="1" t="s">
        <v>484</v>
      </c>
      <c r="J195" s="1" t="s">
        <v>30</v>
      </c>
      <c r="K195" s="4">
        <v>0.48680555555555555</v>
      </c>
      <c r="L195" s="1" t="s">
        <v>302</v>
      </c>
      <c r="M195" s="1" t="s">
        <v>28</v>
      </c>
      <c r="N195" s="4">
        <v>0.7479166666666667</v>
      </c>
      <c r="O195" s="1" t="s">
        <v>292</v>
      </c>
      <c r="P195" s="1" t="s">
        <v>30</v>
      </c>
      <c r="Q195" s="4">
        <v>0.9659722222222222</v>
      </c>
      <c r="R195" s="1" t="s">
        <v>327</v>
      </c>
      <c r="S195" s="1">
        <f t="shared" si="1"/>
        <v>165</v>
      </c>
      <c r="T195" s="1">
        <f t="shared" si="2"/>
        <v>69</v>
      </c>
      <c r="U195" s="5">
        <f t="shared" si="3"/>
        <v>165</v>
      </c>
      <c r="V195" s="5" t="s">
        <v>47</v>
      </c>
    </row>
    <row r="196">
      <c r="A196" s="1" t="s">
        <v>485</v>
      </c>
      <c r="B196" s="1" t="s">
        <v>482</v>
      </c>
      <c r="C196" s="2">
        <v>14.0</v>
      </c>
      <c r="D196" s="1" t="s">
        <v>75</v>
      </c>
      <c r="E196" s="6"/>
      <c r="F196" s="3"/>
      <c r="G196" s="1" t="s">
        <v>28</v>
      </c>
      <c r="H196" s="4">
        <v>0.23055555555555557</v>
      </c>
      <c r="I196" s="1" t="s">
        <v>476</v>
      </c>
      <c r="J196" s="1" t="s">
        <v>30</v>
      </c>
      <c r="K196" s="4">
        <v>0.5215277777777778</v>
      </c>
      <c r="L196" s="1" t="s">
        <v>300</v>
      </c>
      <c r="M196" s="1" t="s">
        <v>28</v>
      </c>
      <c r="N196" s="4">
        <v>0.7798611111111111</v>
      </c>
      <c r="O196" s="1" t="s">
        <v>335</v>
      </c>
      <c r="S196" s="1">
        <f t="shared" si="1"/>
        <v>182</v>
      </c>
      <c r="T196" s="1">
        <f t="shared" si="2"/>
        <v>46</v>
      </c>
      <c r="U196" s="5">
        <f t="shared" si="3"/>
        <v>182</v>
      </c>
      <c r="V196" s="5" t="s">
        <v>47</v>
      </c>
    </row>
    <row r="197">
      <c r="A197" s="1" t="s">
        <v>485</v>
      </c>
      <c r="B197" s="1" t="s">
        <v>482</v>
      </c>
      <c r="C197" s="2">
        <v>15.0</v>
      </c>
      <c r="D197" s="1" t="s">
        <v>86</v>
      </c>
      <c r="E197" s="6"/>
      <c r="F197" s="3"/>
      <c r="G197" s="1" t="s">
        <v>30</v>
      </c>
      <c r="H197" s="4">
        <v>0.0020833333333333333</v>
      </c>
      <c r="I197" s="1" t="s">
        <v>286</v>
      </c>
      <c r="J197" s="1" t="s">
        <v>28</v>
      </c>
      <c r="K197" s="4">
        <v>0.2652777777777778</v>
      </c>
      <c r="L197" s="1" t="s">
        <v>486</v>
      </c>
      <c r="M197" s="1" t="s">
        <v>30</v>
      </c>
      <c r="N197" s="4">
        <v>0.5541666666666667</v>
      </c>
      <c r="O197" s="1" t="s">
        <v>300</v>
      </c>
      <c r="P197" s="1" t="s">
        <v>28</v>
      </c>
      <c r="Q197" s="4">
        <v>0.8090277777777778</v>
      </c>
      <c r="R197" s="1" t="s">
        <v>307</v>
      </c>
      <c r="S197" s="1">
        <f t="shared" si="1"/>
        <v>138</v>
      </c>
      <c r="T197" s="1">
        <f t="shared" si="2"/>
        <v>136</v>
      </c>
      <c r="U197" s="5">
        <f t="shared" si="3"/>
        <v>138</v>
      </c>
      <c r="V197" s="5" t="s">
        <v>47</v>
      </c>
    </row>
    <row r="198">
      <c r="A198" s="1" t="s">
        <v>485</v>
      </c>
      <c r="B198" s="1" t="s">
        <v>482</v>
      </c>
      <c r="C198" s="2">
        <v>16.0</v>
      </c>
      <c r="D198" s="1" t="s">
        <v>26</v>
      </c>
      <c r="E198" s="6"/>
      <c r="F198" s="3"/>
      <c r="G198" s="1" t="s">
        <v>30</v>
      </c>
      <c r="H198" s="4">
        <v>0.03611111111111111</v>
      </c>
      <c r="I198" s="1" t="s">
        <v>127</v>
      </c>
      <c r="J198" s="1" t="s">
        <v>28</v>
      </c>
      <c r="K198" s="4">
        <v>0.29791666666666666</v>
      </c>
      <c r="L198" s="1" t="s">
        <v>486</v>
      </c>
      <c r="M198" s="1" t="s">
        <v>30</v>
      </c>
      <c r="N198" s="4">
        <v>0.5840277777777778</v>
      </c>
      <c r="O198" s="1" t="s">
        <v>302</v>
      </c>
      <c r="P198" s="1" t="s">
        <v>28</v>
      </c>
      <c r="Q198" s="4">
        <v>0.8361111111111111</v>
      </c>
      <c r="R198" s="1" t="s">
        <v>267</v>
      </c>
      <c r="S198" s="1">
        <f t="shared" si="1"/>
        <v>143</v>
      </c>
      <c r="T198" s="1">
        <f t="shared" si="2"/>
        <v>132</v>
      </c>
      <c r="U198" s="5">
        <f t="shared" si="3"/>
        <v>143</v>
      </c>
      <c r="V198" s="5" t="s">
        <v>47</v>
      </c>
    </row>
    <row r="199">
      <c r="A199" s="1" t="s">
        <v>485</v>
      </c>
      <c r="B199" s="1" t="s">
        <v>482</v>
      </c>
      <c r="C199" s="2">
        <v>17.0</v>
      </c>
      <c r="D199" s="1" t="s">
        <v>34</v>
      </c>
      <c r="E199" s="6"/>
      <c r="F199" s="3"/>
      <c r="G199" s="1" t="s">
        <v>30</v>
      </c>
      <c r="H199" s="4">
        <v>0.06944444444444445</v>
      </c>
      <c r="I199" s="1" t="s">
        <v>224</v>
      </c>
      <c r="J199" s="1" t="s">
        <v>28</v>
      </c>
      <c r="K199" s="4">
        <v>0.32916666666666666</v>
      </c>
      <c r="L199" s="1" t="s">
        <v>477</v>
      </c>
      <c r="M199" s="1" t="s">
        <v>30</v>
      </c>
      <c r="N199" s="4">
        <v>0.6111111111111112</v>
      </c>
      <c r="O199" s="1" t="s">
        <v>124</v>
      </c>
      <c r="P199" s="1" t="s">
        <v>28</v>
      </c>
      <c r="Q199" s="4">
        <v>0.8625</v>
      </c>
      <c r="R199" s="1" t="s">
        <v>147</v>
      </c>
      <c r="S199" s="1">
        <f t="shared" si="1"/>
        <v>139</v>
      </c>
      <c r="T199" s="1">
        <f t="shared" si="2"/>
        <v>124</v>
      </c>
      <c r="U199" s="5">
        <f t="shared" si="3"/>
        <v>139</v>
      </c>
      <c r="V199" s="5" t="s">
        <v>47</v>
      </c>
    </row>
    <row r="200">
      <c r="A200" s="1" t="s">
        <v>485</v>
      </c>
      <c r="B200" s="1" t="s">
        <v>482</v>
      </c>
      <c r="C200" s="2">
        <v>18.0</v>
      </c>
      <c r="D200" s="1" t="s">
        <v>41</v>
      </c>
      <c r="E200" s="1" t="s">
        <v>42</v>
      </c>
      <c r="F200" s="3"/>
      <c r="G200" s="1" t="s">
        <v>30</v>
      </c>
      <c r="H200" s="4">
        <v>0.10277777777777777</v>
      </c>
      <c r="I200" s="1" t="s">
        <v>224</v>
      </c>
      <c r="J200" s="1" t="s">
        <v>28</v>
      </c>
      <c r="K200" s="4">
        <v>0.3597222222222222</v>
      </c>
      <c r="L200" s="1" t="s">
        <v>473</v>
      </c>
      <c r="M200" s="1" t="s">
        <v>30</v>
      </c>
      <c r="N200" s="4">
        <v>0.6368055555555555</v>
      </c>
      <c r="O200" s="1" t="s">
        <v>277</v>
      </c>
      <c r="P200" s="1" t="s">
        <v>28</v>
      </c>
      <c r="Q200" s="4">
        <v>0.8881944444444444</v>
      </c>
      <c r="R200" s="1" t="s">
        <v>147</v>
      </c>
      <c r="S200" s="1">
        <f t="shared" si="1"/>
        <v>127</v>
      </c>
      <c r="T200" s="1">
        <f t="shared" si="2"/>
        <v>112</v>
      </c>
      <c r="U200" s="5">
        <f t="shared" si="3"/>
        <v>127</v>
      </c>
      <c r="V200" s="5" t="s">
        <v>47</v>
      </c>
    </row>
    <row r="201">
      <c r="A201" s="1" t="s">
        <v>485</v>
      </c>
      <c r="B201" s="1" t="s">
        <v>482</v>
      </c>
      <c r="C201" s="2">
        <v>19.0</v>
      </c>
      <c r="D201" s="1" t="s">
        <v>55</v>
      </c>
      <c r="E201" s="1" t="s">
        <v>42</v>
      </c>
      <c r="F201" s="3"/>
      <c r="G201" s="1" t="s">
        <v>30</v>
      </c>
      <c r="H201" s="4">
        <v>0.13541666666666666</v>
      </c>
      <c r="I201" s="1" t="s">
        <v>120</v>
      </c>
      <c r="J201" s="1" t="s">
        <v>28</v>
      </c>
      <c r="K201" s="4">
        <v>0.3902777777777778</v>
      </c>
      <c r="L201" s="1" t="s">
        <v>338</v>
      </c>
      <c r="M201" s="1" t="s">
        <v>30</v>
      </c>
      <c r="N201" s="4">
        <v>0.6597222222222222</v>
      </c>
      <c r="O201" s="1" t="s">
        <v>117</v>
      </c>
      <c r="P201" s="1" t="s">
        <v>28</v>
      </c>
      <c r="Q201" s="4">
        <v>0.9138888888888889</v>
      </c>
      <c r="R201" s="1" t="s">
        <v>267</v>
      </c>
      <c r="S201" s="1">
        <f t="shared" si="1"/>
        <v>108</v>
      </c>
      <c r="T201" s="1">
        <f t="shared" si="2"/>
        <v>97</v>
      </c>
      <c r="U201" s="5">
        <f t="shared" si="3"/>
        <v>108</v>
      </c>
      <c r="V201" s="5" t="s">
        <v>90</v>
      </c>
    </row>
    <row r="202">
      <c r="A202" s="1" t="s">
        <v>485</v>
      </c>
      <c r="B202" s="1" t="s">
        <v>482</v>
      </c>
      <c r="C202" s="2">
        <v>20.0</v>
      </c>
      <c r="D202" s="1" t="s">
        <v>25</v>
      </c>
      <c r="E202" s="6"/>
      <c r="F202" s="7" t="s">
        <v>184</v>
      </c>
      <c r="G202" s="1" t="s">
        <v>30</v>
      </c>
      <c r="H202" s="4">
        <v>0.1701388888888889</v>
      </c>
      <c r="I202" s="1" t="s">
        <v>250</v>
      </c>
      <c r="J202" s="1" t="s">
        <v>28</v>
      </c>
      <c r="K202" s="4">
        <v>0.4222222222222222</v>
      </c>
      <c r="L202" s="1" t="s">
        <v>307</v>
      </c>
      <c r="M202" s="1" t="s">
        <v>30</v>
      </c>
      <c r="N202" s="4">
        <v>0.6833333333333333</v>
      </c>
      <c r="O202" s="1" t="s">
        <v>295</v>
      </c>
      <c r="P202" s="1" t="s">
        <v>28</v>
      </c>
      <c r="Q202" s="4">
        <v>0.9416666666666667</v>
      </c>
      <c r="R202" s="1" t="s">
        <v>307</v>
      </c>
      <c r="S202" s="1">
        <f t="shared" si="1"/>
        <v>84</v>
      </c>
      <c r="T202" s="1">
        <f t="shared" si="2"/>
        <v>83</v>
      </c>
      <c r="U202" s="5">
        <f t="shared" si="3"/>
        <v>84</v>
      </c>
      <c r="V202" s="5" t="s">
        <v>39</v>
      </c>
    </row>
    <row r="203">
      <c r="A203" s="1" t="s">
        <v>485</v>
      </c>
      <c r="B203" s="1" t="s">
        <v>482</v>
      </c>
      <c r="C203" s="2">
        <v>21.0</v>
      </c>
      <c r="D203" s="1" t="s">
        <v>75</v>
      </c>
      <c r="E203" s="6"/>
      <c r="F203" s="3"/>
      <c r="G203" s="1" t="s">
        <v>30</v>
      </c>
      <c r="H203" s="4">
        <v>0.20972222222222223</v>
      </c>
      <c r="I203" s="1" t="s">
        <v>236</v>
      </c>
      <c r="J203" s="1" t="s">
        <v>28</v>
      </c>
      <c r="K203" s="4">
        <v>0.4583333333333333</v>
      </c>
      <c r="L203" s="1" t="s">
        <v>402</v>
      </c>
      <c r="M203" s="1" t="s">
        <v>30</v>
      </c>
      <c r="N203" s="4">
        <v>0.7083333333333334</v>
      </c>
      <c r="O203" s="1" t="s">
        <v>355</v>
      </c>
      <c r="P203" s="1" t="s">
        <v>28</v>
      </c>
      <c r="Q203" s="4">
        <v>0.9743055555555555</v>
      </c>
      <c r="R203" s="1" t="s">
        <v>135</v>
      </c>
      <c r="S203" s="1">
        <f t="shared" si="1"/>
        <v>62</v>
      </c>
      <c r="T203" s="1">
        <f t="shared" si="2"/>
        <v>69</v>
      </c>
      <c r="U203" s="5">
        <f t="shared" si="3"/>
        <v>69</v>
      </c>
      <c r="V203" s="5" t="s">
        <v>39</v>
      </c>
    </row>
    <row r="204">
      <c r="A204" s="1" t="s">
        <v>485</v>
      </c>
      <c r="B204" s="1" t="s">
        <v>482</v>
      </c>
      <c r="C204" s="2">
        <v>22.0</v>
      </c>
      <c r="D204" s="1" t="s">
        <v>86</v>
      </c>
      <c r="E204" s="6"/>
      <c r="F204" s="3"/>
      <c r="G204" s="1" t="s">
        <v>30</v>
      </c>
      <c r="H204" s="4">
        <v>0.2590277777777778</v>
      </c>
      <c r="I204" s="1" t="s">
        <v>291</v>
      </c>
      <c r="J204" s="1" t="s">
        <v>28</v>
      </c>
      <c r="K204" s="4">
        <v>0.5076388888888889</v>
      </c>
      <c r="L204" s="1" t="s">
        <v>173</v>
      </c>
      <c r="M204" s="1" t="s">
        <v>30</v>
      </c>
      <c r="N204" s="4">
        <v>0.7409722222222223</v>
      </c>
      <c r="O204" s="1" t="s">
        <v>329</v>
      </c>
      <c r="S204" s="1">
        <f t="shared" si="1"/>
        <v>43</v>
      </c>
      <c r="T204" s="1">
        <f t="shared" si="2"/>
        <v>12</v>
      </c>
      <c r="U204" s="5">
        <f t="shared" si="3"/>
        <v>43</v>
      </c>
      <c r="V204" s="5" t="s">
        <v>39</v>
      </c>
    </row>
    <row r="205">
      <c r="A205" s="1" t="s">
        <v>485</v>
      </c>
      <c r="B205" s="1" t="s">
        <v>482</v>
      </c>
      <c r="C205" s="2">
        <v>23.0</v>
      </c>
      <c r="D205" s="1" t="s">
        <v>26</v>
      </c>
      <c r="E205" s="6"/>
      <c r="F205" s="3"/>
      <c r="G205" s="1" t="s">
        <v>28</v>
      </c>
      <c r="H205" s="4">
        <v>0.015277777777777777</v>
      </c>
      <c r="I205" s="1" t="s">
        <v>179</v>
      </c>
      <c r="J205" s="1" t="s">
        <v>30</v>
      </c>
      <c r="K205" s="4">
        <v>0.3236111111111111</v>
      </c>
      <c r="L205" s="1" t="s">
        <v>291</v>
      </c>
      <c r="M205" s="1" t="s">
        <v>28</v>
      </c>
      <c r="N205" s="4">
        <v>0.5798611111111112</v>
      </c>
      <c r="O205" s="1" t="s">
        <v>111</v>
      </c>
      <c r="P205" s="1" t="s">
        <v>30</v>
      </c>
      <c r="Q205" s="4">
        <v>0.7861111111111111</v>
      </c>
      <c r="R205" s="1" t="s">
        <v>247</v>
      </c>
      <c r="S205" s="1">
        <f t="shared" si="1"/>
        <v>67</v>
      </c>
      <c r="T205" s="1">
        <f t="shared" si="2"/>
        <v>19</v>
      </c>
      <c r="U205" s="5">
        <f t="shared" si="3"/>
        <v>67</v>
      </c>
      <c r="V205" s="5" t="s">
        <v>39</v>
      </c>
    </row>
    <row r="206">
      <c r="A206" s="1" t="s">
        <v>485</v>
      </c>
      <c r="B206" s="1" t="s">
        <v>482</v>
      </c>
      <c r="C206" s="2">
        <v>24.0</v>
      </c>
      <c r="D206" s="1" t="s">
        <v>34</v>
      </c>
      <c r="E206" s="6"/>
      <c r="F206" s="3"/>
      <c r="G206" s="1" t="s">
        <v>28</v>
      </c>
      <c r="H206" s="4">
        <v>0.06527777777777778</v>
      </c>
      <c r="I206" s="1" t="s">
        <v>179</v>
      </c>
      <c r="J206" s="1" t="s">
        <v>30</v>
      </c>
      <c r="K206" s="4">
        <v>0.38472222222222224</v>
      </c>
      <c r="L206" s="1" t="s">
        <v>327</v>
      </c>
      <c r="M206" s="1" t="s">
        <v>28</v>
      </c>
      <c r="N206" s="4">
        <v>0.6486111111111111</v>
      </c>
      <c r="O206" s="1" t="s">
        <v>77</v>
      </c>
      <c r="P206" s="1" t="s">
        <v>30</v>
      </c>
      <c r="Q206" s="4">
        <v>0.8395833333333333</v>
      </c>
      <c r="R206" s="1" t="s">
        <v>278</v>
      </c>
      <c r="S206" s="1">
        <f t="shared" si="1"/>
        <v>73</v>
      </c>
      <c r="T206" s="1">
        <f t="shared" si="2"/>
        <v>20</v>
      </c>
      <c r="U206" s="5">
        <f t="shared" si="3"/>
        <v>73</v>
      </c>
      <c r="V206" s="5" t="s">
        <v>39</v>
      </c>
    </row>
    <row r="207">
      <c r="A207" s="1" t="s">
        <v>485</v>
      </c>
      <c r="B207" s="1" t="s">
        <v>482</v>
      </c>
      <c r="C207" s="2">
        <v>25.0</v>
      </c>
      <c r="D207" s="1" t="s">
        <v>41</v>
      </c>
      <c r="E207" s="1" t="s">
        <v>42</v>
      </c>
      <c r="F207" s="3"/>
      <c r="G207" s="1" t="s">
        <v>28</v>
      </c>
      <c r="H207" s="4">
        <v>0.11597222222222223</v>
      </c>
      <c r="I207" s="1" t="s">
        <v>89</v>
      </c>
      <c r="J207" s="1" t="s">
        <v>30</v>
      </c>
      <c r="K207" s="4">
        <v>0.4263888888888889</v>
      </c>
      <c r="L207" s="1" t="s">
        <v>122</v>
      </c>
      <c r="M207" s="1" t="s">
        <v>28</v>
      </c>
      <c r="N207" s="4">
        <v>0.6902777777777778</v>
      </c>
      <c r="O207" s="1" t="s">
        <v>123</v>
      </c>
      <c r="P207" s="1" t="s">
        <v>30</v>
      </c>
      <c r="Q207" s="4">
        <v>0.8888888888888888</v>
      </c>
      <c r="R207" s="1" t="s">
        <v>398</v>
      </c>
      <c r="S207" s="1">
        <f t="shared" si="1"/>
        <v>86</v>
      </c>
      <c r="T207" s="1">
        <f t="shared" si="2"/>
        <v>29</v>
      </c>
      <c r="U207" s="5">
        <f t="shared" si="3"/>
        <v>86</v>
      </c>
      <c r="V207" s="5" t="s">
        <v>39</v>
      </c>
    </row>
    <row r="208">
      <c r="A208" s="1" t="s">
        <v>485</v>
      </c>
      <c r="B208" s="1" t="s">
        <v>482</v>
      </c>
      <c r="C208" s="2">
        <v>26.0</v>
      </c>
      <c r="D208" s="1" t="s">
        <v>55</v>
      </c>
      <c r="E208" s="1" t="s">
        <v>42</v>
      </c>
      <c r="F208" s="3"/>
      <c r="G208" s="1" t="s">
        <v>28</v>
      </c>
      <c r="H208" s="4">
        <v>0.15694444444444444</v>
      </c>
      <c r="I208" s="1" t="s">
        <v>388</v>
      </c>
      <c r="J208" s="1" t="s">
        <v>30</v>
      </c>
      <c r="K208" s="4">
        <v>0.45694444444444443</v>
      </c>
      <c r="L208" s="1" t="s">
        <v>115</v>
      </c>
      <c r="M208" s="1" t="s">
        <v>28</v>
      </c>
      <c r="N208" s="4">
        <v>0.71875</v>
      </c>
      <c r="O208" s="1" t="s">
        <v>214</v>
      </c>
      <c r="P208" s="1" t="s">
        <v>30</v>
      </c>
      <c r="Q208" s="4">
        <v>0.9263888888888889</v>
      </c>
      <c r="R208" s="1" t="s">
        <v>329</v>
      </c>
      <c r="S208" s="1">
        <f t="shared" si="1"/>
        <v>101</v>
      </c>
      <c r="T208" s="1">
        <f t="shared" si="2"/>
        <v>41</v>
      </c>
      <c r="U208" s="5">
        <f t="shared" si="3"/>
        <v>101</v>
      </c>
      <c r="V208" s="5" t="s">
        <v>90</v>
      </c>
    </row>
    <row r="209">
      <c r="A209" s="1" t="s">
        <v>485</v>
      </c>
      <c r="B209" s="1" t="s">
        <v>482</v>
      </c>
      <c r="C209" s="2">
        <v>27.0</v>
      </c>
      <c r="D209" s="1" t="s">
        <v>25</v>
      </c>
      <c r="E209" s="6"/>
      <c r="F209" s="3"/>
      <c r="G209" s="1" t="s">
        <v>28</v>
      </c>
      <c r="H209" s="4">
        <v>0.18958333333333333</v>
      </c>
      <c r="I209" s="1" t="s">
        <v>38</v>
      </c>
      <c r="J209" s="1" t="s">
        <v>30</v>
      </c>
      <c r="K209" s="4">
        <v>0.48194444444444445</v>
      </c>
      <c r="L209" s="1" t="s">
        <v>257</v>
      </c>
      <c r="M209" s="1" t="s">
        <v>28</v>
      </c>
      <c r="N209" s="4">
        <v>0.7416666666666667</v>
      </c>
      <c r="O209" s="1" t="s">
        <v>402</v>
      </c>
      <c r="P209" s="1" t="s">
        <v>30</v>
      </c>
      <c r="Q209" s="4">
        <v>0.95625</v>
      </c>
      <c r="R209" s="1" t="s">
        <v>481</v>
      </c>
      <c r="S209" s="1">
        <f t="shared" si="1"/>
        <v>118</v>
      </c>
      <c r="T209" s="1">
        <f t="shared" si="2"/>
        <v>54</v>
      </c>
      <c r="U209" s="5">
        <f t="shared" si="3"/>
        <v>118</v>
      </c>
      <c r="V209" s="5" t="s">
        <v>90</v>
      </c>
    </row>
    <row r="210">
      <c r="A210" s="1" t="s">
        <v>485</v>
      </c>
      <c r="B210" s="1" t="s">
        <v>482</v>
      </c>
      <c r="C210" s="2">
        <v>28.0</v>
      </c>
      <c r="D210" s="1" t="s">
        <v>75</v>
      </c>
      <c r="E210" s="6"/>
      <c r="F210" s="7" t="s">
        <v>35</v>
      </c>
      <c r="G210" s="1" t="s">
        <v>28</v>
      </c>
      <c r="H210" s="4">
        <v>0.21666666666666667</v>
      </c>
      <c r="I210" s="1" t="s">
        <v>205</v>
      </c>
      <c r="J210" s="1" t="s">
        <v>30</v>
      </c>
      <c r="K210" s="4">
        <v>0.5048611111111111</v>
      </c>
      <c r="L210" s="1" t="s">
        <v>99</v>
      </c>
      <c r="M210" s="1" t="s">
        <v>28</v>
      </c>
      <c r="N210" s="4">
        <v>0.7625</v>
      </c>
      <c r="O210" s="1" t="s">
        <v>292</v>
      </c>
      <c r="P210" s="1" t="s">
        <v>30</v>
      </c>
      <c r="Q210" s="4">
        <v>0.9826388888888888</v>
      </c>
      <c r="R210" s="1" t="s">
        <v>334</v>
      </c>
      <c r="S210" s="1">
        <f t="shared" si="1"/>
        <v>131</v>
      </c>
      <c r="T210" s="1">
        <f t="shared" si="2"/>
        <v>66</v>
      </c>
      <c r="U210" s="5">
        <f t="shared" si="3"/>
        <v>131</v>
      </c>
      <c r="V210" s="5" t="s">
        <v>47</v>
      </c>
    </row>
    <row r="211">
      <c r="A211" s="1" t="s">
        <v>485</v>
      </c>
      <c r="B211" s="1" t="s">
        <v>482</v>
      </c>
      <c r="C211" s="2">
        <v>29.0</v>
      </c>
      <c r="D211" s="1" t="s">
        <v>86</v>
      </c>
      <c r="E211" s="6"/>
      <c r="F211" s="3"/>
      <c r="G211" s="1" t="s">
        <v>28</v>
      </c>
      <c r="H211" s="4">
        <v>0.24166666666666667</v>
      </c>
      <c r="I211" s="1" t="s">
        <v>419</v>
      </c>
      <c r="J211" s="1" t="s">
        <v>30</v>
      </c>
      <c r="K211" s="4">
        <v>0.5256944444444445</v>
      </c>
      <c r="L211" s="1" t="s">
        <v>110</v>
      </c>
      <c r="M211" s="1" t="s">
        <v>28</v>
      </c>
      <c r="N211" s="4">
        <v>0.7819444444444444</v>
      </c>
      <c r="O211" s="1" t="s">
        <v>335</v>
      </c>
      <c r="S211" s="1">
        <f t="shared" si="1"/>
        <v>141</v>
      </c>
      <c r="T211" s="1">
        <f t="shared" si="2"/>
        <v>46</v>
      </c>
      <c r="U211" s="5">
        <f t="shared" si="3"/>
        <v>141</v>
      </c>
      <c r="V211" s="5" t="s">
        <v>47</v>
      </c>
    </row>
    <row r="212">
      <c r="A212" s="1" t="s">
        <v>485</v>
      </c>
      <c r="B212" s="1" t="s">
        <v>482</v>
      </c>
      <c r="C212" s="2">
        <v>30.0</v>
      </c>
      <c r="D212" s="1" t="s">
        <v>26</v>
      </c>
      <c r="E212" s="6"/>
      <c r="F212" s="3"/>
      <c r="G212" s="1" t="s">
        <v>30</v>
      </c>
      <c r="H212" s="4">
        <v>0.007638888888888889</v>
      </c>
      <c r="I212" s="1" t="s">
        <v>295</v>
      </c>
      <c r="J212" s="1" t="s">
        <v>28</v>
      </c>
      <c r="K212" s="4">
        <v>0.2652777777777778</v>
      </c>
      <c r="L212" s="1" t="s">
        <v>414</v>
      </c>
      <c r="M212" s="1" t="s">
        <v>30</v>
      </c>
      <c r="N212" s="4">
        <v>0.5458333333333333</v>
      </c>
      <c r="O212" s="1" t="s">
        <v>58</v>
      </c>
      <c r="P212" s="1" t="s">
        <v>28</v>
      </c>
      <c r="Q212" s="4">
        <v>0.8006944444444445</v>
      </c>
      <c r="R212" s="1" t="s">
        <v>307</v>
      </c>
      <c r="S212" s="1">
        <f t="shared" si="1"/>
        <v>117</v>
      </c>
      <c r="T212" s="1">
        <f t="shared" si="2"/>
        <v>114</v>
      </c>
      <c r="U212" s="5">
        <f t="shared" si="3"/>
        <v>117</v>
      </c>
      <c r="V212" s="5" t="s">
        <v>90</v>
      </c>
    </row>
    <row r="213">
      <c r="A213" s="1" t="s">
        <v>485</v>
      </c>
      <c r="B213" s="1" t="s">
        <v>482</v>
      </c>
      <c r="C213" s="2">
        <v>31.0</v>
      </c>
      <c r="D213" s="1" t="s">
        <v>34</v>
      </c>
      <c r="E213" s="6"/>
      <c r="F213" s="3"/>
      <c r="G213" s="1" t="s">
        <v>30</v>
      </c>
      <c r="H213" s="4">
        <v>0.03263888888888889</v>
      </c>
      <c r="I213" s="1" t="s">
        <v>122</v>
      </c>
      <c r="J213" s="1" t="s">
        <v>28</v>
      </c>
      <c r="K213" s="4">
        <v>0.2881944444444444</v>
      </c>
      <c r="L213" s="1" t="s">
        <v>417</v>
      </c>
      <c r="M213" s="1" t="s">
        <v>30</v>
      </c>
      <c r="N213" s="4">
        <v>0.5659722222222222</v>
      </c>
      <c r="O213" s="1" t="s">
        <v>88</v>
      </c>
      <c r="P213" s="1" t="s">
        <v>28</v>
      </c>
      <c r="Q213" s="4">
        <v>0.8201388888888889</v>
      </c>
      <c r="R213" s="1" t="s">
        <v>147</v>
      </c>
      <c r="S213" s="1">
        <f t="shared" si="1"/>
        <v>124</v>
      </c>
      <c r="T213" s="1">
        <f t="shared" si="2"/>
        <v>117</v>
      </c>
      <c r="U213" s="5">
        <f t="shared" si="3"/>
        <v>124</v>
      </c>
      <c r="V213" s="5" t="s">
        <v>47</v>
      </c>
    </row>
    <row r="214">
      <c r="A214" s="1" t="s">
        <v>485</v>
      </c>
      <c r="B214" s="1" t="s">
        <v>487</v>
      </c>
      <c r="C214" s="2">
        <v>1.0</v>
      </c>
      <c r="D214" s="1" t="s">
        <v>41</v>
      </c>
      <c r="E214" s="1" t="s">
        <v>42</v>
      </c>
      <c r="F214" s="3"/>
      <c r="G214" s="1" t="s">
        <v>30</v>
      </c>
      <c r="H214" s="4">
        <v>0.05763888888888889</v>
      </c>
      <c r="I214" s="1" t="s">
        <v>446</v>
      </c>
      <c r="J214" s="1" t="s">
        <v>28</v>
      </c>
      <c r="K214" s="4">
        <v>0.3111111111111111</v>
      </c>
      <c r="L214" s="1" t="s">
        <v>484</v>
      </c>
      <c r="M214" s="1" t="s">
        <v>30</v>
      </c>
      <c r="N214" s="4">
        <v>0.5854166666666667</v>
      </c>
      <c r="O214" s="1" t="s">
        <v>45</v>
      </c>
      <c r="P214" s="1" t="s">
        <v>28</v>
      </c>
      <c r="Q214" s="4">
        <v>0.8388888888888889</v>
      </c>
      <c r="R214" s="1" t="s">
        <v>337</v>
      </c>
      <c r="S214" s="1">
        <f t="shared" si="1"/>
        <v>127</v>
      </c>
      <c r="T214" s="1">
        <f t="shared" si="2"/>
        <v>118</v>
      </c>
      <c r="U214" s="5">
        <f t="shared" si="3"/>
        <v>127</v>
      </c>
      <c r="V214" s="5" t="s">
        <v>47</v>
      </c>
    </row>
    <row r="215">
      <c r="A215" s="1" t="s">
        <v>485</v>
      </c>
      <c r="B215" s="1" t="s">
        <v>487</v>
      </c>
      <c r="C215" s="2">
        <v>2.0</v>
      </c>
      <c r="D215" s="1" t="s">
        <v>55</v>
      </c>
      <c r="E215" s="1" t="s">
        <v>42</v>
      </c>
      <c r="F215" s="3"/>
      <c r="G215" s="1" t="s">
        <v>30</v>
      </c>
      <c r="H215" s="4">
        <v>0.08333333333333333</v>
      </c>
      <c r="I215" s="1" t="s">
        <v>224</v>
      </c>
      <c r="J215" s="1" t="s">
        <v>28</v>
      </c>
      <c r="K215" s="4">
        <v>0.33541666666666664</v>
      </c>
      <c r="L215" s="1" t="s">
        <v>488</v>
      </c>
      <c r="M215" s="1" t="s">
        <v>30</v>
      </c>
      <c r="N215" s="4">
        <v>0.6048611111111111</v>
      </c>
      <c r="O215" s="1" t="s">
        <v>469</v>
      </c>
      <c r="P215" s="1" t="s">
        <v>28</v>
      </c>
      <c r="Q215" s="4">
        <v>0.8597222222222223</v>
      </c>
      <c r="R215" s="1" t="s">
        <v>158</v>
      </c>
      <c r="S215" s="1">
        <f t="shared" si="1"/>
        <v>125</v>
      </c>
      <c r="T215" s="1">
        <f t="shared" si="2"/>
        <v>115</v>
      </c>
      <c r="U215" s="5">
        <f t="shared" si="3"/>
        <v>125</v>
      </c>
      <c r="V215" s="5" t="s">
        <v>47</v>
      </c>
    </row>
    <row r="216">
      <c r="A216" s="1" t="s">
        <v>485</v>
      </c>
      <c r="B216" s="1" t="s">
        <v>487</v>
      </c>
      <c r="C216" s="2">
        <v>3.0</v>
      </c>
      <c r="D216" s="1" t="s">
        <v>25</v>
      </c>
      <c r="E216" s="6"/>
      <c r="F216" s="3"/>
      <c r="G216" s="1" t="s">
        <v>30</v>
      </c>
      <c r="H216" s="4">
        <v>0.11041666666666666</v>
      </c>
      <c r="I216" s="1" t="s">
        <v>224</v>
      </c>
      <c r="J216" s="1" t="s">
        <v>28</v>
      </c>
      <c r="K216" s="4">
        <v>0.3611111111111111</v>
      </c>
      <c r="L216" s="1" t="s">
        <v>205</v>
      </c>
      <c r="M216" s="1" t="s">
        <v>30</v>
      </c>
      <c r="N216" s="4">
        <v>0.625</v>
      </c>
      <c r="O216" s="1" t="s">
        <v>112</v>
      </c>
      <c r="P216" s="1" t="s">
        <v>28</v>
      </c>
      <c r="Q216" s="4">
        <v>0.8819444444444444</v>
      </c>
      <c r="R216" s="1" t="s">
        <v>78</v>
      </c>
      <c r="S216" s="1">
        <f t="shared" si="1"/>
        <v>116</v>
      </c>
      <c r="T216" s="1">
        <f t="shared" si="2"/>
        <v>109</v>
      </c>
      <c r="U216" s="5">
        <f t="shared" si="3"/>
        <v>116</v>
      </c>
      <c r="V216" s="5" t="s">
        <v>90</v>
      </c>
    </row>
    <row r="217">
      <c r="A217" s="1" t="s">
        <v>485</v>
      </c>
      <c r="B217" s="1" t="s">
        <v>487</v>
      </c>
      <c r="C217" s="2">
        <v>4.0</v>
      </c>
      <c r="D217" s="1" t="s">
        <v>75</v>
      </c>
      <c r="E217" s="6"/>
      <c r="F217" s="3"/>
      <c r="G217" s="1" t="s">
        <v>30</v>
      </c>
      <c r="H217" s="4">
        <v>0.14027777777777778</v>
      </c>
      <c r="I217" s="1" t="s">
        <v>333</v>
      </c>
      <c r="J217" s="1" t="s">
        <v>28</v>
      </c>
      <c r="K217" s="4">
        <v>0.38958333333333334</v>
      </c>
      <c r="L217" s="1" t="s">
        <v>78</v>
      </c>
      <c r="M217" s="1" t="s">
        <v>30</v>
      </c>
      <c r="N217" s="4">
        <v>0.6465277777777778</v>
      </c>
      <c r="O217" s="1" t="s">
        <v>120</v>
      </c>
      <c r="P217" s="1" t="s">
        <v>28</v>
      </c>
      <c r="Q217" s="4">
        <v>0.9076388888888889</v>
      </c>
      <c r="R217" s="1" t="s">
        <v>78</v>
      </c>
      <c r="S217" s="1">
        <f t="shared" si="1"/>
        <v>104</v>
      </c>
      <c r="T217" s="1">
        <f t="shared" si="2"/>
        <v>101</v>
      </c>
      <c r="U217" s="5">
        <f t="shared" si="3"/>
        <v>104</v>
      </c>
      <c r="V217" s="5" t="s">
        <v>90</v>
      </c>
    </row>
    <row r="218">
      <c r="A218" s="1" t="s">
        <v>485</v>
      </c>
      <c r="B218" s="1" t="s">
        <v>487</v>
      </c>
      <c r="C218" s="2">
        <v>5.0</v>
      </c>
      <c r="D218" s="1" t="s">
        <v>86</v>
      </c>
      <c r="E218" s="6"/>
      <c r="F218" s="7" t="s">
        <v>107</v>
      </c>
      <c r="G218" s="1" t="s">
        <v>30</v>
      </c>
      <c r="H218" s="4">
        <v>0.175</v>
      </c>
      <c r="I218" s="1" t="s">
        <v>326</v>
      </c>
      <c r="J218" s="1" t="s">
        <v>28</v>
      </c>
      <c r="K218" s="4">
        <v>0.42291666666666666</v>
      </c>
      <c r="L218" s="1" t="s">
        <v>301</v>
      </c>
      <c r="M218" s="1" t="s">
        <v>30</v>
      </c>
      <c r="N218" s="4">
        <v>0.6715277777777777</v>
      </c>
      <c r="O218" s="1" t="s">
        <v>480</v>
      </c>
      <c r="P218" s="1" t="s">
        <v>28</v>
      </c>
      <c r="Q218" s="4">
        <v>0.9375</v>
      </c>
      <c r="R218" s="1" t="s">
        <v>378</v>
      </c>
      <c r="S218" s="1">
        <f t="shared" si="1"/>
        <v>85</v>
      </c>
      <c r="T218" s="1">
        <f t="shared" si="2"/>
        <v>89</v>
      </c>
      <c r="U218" s="5">
        <f t="shared" si="3"/>
        <v>89</v>
      </c>
      <c r="V218" s="5" t="s">
        <v>39</v>
      </c>
    </row>
    <row r="219">
      <c r="A219" s="1" t="s">
        <v>485</v>
      </c>
      <c r="B219" s="1" t="s">
        <v>487</v>
      </c>
      <c r="C219" s="2">
        <v>6.0</v>
      </c>
      <c r="D219" s="1" t="s">
        <v>26</v>
      </c>
      <c r="E219" s="6"/>
      <c r="F219" s="3"/>
      <c r="G219" s="1" t="s">
        <v>30</v>
      </c>
      <c r="H219" s="4">
        <v>0.21875</v>
      </c>
      <c r="I219" s="1" t="s">
        <v>286</v>
      </c>
      <c r="J219" s="1" t="s">
        <v>28</v>
      </c>
      <c r="K219" s="4">
        <v>0.4652777777777778</v>
      </c>
      <c r="L219" s="1" t="s">
        <v>183</v>
      </c>
      <c r="M219" s="1" t="s">
        <v>30</v>
      </c>
      <c r="N219" s="4">
        <v>0.7020833333333333</v>
      </c>
      <c r="O219" s="1" t="s">
        <v>235</v>
      </c>
      <c r="P219" s="1" t="s">
        <v>28</v>
      </c>
      <c r="Q219" s="4">
        <v>0.9770833333333333</v>
      </c>
      <c r="R219" s="1" t="s">
        <v>434</v>
      </c>
      <c r="S219" s="1">
        <f t="shared" si="1"/>
        <v>67</v>
      </c>
      <c r="T219" s="1">
        <f t="shared" si="2"/>
        <v>76</v>
      </c>
      <c r="U219" s="5">
        <f t="shared" si="3"/>
        <v>76</v>
      </c>
      <c r="V219" s="5" t="s">
        <v>39</v>
      </c>
    </row>
    <row r="220">
      <c r="A220" s="1" t="s">
        <v>485</v>
      </c>
      <c r="B220" s="1" t="s">
        <v>487</v>
      </c>
      <c r="C220" s="2">
        <v>7.0</v>
      </c>
      <c r="D220" s="1" t="s">
        <v>34</v>
      </c>
      <c r="E220" s="6"/>
      <c r="F220" s="3"/>
      <c r="G220" s="1" t="s">
        <v>30</v>
      </c>
      <c r="H220" s="4">
        <v>0.27847222222222223</v>
      </c>
      <c r="I220" s="1" t="s">
        <v>250</v>
      </c>
      <c r="J220" s="1" t="s">
        <v>28</v>
      </c>
      <c r="K220" s="4">
        <v>0.53125</v>
      </c>
      <c r="L220" s="1" t="s">
        <v>296</v>
      </c>
      <c r="M220" s="1" t="s">
        <v>30</v>
      </c>
      <c r="N220" s="4">
        <v>0.7465277777777778</v>
      </c>
      <c r="O220" s="1" t="s">
        <v>126</v>
      </c>
      <c r="S220" s="1">
        <f t="shared" si="1"/>
        <v>53</v>
      </c>
      <c r="T220" s="1">
        <f t="shared" si="2"/>
        <v>8</v>
      </c>
      <c r="U220" s="5">
        <f t="shared" si="3"/>
        <v>53</v>
      </c>
      <c r="V220" s="5" t="s">
        <v>39</v>
      </c>
    </row>
    <row r="221">
      <c r="A221" s="1" t="s">
        <v>485</v>
      </c>
      <c r="B221" s="1" t="s">
        <v>487</v>
      </c>
      <c r="C221" s="2">
        <v>8.0</v>
      </c>
      <c r="D221" s="1" t="s">
        <v>41</v>
      </c>
      <c r="E221" s="1" t="s">
        <v>42</v>
      </c>
      <c r="F221" s="3"/>
      <c r="G221" s="1" t="s">
        <v>28</v>
      </c>
      <c r="H221" s="4">
        <v>0.03194444444444444</v>
      </c>
      <c r="I221" s="1" t="s">
        <v>434</v>
      </c>
      <c r="J221" s="1" t="s">
        <v>30</v>
      </c>
      <c r="K221" s="4">
        <v>0.3506944444444444</v>
      </c>
      <c r="L221" s="1" t="s">
        <v>326</v>
      </c>
      <c r="M221" s="1" t="s">
        <v>28</v>
      </c>
      <c r="N221" s="4">
        <v>0.6215277777777778</v>
      </c>
      <c r="O221" s="1" t="s">
        <v>230</v>
      </c>
      <c r="P221" s="1" t="s">
        <v>30</v>
      </c>
      <c r="Q221" s="4">
        <v>0.8138888888888889</v>
      </c>
      <c r="R221" s="1" t="s">
        <v>356</v>
      </c>
      <c r="S221" s="1">
        <f t="shared" si="1"/>
        <v>96</v>
      </c>
      <c r="T221" s="1">
        <f t="shared" si="2"/>
        <v>22</v>
      </c>
      <c r="U221" s="5">
        <f t="shared" si="3"/>
        <v>96</v>
      </c>
      <c r="V221" s="5" t="s">
        <v>90</v>
      </c>
    </row>
    <row r="222">
      <c r="A222" s="1" t="s">
        <v>485</v>
      </c>
      <c r="B222" s="1" t="s">
        <v>487</v>
      </c>
      <c r="C222" s="2">
        <v>9.0</v>
      </c>
      <c r="D222" s="1" t="s">
        <v>55</v>
      </c>
      <c r="E222" s="1" t="s">
        <v>42</v>
      </c>
      <c r="F222" s="3"/>
      <c r="G222" s="1" t="s">
        <v>28</v>
      </c>
      <c r="H222" s="4">
        <v>0.09652777777777778</v>
      </c>
      <c r="I222" s="1" t="s">
        <v>216</v>
      </c>
      <c r="J222" s="1" t="s">
        <v>30</v>
      </c>
      <c r="K222" s="4">
        <v>0.40902777777777777</v>
      </c>
      <c r="L222" s="1" t="s">
        <v>114</v>
      </c>
      <c r="M222" s="1" t="s">
        <v>28</v>
      </c>
      <c r="N222" s="4">
        <v>0.6777777777777778</v>
      </c>
      <c r="O222" s="1" t="s">
        <v>181</v>
      </c>
      <c r="P222" s="1" t="s">
        <v>30</v>
      </c>
      <c r="Q222" s="4">
        <v>0.8798611111111111</v>
      </c>
      <c r="R222" s="1" t="s">
        <v>331</v>
      </c>
      <c r="S222" s="1">
        <f t="shared" si="1"/>
        <v>115</v>
      </c>
      <c r="T222" s="1">
        <f t="shared" si="2"/>
        <v>35</v>
      </c>
      <c r="U222" s="5">
        <f t="shared" si="3"/>
        <v>115</v>
      </c>
      <c r="V222" s="5" t="s">
        <v>90</v>
      </c>
    </row>
    <row r="223">
      <c r="A223" s="1" t="s">
        <v>485</v>
      </c>
      <c r="B223" s="1" t="s">
        <v>487</v>
      </c>
      <c r="C223" s="2">
        <v>10.0</v>
      </c>
      <c r="D223" s="1" t="s">
        <v>25</v>
      </c>
      <c r="E223" s="6"/>
      <c r="F223" s="3"/>
      <c r="G223" s="1" t="s">
        <v>28</v>
      </c>
      <c r="H223" s="4">
        <v>0.15069444444444444</v>
      </c>
      <c r="I223" s="1" t="s">
        <v>211</v>
      </c>
      <c r="J223" s="1" t="s">
        <v>30</v>
      </c>
      <c r="K223" s="4">
        <v>0.4513888888888889</v>
      </c>
      <c r="L223" s="1" t="s">
        <v>58</v>
      </c>
      <c r="M223" s="1" t="s">
        <v>28</v>
      </c>
      <c r="N223" s="4">
        <v>0.7131944444444445</v>
      </c>
      <c r="O223" s="1" t="s">
        <v>262</v>
      </c>
      <c r="P223" s="1" t="s">
        <v>30</v>
      </c>
      <c r="Q223" s="4">
        <v>0.9291666666666667</v>
      </c>
      <c r="R223" s="1" t="s">
        <v>119</v>
      </c>
      <c r="S223" s="1">
        <f t="shared" si="1"/>
        <v>139</v>
      </c>
      <c r="T223" s="1">
        <f t="shared" si="2"/>
        <v>54</v>
      </c>
      <c r="U223" s="5">
        <f t="shared" si="3"/>
        <v>139</v>
      </c>
      <c r="V223" s="5" t="s">
        <v>47</v>
      </c>
    </row>
    <row r="224">
      <c r="A224" s="1" t="s">
        <v>485</v>
      </c>
      <c r="B224" s="1" t="s">
        <v>487</v>
      </c>
      <c r="C224" s="2">
        <v>11.0</v>
      </c>
      <c r="D224" s="1" t="s">
        <v>75</v>
      </c>
      <c r="E224" s="6"/>
      <c r="F224" s="3"/>
      <c r="G224" s="1" t="s">
        <v>28</v>
      </c>
      <c r="H224" s="4">
        <v>0.19305555555555556</v>
      </c>
      <c r="I224" s="1" t="s">
        <v>455</v>
      </c>
      <c r="J224" s="1" t="s">
        <v>30</v>
      </c>
      <c r="K224" s="4">
        <v>0.48541666666666666</v>
      </c>
      <c r="L224" s="1" t="s">
        <v>108</v>
      </c>
      <c r="M224" s="1" t="s">
        <v>28</v>
      </c>
      <c r="N224" s="4">
        <v>0.7416666666666667</v>
      </c>
      <c r="O224" s="1" t="s">
        <v>89</v>
      </c>
      <c r="P224" s="1" t="s">
        <v>30</v>
      </c>
      <c r="Q224" s="4">
        <v>0.9666666666666667</v>
      </c>
      <c r="R224" s="1" t="s">
        <v>327</v>
      </c>
      <c r="S224" s="1">
        <f t="shared" si="1"/>
        <v>162</v>
      </c>
      <c r="T224" s="1">
        <f t="shared" si="2"/>
        <v>77</v>
      </c>
      <c r="U224" s="5">
        <f t="shared" si="3"/>
        <v>162</v>
      </c>
      <c r="V224" s="5" t="s">
        <v>47</v>
      </c>
    </row>
    <row r="225">
      <c r="A225" s="1" t="s">
        <v>485</v>
      </c>
      <c r="B225" s="1" t="s">
        <v>487</v>
      </c>
      <c r="C225" s="2">
        <v>12.0</v>
      </c>
      <c r="D225" s="1" t="s">
        <v>86</v>
      </c>
      <c r="E225" s="6"/>
      <c r="F225" s="7" t="s">
        <v>143</v>
      </c>
      <c r="G225" s="1" t="s">
        <v>28</v>
      </c>
      <c r="H225" s="4">
        <v>0.22777777777777777</v>
      </c>
      <c r="I225" s="1" t="s">
        <v>489</v>
      </c>
      <c r="J225" s="1" t="s">
        <v>30</v>
      </c>
      <c r="K225" s="4">
        <v>0.5145833333333333</v>
      </c>
      <c r="L225" s="1" t="s">
        <v>219</v>
      </c>
      <c r="M225" s="1" t="s">
        <v>28</v>
      </c>
      <c r="N225" s="4">
        <v>0.7666666666666667</v>
      </c>
      <c r="O225" s="1" t="s">
        <v>434</v>
      </c>
      <c r="S225" s="1">
        <f t="shared" si="1"/>
        <v>178</v>
      </c>
      <c r="T225" s="1">
        <f t="shared" si="2"/>
        <v>58</v>
      </c>
      <c r="U225" s="5">
        <f t="shared" si="3"/>
        <v>178</v>
      </c>
      <c r="V225" s="5" t="s">
        <v>47</v>
      </c>
    </row>
    <row r="226">
      <c r="A226" s="1" t="s">
        <v>490</v>
      </c>
      <c r="B226" s="1" t="s">
        <v>487</v>
      </c>
      <c r="C226" s="2">
        <v>13.0</v>
      </c>
      <c r="D226" s="1" t="s">
        <v>26</v>
      </c>
      <c r="E226" s="6"/>
      <c r="F226" s="3"/>
      <c r="G226" s="1" t="s">
        <v>30</v>
      </c>
      <c r="H226" s="4">
        <v>0.0</v>
      </c>
      <c r="I226" s="1" t="s">
        <v>120</v>
      </c>
      <c r="J226" s="1" t="s">
        <v>28</v>
      </c>
      <c r="K226" s="4">
        <v>0.25972222222222224</v>
      </c>
      <c r="L226" s="1" t="s">
        <v>491</v>
      </c>
      <c r="M226" s="1" t="s">
        <v>30</v>
      </c>
      <c r="N226" s="4">
        <v>0.5409722222222222</v>
      </c>
      <c r="O226" s="1" t="s">
        <v>252</v>
      </c>
      <c r="P226" s="1" t="s">
        <v>28</v>
      </c>
      <c r="Q226" s="4">
        <v>0.7902777777777777</v>
      </c>
      <c r="R226" s="1" t="s">
        <v>38</v>
      </c>
      <c r="S226" s="1">
        <f t="shared" si="1"/>
        <v>145</v>
      </c>
      <c r="T226" s="1">
        <f t="shared" si="2"/>
        <v>140</v>
      </c>
      <c r="U226" s="5">
        <f t="shared" si="3"/>
        <v>145</v>
      </c>
      <c r="V226" s="5" t="s">
        <v>47</v>
      </c>
    </row>
    <row r="227">
      <c r="A227" s="1" t="s">
        <v>490</v>
      </c>
      <c r="B227" s="1" t="s">
        <v>487</v>
      </c>
      <c r="C227" s="2">
        <v>14.0</v>
      </c>
      <c r="D227" s="1" t="s">
        <v>34</v>
      </c>
      <c r="E227" s="6"/>
      <c r="F227" s="3"/>
      <c r="G227" s="1" t="s">
        <v>30</v>
      </c>
      <c r="H227" s="4">
        <v>0.030555555555555555</v>
      </c>
      <c r="I227" s="1" t="s">
        <v>112</v>
      </c>
      <c r="J227" s="1" t="s">
        <v>28</v>
      </c>
      <c r="K227" s="4">
        <v>0.28888888888888886</v>
      </c>
      <c r="L227" s="1" t="s">
        <v>486</v>
      </c>
      <c r="M227" s="1" t="s">
        <v>30</v>
      </c>
      <c r="N227" s="4">
        <v>0.5645833333333333</v>
      </c>
      <c r="O227" s="1" t="s">
        <v>124</v>
      </c>
      <c r="P227" s="1" t="s">
        <v>28</v>
      </c>
      <c r="Q227" s="4">
        <v>0.8131944444444444</v>
      </c>
      <c r="R227" s="1" t="s">
        <v>338</v>
      </c>
      <c r="S227" s="1">
        <f t="shared" si="1"/>
        <v>150</v>
      </c>
      <c r="T227" s="1">
        <f t="shared" si="2"/>
        <v>138</v>
      </c>
      <c r="U227" s="5">
        <f t="shared" si="3"/>
        <v>150</v>
      </c>
      <c r="V227" s="5" t="s">
        <v>47</v>
      </c>
    </row>
    <row r="228">
      <c r="A228" s="1" t="s">
        <v>490</v>
      </c>
      <c r="B228" s="1" t="s">
        <v>487</v>
      </c>
      <c r="C228" s="2">
        <v>15.0</v>
      </c>
      <c r="D228" s="1" t="s">
        <v>41</v>
      </c>
      <c r="E228" s="1" t="s">
        <v>42</v>
      </c>
      <c r="F228" s="3"/>
      <c r="G228" s="1" t="s">
        <v>30</v>
      </c>
      <c r="H228" s="4">
        <v>0.059027777777777776</v>
      </c>
      <c r="I228" s="1" t="s">
        <v>134</v>
      </c>
      <c r="J228" s="1" t="s">
        <v>28</v>
      </c>
      <c r="K228" s="4">
        <v>0.3159722222222222</v>
      </c>
      <c r="L228" s="1" t="s">
        <v>492</v>
      </c>
      <c r="M228" s="1" t="s">
        <v>30</v>
      </c>
      <c r="N228" s="4">
        <v>0.5854166666666667</v>
      </c>
      <c r="O228" s="1" t="s">
        <v>45</v>
      </c>
      <c r="P228" s="1" t="s">
        <v>28</v>
      </c>
      <c r="Q228" s="4">
        <v>0.8347222222222223</v>
      </c>
      <c r="R228" s="1" t="s">
        <v>67</v>
      </c>
      <c r="S228" s="1">
        <f t="shared" si="1"/>
        <v>145</v>
      </c>
      <c r="T228" s="1">
        <f t="shared" si="2"/>
        <v>130</v>
      </c>
      <c r="U228" s="5">
        <f t="shared" si="3"/>
        <v>145</v>
      </c>
      <c r="V228" s="5" t="s">
        <v>47</v>
      </c>
    </row>
    <row r="229">
      <c r="A229" s="1" t="s">
        <v>490</v>
      </c>
      <c r="B229" s="1" t="s">
        <v>487</v>
      </c>
      <c r="C229" s="2">
        <v>16.0</v>
      </c>
      <c r="D229" s="1" t="s">
        <v>55</v>
      </c>
      <c r="E229" s="1" t="s">
        <v>42</v>
      </c>
      <c r="F229" s="3"/>
      <c r="G229" s="1" t="s">
        <v>30</v>
      </c>
      <c r="H229" s="4">
        <v>0.0875</v>
      </c>
      <c r="I229" s="1" t="s">
        <v>118</v>
      </c>
      <c r="J229" s="1" t="s">
        <v>28</v>
      </c>
      <c r="K229" s="4">
        <v>0.3423611111111111</v>
      </c>
      <c r="L229" s="1" t="s">
        <v>493</v>
      </c>
      <c r="M229" s="1" t="s">
        <v>30</v>
      </c>
      <c r="N229" s="4">
        <v>0.6048611111111111</v>
      </c>
      <c r="O229" s="1" t="s">
        <v>200</v>
      </c>
      <c r="P229" s="1" t="s">
        <v>28</v>
      </c>
      <c r="Q229" s="4">
        <v>0.8555555555555555</v>
      </c>
      <c r="R229" s="1" t="s">
        <v>412</v>
      </c>
      <c r="S229" s="1">
        <f t="shared" si="1"/>
        <v>130</v>
      </c>
      <c r="T229" s="1">
        <f t="shared" si="2"/>
        <v>118</v>
      </c>
      <c r="U229" s="5">
        <f t="shared" si="3"/>
        <v>130</v>
      </c>
      <c r="V229" s="5" t="s">
        <v>47</v>
      </c>
    </row>
    <row r="230">
      <c r="A230" s="1" t="s">
        <v>490</v>
      </c>
      <c r="B230" s="1" t="s">
        <v>487</v>
      </c>
      <c r="C230" s="2">
        <v>17.0</v>
      </c>
      <c r="D230" s="1" t="s">
        <v>25</v>
      </c>
      <c r="E230" s="6"/>
      <c r="F230" s="3"/>
      <c r="G230" s="1" t="s">
        <v>30</v>
      </c>
      <c r="H230" s="4">
        <v>0.11527777777777778</v>
      </c>
      <c r="I230" s="1" t="s">
        <v>117</v>
      </c>
      <c r="J230" s="1" t="s">
        <v>28</v>
      </c>
      <c r="K230" s="4">
        <v>0.3680555555555556</v>
      </c>
      <c r="L230" s="1" t="s">
        <v>38</v>
      </c>
      <c r="M230" s="1" t="s">
        <v>30</v>
      </c>
      <c r="N230" s="4">
        <v>0.6222222222222222</v>
      </c>
      <c r="O230" s="1" t="s">
        <v>191</v>
      </c>
      <c r="P230" s="1" t="s">
        <v>28</v>
      </c>
      <c r="Q230" s="4">
        <v>0.8770833333333333</v>
      </c>
      <c r="R230" s="1" t="s">
        <v>297</v>
      </c>
      <c r="S230" s="1">
        <f t="shared" si="1"/>
        <v>109</v>
      </c>
      <c r="T230" s="1">
        <f t="shared" si="2"/>
        <v>103</v>
      </c>
      <c r="U230" s="5">
        <f t="shared" si="3"/>
        <v>109</v>
      </c>
      <c r="V230" s="5" t="s">
        <v>90</v>
      </c>
    </row>
    <row r="231">
      <c r="A231" s="1" t="s">
        <v>490</v>
      </c>
      <c r="B231" s="1" t="s">
        <v>487</v>
      </c>
      <c r="C231" s="2">
        <v>18.0</v>
      </c>
      <c r="D231" s="1" t="s">
        <v>75</v>
      </c>
      <c r="E231" s="6"/>
      <c r="F231" s="3"/>
      <c r="G231" s="1" t="s">
        <v>30</v>
      </c>
      <c r="H231" s="4">
        <v>0.14444444444444443</v>
      </c>
      <c r="I231" s="1" t="s">
        <v>122</v>
      </c>
      <c r="J231" s="1" t="s">
        <v>28</v>
      </c>
      <c r="K231" s="4">
        <v>0.39375</v>
      </c>
      <c r="L231" s="1" t="s">
        <v>135</v>
      </c>
      <c r="M231" s="1" t="s">
        <v>30</v>
      </c>
      <c r="N231" s="4">
        <v>0.6402777777777777</v>
      </c>
      <c r="O231" s="1" t="s">
        <v>334</v>
      </c>
      <c r="P231" s="1" t="s">
        <v>28</v>
      </c>
      <c r="Q231" s="4">
        <v>0.9</v>
      </c>
      <c r="R231" s="1" t="s">
        <v>78</v>
      </c>
      <c r="S231" s="1">
        <f t="shared" si="1"/>
        <v>85</v>
      </c>
      <c r="T231" s="1">
        <f t="shared" si="2"/>
        <v>87</v>
      </c>
      <c r="U231" s="5">
        <f t="shared" si="3"/>
        <v>87</v>
      </c>
      <c r="V231" s="5" t="s">
        <v>39</v>
      </c>
    </row>
    <row r="232">
      <c r="A232" s="1" t="s">
        <v>490</v>
      </c>
      <c r="B232" s="1" t="s">
        <v>487</v>
      </c>
      <c r="C232" s="2">
        <v>19.0</v>
      </c>
      <c r="D232" s="1" t="s">
        <v>86</v>
      </c>
      <c r="E232" s="6"/>
      <c r="F232" s="7" t="s">
        <v>184</v>
      </c>
      <c r="G232" s="1" t="s">
        <v>30</v>
      </c>
      <c r="H232" s="4">
        <v>0.17708333333333334</v>
      </c>
      <c r="I232" s="1" t="s">
        <v>327</v>
      </c>
      <c r="J232" s="1" t="s">
        <v>28</v>
      </c>
      <c r="K232" s="4">
        <v>0.4236111111111111</v>
      </c>
      <c r="L232" s="1" t="s">
        <v>183</v>
      </c>
      <c r="M232" s="1" t="s">
        <v>30</v>
      </c>
      <c r="N232" s="4">
        <v>0.6590277777777778</v>
      </c>
      <c r="O232" s="1" t="s">
        <v>427</v>
      </c>
      <c r="P232" s="1" t="s">
        <v>28</v>
      </c>
      <c r="Q232" s="4">
        <v>0.9270833333333334</v>
      </c>
      <c r="R232" s="1" t="s">
        <v>147</v>
      </c>
      <c r="S232" s="1">
        <f t="shared" si="1"/>
        <v>60</v>
      </c>
      <c r="T232" s="1">
        <f t="shared" si="2"/>
        <v>70</v>
      </c>
      <c r="U232" s="5">
        <f t="shared" si="3"/>
        <v>70</v>
      </c>
      <c r="V232" s="5" t="s">
        <v>39</v>
      </c>
    </row>
    <row r="233">
      <c r="A233" s="1" t="s">
        <v>490</v>
      </c>
      <c r="B233" s="1" t="s">
        <v>487</v>
      </c>
      <c r="C233" s="2">
        <v>20.0</v>
      </c>
      <c r="D233" s="1" t="s">
        <v>26</v>
      </c>
      <c r="E233" s="6"/>
      <c r="F233" s="3"/>
      <c r="G233" s="1" t="s">
        <v>30</v>
      </c>
      <c r="H233" s="4">
        <v>0.22083333333333333</v>
      </c>
      <c r="I233" s="1" t="s">
        <v>481</v>
      </c>
      <c r="J233" s="1" t="s">
        <v>28</v>
      </c>
      <c r="K233" s="4">
        <v>0.46805555555555556</v>
      </c>
      <c r="L233" s="1" t="s">
        <v>109</v>
      </c>
      <c r="M233" s="1" t="s">
        <v>30</v>
      </c>
      <c r="N233" s="4">
        <v>0.6840277777777778</v>
      </c>
      <c r="O233" s="1" t="s">
        <v>398</v>
      </c>
      <c r="P233" s="1" t="s">
        <v>28</v>
      </c>
      <c r="Q233" s="4">
        <v>0.9645833333333333</v>
      </c>
      <c r="R233" s="1" t="s">
        <v>135</v>
      </c>
      <c r="S233" s="1">
        <f t="shared" si="1"/>
        <v>36</v>
      </c>
      <c r="T233" s="1">
        <f t="shared" si="2"/>
        <v>54</v>
      </c>
      <c r="U233" s="5">
        <f t="shared" si="3"/>
        <v>54</v>
      </c>
      <c r="V233" s="5" t="s">
        <v>39</v>
      </c>
    </row>
    <row r="234">
      <c r="A234" s="1" t="s">
        <v>490</v>
      </c>
      <c r="B234" s="1" t="s">
        <v>487</v>
      </c>
      <c r="C234" s="2">
        <v>21.0</v>
      </c>
      <c r="D234" s="1" t="s">
        <v>34</v>
      </c>
      <c r="E234" s="6"/>
      <c r="F234" s="3"/>
      <c r="G234" s="1" t="s">
        <v>30</v>
      </c>
      <c r="H234" s="4">
        <v>0.29097222222222224</v>
      </c>
      <c r="I234" s="1" t="s">
        <v>427</v>
      </c>
      <c r="J234" s="1" t="s">
        <v>28</v>
      </c>
      <c r="K234" s="4">
        <v>0.5631944444444444</v>
      </c>
      <c r="L234" s="1" t="s">
        <v>323</v>
      </c>
      <c r="M234" s="1" t="s">
        <v>30</v>
      </c>
      <c r="N234" s="4">
        <v>0.7333333333333333</v>
      </c>
      <c r="O234" s="1" t="s">
        <v>29</v>
      </c>
      <c r="S234" s="1">
        <f t="shared" si="1"/>
        <v>26</v>
      </c>
      <c r="T234" s="1">
        <f t="shared" si="2"/>
        <v>3</v>
      </c>
      <c r="U234" s="5">
        <f t="shared" si="3"/>
        <v>26</v>
      </c>
      <c r="V234" s="5" t="s">
        <v>39</v>
      </c>
    </row>
    <row r="235">
      <c r="A235" s="1" t="s">
        <v>490</v>
      </c>
      <c r="B235" s="1" t="s">
        <v>487</v>
      </c>
      <c r="C235" s="2">
        <v>22.0</v>
      </c>
      <c r="D235" s="1" t="s">
        <v>41</v>
      </c>
      <c r="E235" s="1" t="s">
        <v>42</v>
      </c>
      <c r="F235" s="3"/>
      <c r="G235" s="1" t="s">
        <v>28</v>
      </c>
      <c r="H235" s="4">
        <v>0.025694444444444443</v>
      </c>
      <c r="I235" s="1" t="s">
        <v>360</v>
      </c>
      <c r="J235" s="1" t="s">
        <v>30</v>
      </c>
      <c r="K235" s="4">
        <v>0.3736111111111111</v>
      </c>
      <c r="L235" s="1" t="s">
        <v>494</v>
      </c>
      <c r="M235" s="1" t="s">
        <v>28</v>
      </c>
      <c r="N235" s="4">
        <v>0.65</v>
      </c>
      <c r="O235" s="1" t="s">
        <v>77</v>
      </c>
      <c r="P235" s="1" t="s">
        <v>30</v>
      </c>
      <c r="Q235" s="4">
        <v>0.8118055555555556</v>
      </c>
      <c r="R235" s="1" t="s">
        <v>222</v>
      </c>
      <c r="S235" s="1">
        <f t="shared" si="1"/>
        <v>64</v>
      </c>
      <c r="T235" s="1">
        <f t="shared" si="2"/>
        <v>10</v>
      </c>
      <c r="U235" s="5">
        <f t="shared" si="3"/>
        <v>64</v>
      </c>
      <c r="V235" s="5" t="s">
        <v>39</v>
      </c>
    </row>
    <row r="236">
      <c r="A236" s="1" t="s">
        <v>490</v>
      </c>
      <c r="B236" s="1" t="s">
        <v>487</v>
      </c>
      <c r="C236" s="2">
        <v>23.0</v>
      </c>
      <c r="D236" s="1" t="s">
        <v>55</v>
      </c>
      <c r="E236" s="1" t="s">
        <v>42</v>
      </c>
      <c r="F236" s="3"/>
      <c r="G236" s="1" t="s">
        <v>28</v>
      </c>
      <c r="H236" s="4">
        <v>0.09652777777777778</v>
      </c>
      <c r="I236" s="1" t="s">
        <v>301</v>
      </c>
      <c r="J236" s="1" t="s">
        <v>30</v>
      </c>
      <c r="K236" s="4">
        <v>0.41805555555555557</v>
      </c>
      <c r="L236" s="1" t="s">
        <v>480</v>
      </c>
      <c r="M236" s="1" t="s">
        <v>28</v>
      </c>
      <c r="N236" s="4">
        <v>0.6840277777777778</v>
      </c>
      <c r="O236" s="1" t="s">
        <v>471</v>
      </c>
      <c r="P236" s="1" t="s">
        <v>30</v>
      </c>
      <c r="Q236" s="4">
        <v>0.8770833333333333</v>
      </c>
      <c r="R236" s="1" t="s">
        <v>113</v>
      </c>
      <c r="S236" s="1">
        <f t="shared" si="1"/>
        <v>76</v>
      </c>
      <c r="T236" s="1">
        <f t="shared" si="2"/>
        <v>23</v>
      </c>
      <c r="U236" s="5">
        <f t="shared" si="3"/>
        <v>76</v>
      </c>
      <c r="V236" s="5" t="s">
        <v>39</v>
      </c>
    </row>
    <row r="237">
      <c r="A237" s="1" t="s">
        <v>490</v>
      </c>
      <c r="B237" s="1" t="s">
        <v>487</v>
      </c>
      <c r="C237" s="2">
        <v>24.0</v>
      </c>
      <c r="D237" s="1" t="s">
        <v>25</v>
      </c>
      <c r="E237" s="6"/>
      <c r="F237" s="3"/>
      <c r="G237" s="1" t="s">
        <v>28</v>
      </c>
      <c r="H237" s="4">
        <v>0.14444444444444443</v>
      </c>
      <c r="I237" s="1" t="s">
        <v>388</v>
      </c>
      <c r="J237" s="1" t="s">
        <v>30</v>
      </c>
      <c r="K237" s="4">
        <v>0.4465277777777778</v>
      </c>
      <c r="L237" s="1" t="s">
        <v>326</v>
      </c>
      <c r="M237" s="1" t="s">
        <v>28</v>
      </c>
      <c r="N237" s="4">
        <v>0.7055555555555556</v>
      </c>
      <c r="O237" s="1" t="s">
        <v>218</v>
      </c>
      <c r="P237" s="1" t="s">
        <v>30</v>
      </c>
      <c r="Q237" s="4">
        <v>0.9180555555555555</v>
      </c>
      <c r="R237" s="1" t="s">
        <v>331</v>
      </c>
      <c r="S237" s="1">
        <f t="shared" si="1"/>
        <v>94</v>
      </c>
      <c r="T237" s="1">
        <f t="shared" si="2"/>
        <v>41</v>
      </c>
      <c r="U237" s="5">
        <f t="shared" si="3"/>
        <v>94</v>
      </c>
      <c r="V237" s="5" t="s">
        <v>90</v>
      </c>
    </row>
    <row r="238">
      <c r="A238" s="1" t="s">
        <v>490</v>
      </c>
      <c r="B238" s="1" t="s">
        <v>487</v>
      </c>
      <c r="C238" s="2">
        <v>25.0</v>
      </c>
      <c r="D238" s="1" t="s">
        <v>75</v>
      </c>
      <c r="E238" s="6"/>
      <c r="F238" s="3"/>
      <c r="G238" s="1" t="s">
        <v>28</v>
      </c>
      <c r="H238" s="4">
        <v>0.17777777777777778</v>
      </c>
      <c r="I238" s="1" t="s">
        <v>385</v>
      </c>
      <c r="J238" s="1" t="s">
        <v>30</v>
      </c>
      <c r="K238" s="4">
        <v>0.46875</v>
      </c>
      <c r="L238" s="1" t="s">
        <v>223</v>
      </c>
      <c r="M238" s="1" t="s">
        <v>28</v>
      </c>
      <c r="N238" s="4">
        <v>0.7243055555555555</v>
      </c>
      <c r="O238" s="1" t="s">
        <v>251</v>
      </c>
      <c r="P238" s="1" t="s">
        <v>30</v>
      </c>
      <c r="Q238" s="4">
        <v>0.9472222222222222</v>
      </c>
      <c r="R238" s="1" t="s">
        <v>483</v>
      </c>
      <c r="S238" s="1">
        <f t="shared" si="1"/>
        <v>112</v>
      </c>
      <c r="T238" s="1">
        <f t="shared" si="2"/>
        <v>59</v>
      </c>
      <c r="U238" s="5">
        <f t="shared" si="3"/>
        <v>112</v>
      </c>
      <c r="V238" s="5" t="s">
        <v>90</v>
      </c>
    </row>
    <row r="239">
      <c r="A239" s="1" t="s">
        <v>490</v>
      </c>
      <c r="B239" s="1" t="s">
        <v>487</v>
      </c>
      <c r="C239" s="2">
        <v>26.0</v>
      </c>
      <c r="D239" s="1" t="s">
        <v>86</v>
      </c>
      <c r="E239" s="6"/>
      <c r="F239" s="3"/>
      <c r="G239" s="1" t="s">
        <v>28</v>
      </c>
      <c r="H239" s="4">
        <v>0.20416666666666666</v>
      </c>
      <c r="I239" s="1" t="s">
        <v>211</v>
      </c>
      <c r="J239" s="1" t="s">
        <v>30</v>
      </c>
      <c r="K239" s="4">
        <v>0.4888888888888889</v>
      </c>
      <c r="L239" s="1" t="s">
        <v>31</v>
      </c>
      <c r="M239" s="1" t="s">
        <v>28</v>
      </c>
      <c r="N239" s="4">
        <v>0.7423611111111111</v>
      </c>
      <c r="O239" s="1" t="s">
        <v>307</v>
      </c>
      <c r="P239" s="1" t="s">
        <v>30</v>
      </c>
      <c r="Q239" s="4">
        <v>0.9729166666666667</v>
      </c>
      <c r="R239" s="1" t="s">
        <v>236</v>
      </c>
      <c r="S239" s="1">
        <f t="shared" si="1"/>
        <v>128</v>
      </c>
      <c r="T239" s="1">
        <f t="shared" si="2"/>
        <v>78</v>
      </c>
      <c r="U239" s="5">
        <f t="shared" si="3"/>
        <v>128</v>
      </c>
      <c r="V239" s="5" t="s">
        <v>47</v>
      </c>
    </row>
    <row r="240">
      <c r="A240" s="1" t="s">
        <v>490</v>
      </c>
      <c r="B240" s="1" t="s">
        <v>487</v>
      </c>
      <c r="C240" s="2">
        <v>27.0</v>
      </c>
      <c r="D240" s="1" t="s">
        <v>26</v>
      </c>
      <c r="E240" s="6"/>
      <c r="F240" s="7" t="s">
        <v>35</v>
      </c>
      <c r="G240" s="1" t="s">
        <v>28</v>
      </c>
      <c r="H240" s="4">
        <v>0.22847222222222222</v>
      </c>
      <c r="I240" s="1" t="s">
        <v>414</v>
      </c>
      <c r="J240" s="1" t="s">
        <v>30</v>
      </c>
      <c r="K240" s="4">
        <v>0.5076388888888889</v>
      </c>
      <c r="L240" s="1" t="s">
        <v>146</v>
      </c>
      <c r="M240" s="1" t="s">
        <v>28</v>
      </c>
      <c r="N240" s="4">
        <v>0.7597222222222222</v>
      </c>
      <c r="O240" s="1" t="s">
        <v>337</v>
      </c>
      <c r="P240" s="1" t="s">
        <v>30</v>
      </c>
      <c r="Q240" s="4">
        <v>0.9965277777777778</v>
      </c>
      <c r="R240" s="1" t="s">
        <v>122</v>
      </c>
      <c r="S240" s="1">
        <f t="shared" si="1"/>
        <v>141</v>
      </c>
      <c r="T240" s="1">
        <f t="shared" si="2"/>
        <v>96</v>
      </c>
      <c r="U240" s="5">
        <f t="shared" si="3"/>
        <v>141</v>
      </c>
      <c r="V240" s="5" t="s">
        <v>47</v>
      </c>
    </row>
    <row r="241">
      <c r="A241" s="1" t="s">
        <v>490</v>
      </c>
      <c r="B241" s="1" t="s">
        <v>487</v>
      </c>
      <c r="C241" s="2">
        <v>28.0</v>
      </c>
      <c r="D241" s="1" t="s">
        <v>34</v>
      </c>
      <c r="E241" s="6"/>
      <c r="F241" s="3"/>
      <c r="G241" s="1" t="s">
        <v>28</v>
      </c>
      <c r="H241" s="4">
        <v>0.25069444444444444</v>
      </c>
      <c r="I241" s="1" t="s">
        <v>455</v>
      </c>
      <c r="J241" s="1" t="s">
        <v>30</v>
      </c>
      <c r="K241" s="4">
        <v>0.5256944444444445</v>
      </c>
      <c r="L241" s="1" t="s">
        <v>45</v>
      </c>
      <c r="M241" s="1" t="s">
        <v>28</v>
      </c>
      <c r="N241" s="4">
        <v>0.7770833333333333</v>
      </c>
      <c r="O241" s="1" t="s">
        <v>385</v>
      </c>
      <c r="S241" s="1">
        <f t="shared" si="1"/>
        <v>149</v>
      </c>
      <c r="T241" s="1">
        <f t="shared" si="2"/>
        <v>66</v>
      </c>
      <c r="U241" s="5">
        <f t="shared" si="3"/>
        <v>149</v>
      </c>
      <c r="V241" s="5" t="s">
        <v>47</v>
      </c>
    </row>
    <row r="242">
      <c r="A242" s="1" t="s">
        <v>490</v>
      </c>
      <c r="B242" s="1" t="s">
        <v>487</v>
      </c>
      <c r="C242" s="2">
        <v>29.0</v>
      </c>
      <c r="D242" s="1" t="s">
        <v>41</v>
      </c>
      <c r="E242" s="1" t="s">
        <v>42</v>
      </c>
      <c r="F242" s="3"/>
      <c r="G242" s="1" t="s">
        <v>30</v>
      </c>
      <c r="H242" s="4">
        <v>0.02013888888888889</v>
      </c>
      <c r="I242" s="1" t="s">
        <v>223</v>
      </c>
      <c r="J242" s="1" t="s">
        <v>28</v>
      </c>
      <c r="K242" s="4">
        <v>0.27361111111111114</v>
      </c>
      <c r="L242" s="1" t="s">
        <v>464</v>
      </c>
      <c r="M242" s="1" t="s">
        <v>30</v>
      </c>
      <c r="N242" s="4">
        <v>0.5430555555555555</v>
      </c>
      <c r="O242" s="1" t="s">
        <v>45</v>
      </c>
      <c r="P242" s="1" t="s">
        <v>28</v>
      </c>
      <c r="Q242" s="4">
        <v>0.7944444444444444</v>
      </c>
      <c r="R242" s="1" t="s">
        <v>46</v>
      </c>
      <c r="S242" s="1">
        <f t="shared" si="1"/>
        <v>138</v>
      </c>
      <c r="T242" s="1">
        <f t="shared" si="2"/>
        <v>131</v>
      </c>
      <c r="U242" s="5">
        <f t="shared" si="3"/>
        <v>138</v>
      </c>
      <c r="V242" s="5" t="s">
        <v>47</v>
      </c>
    </row>
    <row r="243">
      <c r="A243" s="1" t="s">
        <v>490</v>
      </c>
      <c r="B243" s="1" t="s">
        <v>487</v>
      </c>
      <c r="C243" s="2">
        <v>30.0</v>
      </c>
      <c r="D243" s="1" t="s">
        <v>55</v>
      </c>
      <c r="E243" s="1" t="s">
        <v>42</v>
      </c>
      <c r="F243" s="3"/>
      <c r="G243" s="1" t="s">
        <v>30</v>
      </c>
      <c r="H243" s="4">
        <v>0.044444444444444446</v>
      </c>
      <c r="I243" s="1" t="s">
        <v>31</v>
      </c>
      <c r="J243" s="1" t="s">
        <v>28</v>
      </c>
      <c r="K243" s="4">
        <v>0.2965277777777778</v>
      </c>
      <c r="L243" s="1" t="s">
        <v>416</v>
      </c>
      <c r="M243" s="1" t="s">
        <v>30</v>
      </c>
      <c r="N243" s="4">
        <v>0.5611111111111111</v>
      </c>
      <c r="O243" s="1" t="s">
        <v>146</v>
      </c>
      <c r="P243" s="1" t="s">
        <v>28</v>
      </c>
      <c r="Q243" s="4">
        <v>0.8131944444444444</v>
      </c>
      <c r="R243" s="1" t="s">
        <v>346</v>
      </c>
      <c r="S243" s="1">
        <f t="shared" si="1"/>
        <v>141</v>
      </c>
      <c r="T243" s="1">
        <f t="shared" si="2"/>
        <v>133</v>
      </c>
      <c r="U243" s="5">
        <f t="shared" si="3"/>
        <v>141</v>
      </c>
      <c r="V243" s="5" t="s">
        <v>47</v>
      </c>
    </row>
    <row r="244">
      <c r="A244" s="1" t="s">
        <v>490</v>
      </c>
      <c r="B244" s="1" t="s">
        <v>487</v>
      </c>
      <c r="C244" s="2">
        <v>31.0</v>
      </c>
      <c r="D244" s="1" t="s">
        <v>25</v>
      </c>
      <c r="E244" s="6"/>
      <c r="F244" s="3"/>
      <c r="G244" s="1" t="s">
        <v>30</v>
      </c>
      <c r="H244" s="4">
        <v>0.06944444444444445</v>
      </c>
      <c r="I244" s="1" t="s">
        <v>146</v>
      </c>
      <c r="J244" s="1" t="s">
        <v>28</v>
      </c>
      <c r="K244" s="4">
        <v>0.32083333333333336</v>
      </c>
      <c r="L244" s="1" t="s">
        <v>488</v>
      </c>
      <c r="M244" s="1" t="s">
        <v>30</v>
      </c>
      <c r="N244" s="4">
        <v>0.5791666666666667</v>
      </c>
      <c r="O244" s="1" t="s">
        <v>114</v>
      </c>
      <c r="P244" s="1" t="s">
        <v>28</v>
      </c>
      <c r="Q244" s="4">
        <v>0.8333333333333334</v>
      </c>
      <c r="R244" s="1" t="s">
        <v>495</v>
      </c>
      <c r="S244" s="1">
        <f t="shared" si="1"/>
        <v>138</v>
      </c>
      <c r="T244" s="1">
        <f t="shared" si="2"/>
        <v>130</v>
      </c>
      <c r="U244" s="5">
        <f t="shared" si="3"/>
        <v>138</v>
      </c>
      <c r="V244" s="5" t="s">
        <v>47</v>
      </c>
    </row>
    <row r="245">
      <c r="A245" s="1" t="s">
        <v>490</v>
      </c>
      <c r="B245" s="1" t="s">
        <v>496</v>
      </c>
      <c r="C245" s="2">
        <v>1.0</v>
      </c>
      <c r="D245" s="1" t="s">
        <v>75</v>
      </c>
      <c r="E245" s="6"/>
      <c r="F245" s="3"/>
      <c r="G245" s="1" t="s">
        <v>30</v>
      </c>
      <c r="H245" s="4">
        <v>0.09583333333333334</v>
      </c>
      <c r="I245" s="1" t="s">
        <v>146</v>
      </c>
      <c r="J245" s="1" t="s">
        <v>28</v>
      </c>
      <c r="K245" s="4">
        <v>0.34652777777777777</v>
      </c>
      <c r="L245" s="1" t="s">
        <v>412</v>
      </c>
      <c r="M245" s="1" t="s">
        <v>30</v>
      </c>
      <c r="N245" s="4">
        <v>0.5979166666666667</v>
      </c>
      <c r="O245" s="1" t="s">
        <v>224</v>
      </c>
      <c r="P245" s="1" t="s">
        <v>28</v>
      </c>
      <c r="Q245" s="4">
        <v>0.8548611111111111</v>
      </c>
      <c r="R245" s="1" t="s">
        <v>497</v>
      </c>
      <c r="S245" s="1">
        <f t="shared" si="1"/>
        <v>126</v>
      </c>
      <c r="T245" s="1">
        <f t="shared" si="2"/>
        <v>121</v>
      </c>
      <c r="U245" s="5">
        <f t="shared" si="3"/>
        <v>126</v>
      </c>
      <c r="V245" s="5" t="s">
        <v>47</v>
      </c>
    </row>
    <row r="246">
      <c r="A246" s="1" t="s">
        <v>490</v>
      </c>
      <c r="B246" s="1" t="s">
        <v>496</v>
      </c>
      <c r="C246" s="2">
        <v>2.0</v>
      </c>
      <c r="D246" s="1" t="s">
        <v>86</v>
      </c>
      <c r="E246" s="6"/>
      <c r="F246" s="3"/>
      <c r="G246" s="1" t="s">
        <v>30</v>
      </c>
      <c r="H246" s="4">
        <v>0.125</v>
      </c>
      <c r="I246" s="1" t="s">
        <v>257</v>
      </c>
      <c r="J246" s="1" t="s">
        <v>28</v>
      </c>
      <c r="K246" s="4">
        <v>0.37430555555555556</v>
      </c>
      <c r="L246" s="1" t="s">
        <v>147</v>
      </c>
      <c r="M246" s="1" t="s">
        <v>30</v>
      </c>
      <c r="N246" s="4">
        <v>0.6173611111111111</v>
      </c>
      <c r="O246" s="1" t="s">
        <v>250</v>
      </c>
      <c r="P246" s="1" t="s">
        <v>28</v>
      </c>
      <c r="Q246" s="4">
        <v>0.8798611111111111</v>
      </c>
      <c r="R246" s="1" t="s">
        <v>205</v>
      </c>
      <c r="S246" s="1">
        <f t="shared" si="1"/>
        <v>108</v>
      </c>
      <c r="T246" s="1">
        <f t="shared" si="2"/>
        <v>106</v>
      </c>
      <c r="U246" s="5">
        <f t="shared" si="3"/>
        <v>108</v>
      </c>
      <c r="V246" s="5" t="s">
        <v>90</v>
      </c>
    </row>
    <row r="247">
      <c r="A247" s="1" t="s">
        <v>490</v>
      </c>
      <c r="B247" s="1" t="s">
        <v>496</v>
      </c>
      <c r="C247" s="2">
        <v>3.0</v>
      </c>
      <c r="D247" s="1" t="s">
        <v>26</v>
      </c>
      <c r="E247" s="6"/>
      <c r="F247" s="7" t="s">
        <v>107</v>
      </c>
      <c r="G247" s="1" t="s">
        <v>30</v>
      </c>
      <c r="H247" s="4">
        <v>0.1597222222222222</v>
      </c>
      <c r="I247" s="1" t="s">
        <v>115</v>
      </c>
      <c r="J247" s="1" t="s">
        <v>28</v>
      </c>
      <c r="K247" s="4">
        <v>0.4076388888888889</v>
      </c>
      <c r="L247" s="1" t="s">
        <v>262</v>
      </c>
      <c r="M247" s="1" t="s">
        <v>30</v>
      </c>
      <c r="N247" s="4">
        <v>0.6395833333333333</v>
      </c>
      <c r="O247" s="1" t="s">
        <v>291</v>
      </c>
      <c r="P247" s="1" t="s">
        <v>28</v>
      </c>
      <c r="Q247" s="4">
        <v>0.9111111111111111</v>
      </c>
      <c r="R247" s="1" t="s">
        <v>297</v>
      </c>
      <c r="S247" s="1">
        <f t="shared" si="1"/>
        <v>83</v>
      </c>
      <c r="T247" s="1">
        <f t="shared" si="2"/>
        <v>89</v>
      </c>
      <c r="U247" s="5">
        <f t="shared" si="3"/>
        <v>89</v>
      </c>
      <c r="V247" s="5" t="s">
        <v>39</v>
      </c>
    </row>
    <row r="248">
      <c r="A248" s="1" t="s">
        <v>490</v>
      </c>
      <c r="B248" s="1" t="s">
        <v>496</v>
      </c>
      <c r="C248" s="2">
        <v>4.0</v>
      </c>
      <c r="D248" s="1" t="s">
        <v>34</v>
      </c>
      <c r="E248" s="6"/>
      <c r="F248" s="3"/>
      <c r="G248" s="1" t="s">
        <v>30</v>
      </c>
      <c r="H248" s="4">
        <v>0.20625</v>
      </c>
      <c r="I248" s="1" t="s">
        <v>122</v>
      </c>
      <c r="J248" s="1" t="s">
        <v>28</v>
      </c>
      <c r="K248" s="4">
        <v>0.45416666666666666</v>
      </c>
      <c r="L248" s="1" t="s">
        <v>173</v>
      </c>
      <c r="M248" s="1" t="s">
        <v>30</v>
      </c>
      <c r="N248" s="4">
        <v>0.66875</v>
      </c>
      <c r="O248" s="1" t="s">
        <v>332</v>
      </c>
      <c r="P248" s="1" t="s">
        <v>28</v>
      </c>
      <c r="Q248" s="4">
        <v>0.9548611111111112</v>
      </c>
      <c r="R248" s="1" t="s">
        <v>337</v>
      </c>
      <c r="S248" s="1">
        <f t="shared" si="1"/>
        <v>58</v>
      </c>
      <c r="T248" s="1">
        <f t="shared" si="2"/>
        <v>69</v>
      </c>
      <c r="U248" s="5">
        <f t="shared" si="3"/>
        <v>69</v>
      </c>
      <c r="V248" s="5" t="s">
        <v>39</v>
      </c>
    </row>
    <row r="249">
      <c r="A249" s="1" t="s">
        <v>490</v>
      </c>
      <c r="B249" s="1" t="s">
        <v>496</v>
      </c>
      <c r="C249" s="2">
        <v>5.0</v>
      </c>
      <c r="D249" s="1" t="s">
        <v>41</v>
      </c>
      <c r="E249" s="1" t="s">
        <v>42</v>
      </c>
      <c r="F249" s="3"/>
      <c r="G249" s="1" t="s">
        <v>30</v>
      </c>
      <c r="H249" s="4">
        <v>0.2791666666666667</v>
      </c>
      <c r="I249" s="1" t="s">
        <v>295</v>
      </c>
      <c r="J249" s="1" t="s">
        <v>28</v>
      </c>
      <c r="K249" s="4">
        <v>0.5548611111111111</v>
      </c>
      <c r="L249" s="1" t="s">
        <v>323</v>
      </c>
      <c r="M249" s="1" t="s">
        <v>30</v>
      </c>
      <c r="N249" s="4">
        <v>0.7243055555555555</v>
      </c>
      <c r="O249" s="1" t="s">
        <v>397</v>
      </c>
      <c r="S249" s="1">
        <f t="shared" si="1"/>
        <v>43</v>
      </c>
      <c r="T249" s="1">
        <f t="shared" si="2"/>
        <v>1</v>
      </c>
      <c r="U249" s="5">
        <f t="shared" si="3"/>
        <v>43</v>
      </c>
      <c r="V249" s="5" t="s">
        <v>39</v>
      </c>
    </row>
    <row r="250">
      <c r="A250" s="1" t="s">
        <v>490</v>
      </c>
      <c r="B250" s="1" t="s">
        <v>496</v>
      </c>
      <c r="C250" s="2">
        <v>6.0</v>
      </c>
      <c r="D250" s="1" t="s">
        <v>55</v>
      </c>
      <c r="E250" s="1" t="s">
        <v>42</v>
      </c>
      <c r="F250" s="3"/>
      <c r="G250" s="1" t="s">
        <v>28</v>
      </c>
      <c r="H250" s="4">
        <v>0.025694444444444443</v>
      </c>
      <c r="I250" s="1" t="s">
        <v>147</v>
      </c>
      <c r="J250" s="1" t="s">
        <v>30</v>
      </c>
      <c r="K250" s="4">
        <v>0.3625</v>
      </c>
      <c r="L250" s="1" t="s">
        <v>326</v>
      </c>
      <c r="M250" s="1" t="s">
        <v>28</v>
      </c>
      <c r="N250" s="4">
        <v>0.6402777777777777</v>
      </c>
      <c r="O250" s="1" t="s">
        <v>230</v>
      </c>
      <c r="P250" s="1" t="s">
        <v>30</v>
      </c>
      <c r="Q250" s="4">
        <v>0.8236111111111111</v>
      </c>
      <c r="R250" s="1" t="s">
        <v>113</v>
      </c>
      <c r="S250" s="1">
        <f t="shared" si="1"/>
        <v>93</v>
      </c>
      <c r="T250" s="1">
        <f t="shared" si="2"/>
        <v>17</v>
      </c>
      <c r="U250" s="5">
        <f t="shared" si="3"/>
        <v>93</v>
      </c>
      <c r="V250" s="5" t="s">
        <v>90</v>
      </c>
    </row>
    <row r="251">
      <c r="A251" s="1" t="s">
        <v>490</v>
      </c>
      <c r="B251" s="1" t="s">
        <v>496</v>
      </c>
      <c r="C251" s="2">
        <v>7.0</v>
      </c>
      <c r="D251" s="1" t="s">
        <v>25</v>
      </c>
      <c r="E251" s="6"/>
      <c r="F251" s="3"/>
      <c r="G251" s="1" t="s">
        <v>28</v>
      </c>
      <c r="H251" s="4">
        <v>0.10208333333333333</v>
      </c>
      <c r="I251" s="1" t="s">
        <v>78</v>
      </c>
      <c r="J251" s="1" t="s">
        <v>30</v>
      </c>
      <c r="K251" s="4">
        <v>0.4125</v>
      </c>
      <c r="L251" s="1" t="s">
        <v>134</v>
      </c>
      <c r="M251" s="1" t="s">
        <v>28</v>
      </c>
      <c r="N251" s="4">
        <v>0.6770833333333334</v>
      </c>
      <c r="O251" s="1" t="s">
        <v>183</v>
      </c>
      <c r="P251" s="1" t="s">
        <v>30</v>
      </c>
      <c r="Q251" s="4">
        <v>0.8916666666666667</v>
      </c>
      <c r="R251" s="1" t="s">
        <v>225</v>
      </c>
      <c r="S251" s="1">
        <f t="shared" si="1"/>
        <v>112</v>
      </c>
      <c r="T251" s="1">
        <f t="shared" si="2"/>
        <v>41</v>
      </c>
      <c r="U251" s="5">
        <f t="shared" si="3"/>
        <v>112</v>
      </c>
      <c r="V251" s="5" t="s">
        <v>90</v>
      </c>
    </row>
    <row r="252">
      <c r="A252" s="1" t="s">
        <v>490</v>
      </c>
      <c r="B252" s="1" t="s">
        <v>496</v>
      </c>
      <c r="C252" s="2">
        <v>8.0</v>
      </c>
      <c r="D252" s="1" t="s">
        <v>75</v>
      </c>
      <c r="E252" s="6"/>
      <c r="F252" s="3"/>
      <c r="G252" s="1" t="s">
        <v>28</v>
      </c>
      <c r="H252" s="4">
        <v>0.1527777777777778</v>
      </c>
      <c r="I252" s="1" t="s">
        <v>298</v>
      </c>
      <c r="J252" s="1" t="s">
        <v>30</v>
      </c>
      <c r="K252" s="4">
        <v>0.44722222222222224</v>
      </c>
      <c r="L252" s="1" t="s">
        <v>110</v>
      </c>
      <c r="M252" s="1" t="s">
        <v>28</v>
      </c>
      <c r="N252" s="4">
        <v>0.7027777777777777</v>
      </c>
      <c r="O252" s="1" t="s">
        <v>179</v>
      </c>
      <c r="P252" s="1" t="s">
        <v>30</v>
      </c>
      <c r="Q252" s="4">
        <v>0.9333333333333333</v>
      </c>
      <c r="R252" s="1" t="s">
        <v>422</v>
      </c>
      <c r="S252" s="1">
        <f t="shared" si="1"/>
        <v>136</v>
      </c>
      <c r="T252" s="1">
        <f t="shared" si="2"/>
        <v>69</v>
      </c>
      <c r="U252" s="5">
        <f t="shared" si="3"/>
        <v>136</v>
      </c>
      <c r="V252" s="5" t="s">
        <v>47</v>
      </c>
    </row>
    <row r="253">
      <c r="A253" s="1" t="s">
        <v>490</v>
      </c>
      <c r="B253" s="1" t="s">
        <v>496</v>
      </c>
      <c r="C253" s="2">
        <v>9.0</v>
      </c>
      <c r="D253" s="1" t="s">
        <v>86</v>
      </c>
      <c r="E253" s="6"/>
      <c r="F253" s="3"/>
      <c r="G253" s="1" t="s">
        <v>28</v>
      </c>
      <c r="H253" s="4">
        <v>0.18958333333333333</v>
      </c>
      <c r="I253" s="1" t="s">
        <v>417</v>
      </c>
      <c r="J253" s="1" t="s">
        <v>30</v>
      </c>
      <c r="K253" s="4">
        <v>0.47430555555555554</v>
      </c>
      <c r="L253" s="1" t="s">
        <v>182</v>
      </c>
      <c r="M253" s="1" t="s">
        <v>28</v>
      </c>
      <c r="N253" s="4">
        <v>0.725</v>
      </c>
      <c r="O253" s="1" t="s">
        <v>410</v>
      </c>
      <c r="P253" s="1" t="s">
        <v>30</v>
      </c>
      <c r="Q253" s="4">
        <v>0.9652777777777778</v>
      </c>
      <c r="R253" s="1" t="s">
        <v>120</v>
      </c>
      <c r="S253" s="1">
        <f t="shared" si="1"/>
        <v>153</v>
      </c>
      <c r="T253" s="1">
        <f t="shared" si="2"/>
        <v>96</v>
      </c>
      <c r="U253" s="5">
        <f t="shared" si="3"/>
        <v>153</v>
      </c>
      <c r="V253" s="5" t="s">
        <v>47</v>
      </c>
    </row>
    <row r="254">
      <c r="A254" s="1" t="s">
        <v>490</v>
      </c>
      <c r="B254" s="1" t="s">
        <v>496</v>
      </c>
      <c r="C254" s="2">
        <v>10.0</v>
      </c>
      <c r="D254" s="1" t="s">
        <v>26</v>
      </c>
      <c r="E254" s="6"/>
      <c r="F254" s="7" t="s">
        <v>143</v>
      </c>
      <c r="G254" s="1" t="s">
        <v>28</v>
      </c>
      <c r="H254" s="4">
        <v>0.22083333333333333</v>
      </c>
      <c r="I254" s="1" t="s">
        <v>492</v>
      </c>
      <c r="J254" s="1" t="s">
        <v>30</v>
      </c>
      <c r="K254" s="4">
        <v>0.4979166666666667</v>
      </c>
      <c r="L254" s="1" t="s">
        <v>174</v>
      </c>
      <c r="M254" s="1" t="s">
        <v>28</v>
      </c>
      <c r="N254" s="4">
        <v>0.7458333333333333</v>
      </c>
      <c r="O254" s="1" t="s">
        <v>385</v>
      </c>
      <c r="P254" s="1" t="s">
        <v>30</v>
      </c>
      <c r="Q254" s="4">
        <v>0.9930555555555556</v>
      </c>
      <c r="R254" s="1" t="s">
        <v>114</v>
      </c>
      <c r="S254" s="1">
        <f t="shared" si="1"/>
        <v>163</v>
      </c>
      <c r="T254" s="1">
        <f t="shared" si="2"/>
        <v>117</v>
      </c>
      <c r="U254" s="5">
        <f t="shared" si="3"/>
        <v>163</v>
      </c>
      <c r="V254" s="5" t="s">
        <v>47</v>
      </c>
    </row>
    <row r="255">
      <c r="A255" s="1" t="s">
        <v>498</v>
      </c>
      <c r="B255" s="1" t="s">
        <v>496</v>
      </c>
      <c r="C255" s="2">
        <v>11.0</v>
      </c>
      <c r="D255" s="1" t="s">
        <v>34</v>
      </c>
      <c r="E255" s="6"/>
      <c r="F255" s="3"/>
      <c r="G255" s="1" t="s">
        <v>28</v>
      </c>
      <c r="H255" s="4">
        <v>0.24930555555555556</v>
      </c>
      <c r="I255" s="1" t="s">
        <v>477</v>
      </c>
      <c r="J255" s="1" t="s">
        <v>30</v>
      </c>
      <c r="K255" s="4">
        <v>0.5194444444444445</v>
      </c>
      <c r="L255" s="1" t="s">
        <v>313</v>
      </c>
      <c r="M255" s="1" t="s">
        <v>28</v>
      </c>
      <c r="N255" s="4">
        <v>0.7666666666666667</v>
      </c>
      <c r="O255" s="1" t="s">
        <v>205</v>
      </c>
      <c r="S255" s="1">
        <f t="shared" si="1"/>
        <v>160</v>
      </c>
      <c r="T255" s="1">
        <f t="shared" si="2"/>
        <v>73</v>
      </c>
      <c r="U255" s="5">
        <f t="shared" si="3"/>
        <v>160</v>
      </c>
      <c r="V255" s="5" t="s">
        <v>47</v>
      </c>
    </row>
    <row r="256">
      <c r="A256" s="1" t="s">
        <v>498</v>
      </c>
      <c r="B256" s="1" t="s">
        <v>496</v>
      </c>
      <c r="C256" s="2">
        <v>12.0</v>
      </c>
      <c r="D256" s="1" t="s">
        <v>41</v>
      </c>
      <c r="E256" s="1" t="s">
        <v>42</v>
      </c>
      <c r="F256" s="3"/>
      <c r="G256" s="1" t="s">
        <v>30</v>
      </c>
      <c r="H256" s="4">
        <v>0.019444444444444445</v>
      </c>
      <c r="I256" s="1" t="s">
        <v>99</v>
      </c>
      <c r="J256" s="1" t="s">
        <v>28</v>
      </c>
      <c r="K256" s="4">
        <v>0.27569444444444446</v>
      </c>
      <c r="L256" s="1" t="s">
        <v>478</v>
      </c>
      <c r="M256" s="1" t="s">
        <v>30</v>
      </c>
      <c r="N256" s="4">
        <v>0.5381944444444444</v>
      </c>
      <c r="O256" s="1" t="s">
        <v>99</v>
      </c>
      <c r="P256" s="1" t="s">
        <v>28</v>
      </c>
      <c r="Q256" s="4">
        <v>0.7861111111111111</v>
      </c>
      <c r="R256" s="1" t="s">
        <v>497</v>
      </c>
      <c r="S256" s="1">
        <f t="shared" si="1"/>
        <v>149</v>
      </c>
      <c r="T256" s="1">
        <f t="shared" si="2"/>
        <v>136</v>
      </c>
      <c r="U256" s="5">
        <f t="shared" si="3"/>
        <v>149</v>
      </c>
      <c r="V256" s="5" t="s">
        <v>47</v>
      </c>
    </row>
    <row r="257">
      <c r="A257" s="1" t="s">
        <v>498</v>
      </c>
      <c r="B257" s="1" t="s">
        <v>496</v>
      </c>
      <c r="C257" s="2">
        <v>13.0</v>
      </c>
      <c r="D257" s="1" t="s">
        <v>55</v>
      </c>
      <c r="E257" s="1" t="s">
        <v>42</v>
      </c>
      <c r="F257" s="3"/>
      <c r="G257" s="1" t="s">
        <v>30</v>
      </c>
      <c r="H257" s="4">
        <v>0.04513888888888889</v>
      </c>
      <c r="I257" s="1" t="s">
        <v>110</v>
      </c>
      <c r="J257" s="1" t="s">
        <v>28</v>
      </c>
      <c r="K257" s="4">
        <v>0.30069444444444443</v>
      </c>
      <c r="L257" s="1" t="s">
        <v>493</v>
      </c>
      <c r="M257" s="1" t="s">
        <v>30</v>
      </c>
      <c r="N257" s="4">
        <v>0.5555555555555556</v>
      </c>
      <c r="O257" s="1" t="s">
        <v>134</v>
      </c>
      <c r="P257" s="1" t="s">
        <v>28</v>
      </c>
      <c r="Q257" s="4">
        <v>0.8055555555555556</v>
      </c>
      <c r="R257" s="1" t="s">
        <v>497</v>
      </c>
      <c r="S257" s="1">
        <f t="shared" si="1"/>
        <v>142</v>
      </c>
      <c r="T257" s="1">
        <f t="shared" si="2"/>
        <v>128</v>
      </c>
      <c r="U257" s="5">
        <f t="shared" si="3"/>
        <v>142</v>
      </c>
      <c r="V257" s="5" t="s">
        <v>47</v>
      </c>
    </row>
    <row r="258">
      <c r="A258" s="1" t="s">
        <v>498</v>
      </c>
      <c r="B258" s="1" t="s">
        <v>496</v>
      </c>
      <c r="C258" s="2">
        <v>14.0</v>
      </c>
      <c r="D258" s="1" t="s">
        <v>25</v>
      </c>
      <c r="E258" s="6"/>
      <c r="F258" s="3"/>
      <c r="G258" s="1" t="s">
        <v>30</v>
      </c>
      <c r="H258" s="4">
        <v>0.06944444444444445</v>
      </c>
      <c r="I258" s="1" t="s">
        <v>45</v>
      </c>
      <c r="J258" s="1" t="s">
        <v>28</v>
      </c>
      <c r="K258" s="4">
        <v>0.32430555555555557</v>
      </c>
      <c r="L258" s="1" t="s">
        <v>436</v>
      </c>
      <c r="M258" s="1" t="s">
        <v>30</v>
      </c>
      <c r="N258" s="4">
        <v>0.5722222222222222</v>
      </c>
      <c r="O258" s="1" t="s">
        <v>333</v>
      </c>
      <c r="P258" s="1" t="s">
        <v>28</v>
      </c>
      <c r="Q258" s="4">
        <v>0.825</v>
      </c>
      <c r="R258" s="1" t="s">
        <v>211</v>
      </c>
      <c r="S258" s="1">
        <f t="shared" si="1"/>
        <v>127</v>
      </c>
      <c r="T258" s="1">
        <f t="shared" si="2"/>
        <v>118</v>
      </c>
      <c r="U258" s="5">
        <f t="shared" si="3"/>
        <v>127</v>
      </c>
      <c r="V258" s="5" t="s">
        <v>47</v>
      </c>
    </row>
    <row r="259">
      <c r="A259" s="1" t="s">
        <v>498</v>
      </c>
      <c r="B259" s="1" t="s">
        <v>496</v>
      </c>
      <c r="C259" s="2">
        <v>15.0</v>
      </c>
      <c r="D259" s="1" t="s">
        <v>75</v>
      </c>
      <c r="E259" s="6"/>
      <c r="F259" s="3"/>
      <c r="G259" s="1" t="s">
        <v>30</v>
      </c>
      <c r="H259" s="4">
        <v>0.09375</v>
      </c>
      <c r="I259" s="1" t="s">
        <v>257</v>
      </c>
      <c r="J259" s="1" t="s">
        <v>28</v>
      </c>
      <c r="K259" s="4">
        <v>0.3472222222222222</v>
      </c>
      <c r="L259" s="1" t="s">
        <v>267</v>
      </c>
      <c r="M259" s="1" t="s">
        <v>30</v>
      </c>
      <c r="N259" s="4">
        <v>0.5881944444444445</v>
      </c>
      <c r="O259" s="1" t="s">
        <v>250</v>
      </c>
      <c r="P259" s="1" t="s">
        <v>28</v>
      </c>
      <c r="Q259" s="4">
        <v>0.8444444444444444</v>
      </c>
      <c r="R259" s="1" t="s">
        <v>46</v>
      </c>
      <c r="S259" s="1">
        <f t="shared" si="1"/>
        <v>106</v>
      </c>
      <c r="T259" s="1">
        <f t="shared" si="2"/>
        <v>105</v>
      </c>
      <c r="U259" s="5">
        <f t="shared" si="3"/>
        <v>106</v>
      </c>
      <c r="V259" s="5" t="s">
        <v>90</v>
      </c>
    </row>
    <row r="260">
      <c r="A260" s="1" t="s">
        <v>498</v>
      </c>
      <c r="B260" s="1" t="s">
        <v>496</v>
      </c>
      <c r="C260" s="2">
        <v>16.0</v>
      </c>
      <c r="D260" s="1" t="s">
        <v>86</v>
      </c>
      <c r="E260" s="6"/>
      <c r="F260" s="3"/>
      <c r="G260" s="1" t="s">
        <v>30</v>
      </c>
      <c r="H260" s="4">
        <v>0.11944444444444445</v>
      </c>
      <c r="I260" s="1" t="s">
        <v>115</v>
      </c>
      <c r="J260" s="1" t="s">
        <v>28</v>
      </c>
      <c r="K260" s="4">
        <v>0.37083333333333335</v>
      </c>
      <c r="L260" s="1" t="s">
        <v>262</v>
      </c>
      <c r="M260" s="1" t="s">
        <v>30</v>
      </c>
      <c r="N260" s="4">
        <v>0.6041666666666666</v>
      </c>
      <c r="O260" s="1" t="s">
        <v>334</v>
      </c>
      <c r="P260" s="1" t="s">
        <v>28</v>
      </c>
      <c r="Q260" s="4">
        <v>0.8652777777777778</v>
      </c>
      <c r="R260" s="1" t="s">
        <v>38</v>
      </c>
      <c r="S260" s="1">
        <f t="shared" si="1"/>
        <v>83</v>
      </c>
      <c r="T260" s="1">
        <f t="shared" si="2"/>
        <v>90</v>
      </c>
      <c r="U260" s="5">
        <f t="shared" si="3"/>
        <v>90</v>
      </c>
      <c r="V260" s="5" t="s">
        <v>39</v>
      </c>
    </row>
    <row r="261">
      <c r="A261" s="1" t="s">
        <v>498</v>
      </c>
      <c r="B261" s="1" t="s">
        <v>496</v>
      </c>
      <c r="C261" s="2">
        <v>17.0</v>
      </c>
      <c r="D261" s="1" t="s">
        <v>26</v>
      </c>
      <c r="E261" s="6"/>
      <c r="F261" s="3"/>
      <c r="G261" s="1" t="s">
        <v>30</v>
      </c>
      <c r="H261" s="4">
        <v>0.1486111111111111</v>
      </c>
      <c r="I261" s="1" t="s">
        <v>286</v>
      </c>
      <c r="J261" s="1" t="s">
        <v>28</v>
      </c>
      <c r="K261" s="4">
        <v>0.39791666666666664</v>
      </c>
      <c r="L261" s="1" t="s">
        <v>176</v>
      </c>
      <c r="M261" s="1" t="s">
        <v>30</v>
      </c>
      <c r="N261" s="4">
        <v>0.6208333333333333</v>
      </c>
      <c r="O261" s="1" t="s">
        <v>119</v>
      </c>
      <c r="P261" s="1" t="s">
        <v>28</v>
      </c>
      <c r="Q261" s="4">
        <v>0.8888888888888888</v>
      </c>
      <c r="R261" s="1" t="s">
        <v>388</v>
      </c>
      <c r="S261" s="1">
        <f t="shared" si="1"/>
        <v>59</v>
      </c>
      <c r="T261" s="1">
        <f t="shared" si="2"/>
        <v>72</v>
      </c>
      <c r="U261" s="5">
        <f t="shared" si="3"/>
        <v>72</v>
      </c>
      <c r="V261" s="5" t="s">
        <v>39</v>
      </c>
    </row>
    <row r="262">
      <c r="A262" s="1" t="s">
        <v>498</v>
      </c>
      <c r="B262" s="1" t="s">
        <v>496</v>
      </c>
      <c r="C262" s="2">
        <v>18.0</v>
      </c>
      <c r="D262" s="1" t="s">
        <v>34</v>
      </c>
      <c r="E262" s="6"/>
      <c r="F262" s="7" t="s">
        <v>184</v>
      </c>
      <c r="G262" s="1" t="s">
        <v>30</v>
      </c>
      <c r="H262" s="4">
        <v>0.18611111111111112</v>
      </c>
      <c r="I262" s="1" t="s">
        <v>334</v>
      </c>
      <c r="J262" s="1" t="s">
        <v>28</v>
      </c>
      <c r="K262" s="4">
        <v>0.4388888888888889</v>
      </c>
      <c r="L262" s="1" t="s">
        <v>157</v>
      </c>
      <c r="M262" s="1" t="s">
        <v>30</v>
      </c>
      <c r="N262" s="4">
        <v>0.6409722222222223</v>
      </c>
      <c r="O262" s="1" t="s">
        <v>331</v>
      </c>
      <c r="P262" s="1" t="s">
        <v>28</v>
      </c>
      <c r="Q262" s="4">
        <v>0.9215277777777777</v>
      </c>
      <c r="R262" s="1" t="s">
        <v>301</v>
      </c>
      <c r="S262" s="1">
        <f t="shared" si="1"/>
        <v>37</v>
      </c>
      <c r="T262" s="1">
        <f t="shared" si="2"/>
        <v>54</v>
      </c>
      <c r="U262" s="5">
        <f t="shared" si="3"/>
        <v>54</v>
      </c>
      <c r="V262" s="5" t="s">
        <v>39</v>
      </c>
    </row>
    <row r="263">
      <c r="A263" s="1" t="s">
        <v>498</v>
      </c>
      <c r="B263" s="1" t="s">
        <v>496</v>
      </c>
      <c r="C263" s="2">
        <v>19.0</v>
      </c>
      <c r="D263" s="1" t="s">
        <v>41</v>
      </c>
      <c r="E263" s="1" t="s">
        <v>42</v>
      </c>
      <c r="F263" s="3"/>
      <c r="G263" s="1" t="s">
        <v>30</v>
      </c>
      <c r="H263" s="4">
        <v>0.25</v>
      </c>
      <c r="I263" s="1" t="s">
        <v>235</v>
      </c>
      <c r="J263" s="1" t="s">
        <v>330</v>
      </c>
      <c r="K263" s="4">
        <v>0.5458333333333333</v>
      </c>
      <c r="L263" s="1" t="s">
        <v>222</v>
      </c>
      <c r="M263" s="1" t="s">
        <v>330</v>
      </c>
      <c r="N263" s="4">
        <v>0.68125</v>
      </c>
      <c r="O263" s="1" t="s">
        <v>29</v>
      </c>
      <c r="P263" s="1" t="s">
        <v>28</v>
      </c>
      <c r="Q263" s="4">
        <v>0.9798611111111111</v>
      </c>
      <c r="R263" s="1" t="s">
        <v>192</v>
      </c>
      <c r="S263" s="1">
        <f t="shared" si="1"/>
        <v>24</v>
      </c>
      <c r="T263" s="1">
        <f t="shared" si="2"/>
        <v>36</v>
      </c>
      <c r="U263" s="5">
        <f t="shared" si="3"/>
        <v>36</v>
      </c>
      <c r="V263" s="5" t="s">
        <v>39</v>
      </c>
    </row>
    <row r="264">
      <c r="A264" s="1" t="s">
        <v>498</v>
      </c>
      <c r="B264" s="1" t="s">
        <v>496</v>
      </c>
      <c r="C264" s="2">
        <v>20.0</v>
      </c>
      <c r="D264" s="1" t="s">
        <v>55</v>
      </c>
      <c r="E264" s="1" t="s">
        <v>42</v>
      </c>
      <c r="F264" s="3"/>
      <c r="G264" s="1" t="s">
        <v>30</v>
      </c>
      <c r="H264" s="4">
        <v>0.3486111111111111</v>
      </c>
      <c r="I264" s="1" t="s">
        <v>481</v>
      </c>
      <c r="J264" s="1" t="s">
        <v>28</v>
      </c>
      <c r="K264" s="4">
        <v>0.6368055555555555</v>
      </c>
      <c r="L264" s="1" t="s">
        <v>111</v>
      </c>
      <c r="M264" s="1" t="s">
        <v>30</v>
      </c>
      <c r="N264" s="4">
        <v>0.7881944444444444</v>
      </c>
      <c r="O264" s="1" t="s">
        <v>36</v>
      </c>
      <c r="S264" s="1">
        <f t="shared" si="1"/>
        <v>33</v>
      </c>
      <c r="T264" s="1">
        <f t="shared" si="2"/>
        <v>7</v>
      </c>
      <c r="U264" s="5">
        <f t="shared" si="3"/>
        <v>33</v>
      </c>
      <c r="V264" s="5" t="s">
        <v>39</v>
      </c>
    </row>
    <row r="265">
      <c r="A265" s="1" t="s">
        <v>498</v>
      </c>
      <c r="B265" s="1" t="s">
        <v>496</v>
      </c>
      <c r="C265" s="2">
        <v>21.0</v>
      </c>
      <c r="D265" s="1" t="s">
        <v>25</v>
      </c>
      <c r="E265" s="6"/>
      <c r="F265" s="3"/>
      <c r="G265" s="1" t="s">
        <v>28</v>
      </c>
      <c r="H265" s="4">
        <v>0.06944444444444445</v>
      </c>
      <c r="I265" s="1" t="s">
        <v>192</v>
      </c>
      <c r="J265" s="1" t="s">
        <v>30</v>
      </c>
      <c r="K265" s="4">
        <v>0.3972222222222222</v>
      </c>
      <c r="L265" s="1" t="s">
        <v>236</v>
      </c>
      <c r="M265" s="1" t="s">
        <v>28</v>
      </c>
      <c r="N265" s="4">
        <v>0.6631944444444444</v>
      </c>
      <c r="O265" s="1" t="s">
        <v>176</v>
      </c>
      <c r="P265" s="1" t="s">
        <v>30</v>
      </c>
      <c r="Q265" s="4">
        <v>0.8645833333333334</v>
      </c>
      <c r="R265" s="1" t="s">
        <v>187</v>
      </c>
      <c r="S265" s="1">
        <f t="shared" si="1"/>
        <v>66</v>
      </c>
      <c r="T265" s="1">
        <f t="shared" si="2"/>
        <v>24</v>
      </c>
      <c r="U265" s="5">
        <f t="shared" si="3"/>
        <v>66</v>
      </c>
      <c r="V265" s="5" t="s">
        <v>39</v>
      </c>
    </row>
    <row r="266">
      <c r="A266" s="1" t="s">
        <v>498</v>
      </c>
      <c r="B266" s="1" t="s">
        <v>496</v>
      </c>
      <c r="C266" s="2">
        <v>22.0</v>
      </c>
      <c r="D266" s="1" t="s">
        <v>75</v>
      </c>
      <c r="E266" s="6"/>
      <c r="F266" s="3"/>
      <c r="G266" s="1" t="s">
        <v>28</v>
      </c>
      <c r="H266" s="4">
        <v>0.12430555555555556</v>
      </c>
      <c r="I266" s="1" t="s">
        <v>135</v>
      </c>
      <c r="J266" s="1" t="s">
        <v>30</v>
      </c>
      <c r="K266" s="4">
        <v>0.42430555555555555</v>
      </c>
      <c r="L266" s="1" t="s">
        <v>191</v>
      </c>
      <c r="M266" s="1" t="s">
        <v>28</v>
      </c>
      <c r="N266" s="4">
        <v>0.68125</v>
      </c>
      <c r="O266" s="1" t="s">
        <v>218</v>
      </c>
      <c r="P266" s="1" t="s">
        <v>30</v>
      </c>
      <c r="Q266" s="4">
        <v>0.9048611111111111</v>
      </c>
      <c r="R266" s="1" t="s">
        <v>116</v>
      </c>
      <c r="S266" s="1">
        <f t="shared" si="1"/>
        <v>84</v>
      </c>
      <c r="T266" s="1">
        <f t="shared" si="2"/>
        <v>45</v>
      </c>
      <c r="U266" s="5">
        <f t="shared" si="3"/>
        <v>84</v>
      </c>
      <c r="V266" s="5" t="s">
        <v>39</v>
      </c>
    </row>
    <row r="267">
      <c r="A267" s="1" t="s">
        <v>498</v>
      </c>
      <c r="B267" s="1" t="s">
        <v>496</v>
      </c>
      <c r="C267" s="2">
        <v>23.0</v>
      </c>
      <c r="D267" s="1" t="s">
        <v>86</v>
      </c>
      <c r="E267" s="6"/>
      <c r="F267" s="3"/>
      <c r="G267" s="1" t="s">
        <v>28</v>
      </c>
      <c r="H267" s="4">
        <v>0.15902777777777777</v>
      </c>
      <c r="I267" s="1" t="s">
        <v>337</v>
      </c>
      <c r="J267" s="1" t="s">
        <v>30</v>
      </c>
      <c r="K267" s="4">
        <v>0.4444444444444444</v>
      </c>
      <c r="L267" s="1" t="s">
        <v>224</v>
      </c>
      <c r="M267" s="1" t="s">
        <v>28</v>
      </c>
      <c r="N267" s="4">
        <v>0.6986111111111111</v>
      </c>
      <c r="O267" s="1" t="s">
        <v>179</v>
      </c>
      <c r="P267" s="1" t="s">
        <v>30</v>
      </c>
      <c r="Q267" s="4">
        <v>0.9333333333333333</v>
      </c>
      <c r="R267" s="1" t="s">
        <v>334</v>
      </c>
      <c r="S267" s="1">
        <f t="shared" si="1"/>
        <v>102</v>
      </c>
      <c r="T267" s="1">
        <f t="shared" si="2"/>
        <v>70</v>
      </c>
      <c r="U267" s="5">
        <f t="shared" si="3"/>
        <v>102</v>
      </c>
      <c r="V267" s="5" t="s">
        <v>90</v>
      </c>
    </row>
    <row r="268">
      <c r="A268" s="1" t="s">
        <v>498</v>
      </c>
      <c r="B268" s="1" t="s">
        <v>496</v>
      </c>
      <c r="C268" s="2">
        <v>24.0</v>
      </c>
      <c r="D268" s="1" t="s">
        <v>26</v>
      </c>
      <c r="E268" s="6"/>
      <c r="F268" s="3"/>
      <c r="G268" s="1" t="s">
        <v>28</v>
      </c>
      <c r="H268" s="4">
        <v>0.18611111111111112</v>
      </c>
      <c r="I268" s="1" t="s">
        <v>338</v>
      </c>
      <c r="J268" s="1" t="s">
        <v>30</v>
      </c>
      <c r="K268" s="4">
        <v>0.46319444444444446</v>
      </c>
      <c r="L268" s="1" t="s">
        <v>134</v>
      </c>
      <c r="M268" s="1" t="s">
        <v>28</v>
      </c>
      <c r="N268" s="4">
        <v>0.7145833333333333</v>
      </c>
      <c r="O268" s="1" t="s">
        <v>147</v>
      </c>
      <c r="P268" s="1" t="s">
        <v>30</v>
      </c>
      <c r="Q268" s="4">
        <v>0.9576388888888889</v>
      </c>
      <c r="R268" s="1" t="s">
        <v>326</v>
      </c>
      <c r="S268" s="1">
        <f t="shared" si="1"/>
        <v>119</v>
      </c>
      <c r="T268" s="1">
        <f t="shared" si="2"/>
        <v>93</v>
      </c>
      <c r="U268" s="5">
        <f t="shared" si="3"/>
        <v>119</v>
      </c>
      <c r="V268" s="5" t="s">
        <v>90</v>
      </c>
    </row>
    <row r="269">
      <c r="A269" s="1" t="s">
        <v>498</v>
      </c>
      <c r="B269" s="1" t="s">
        <v>496</v>
      </c>
      <c r="C269" s="2">
        <v>25.0</v>
      </c>
      <c r="D269" s="1" t="s">
        <v>34</v>
      </c>
      <c r="E269" s="1" t="s">
        <v>499</v>
      </c>
      <c r="F269" s="3"/>
      <c r="G269" s="1" t="s">
        <v>28</v>
      </c>
      <c r="H269" s="4">
        <v>0.21041666666666667</v>
      </c>
      <c r="I269" s="1" t="s">
        <v>497</v>
      </c>
      <c r="J269" s="1" t="s">
        <v>30</v>
      </c>
      <c r="K269" s="4">
        <v>0.48055555555555557</v>
      </c>
      <c r="L269" s="1" t="s">
        <v>37</v>
      </c>
      <c r="M269" s="1" t="s">
        <v>28</v>
      </c>
      <c r="N269" s="4">
        <v>0.73125</v>
      </c>
      <c r="O269" s="1" t="s">
        <v>38</v>
      </c>
      <c r="P269" s="1" t="s">
        <v>30</v>
      </c>
      <c r="Q269" s="4">
        <v>0.98125</v>
      </c>
      <c r="R269" s="1" t="s">
        <v>114</v>
      </c>
      <c r="S269" s="1">
        <f t="shared" si="1"/>
        <v>133</v>
      </c>
      <c r="T269" s="1">
        <f t="shared" si="2"/>
        <v>116</v>
      </c>
      <c r="U269" s="5">
        <f t="shared" si="3"/>
        <v>133</v>
      </c>
      <c r="V269" s="5" t="s">
        <v>47</v>
      </c>
    </row>
    <row r="270">
      <c r="A270" s="1" t="s">
        <v>498</v>
      </c>
      <c r="B270" s="1" t="s">
        <v>496</v>
      </c>
      <c r="C270" s="2">
        <v>26.0</v>
      </c>
      <c r="D270" s="1" t="s">
        <v>41</v>
      </c>
      <c r="E270" s="1" t="s">
        <v>42</v>
      </c>
      <c r="F270" s="7" t="s">
        <v>35</v>
      </c>
      <c r="G270" s="1" t="s">
        <v>28</v>
      </c>
      <c r="H270" s="4">
        <v>0.23402777777777778</v>
      </c>
      <c r="I270" s="1" t="s">
        <v>488</v>
      </c>
      <c r="J270" s="1" t="s">
        <v>30</v>
      </c>
      <c r="K270" s="4">
        <v>0.4986111111111111</v>
      </c>
      <c r="L270" s="1" t="s">
        <v>277</v>
      </c>
      <c r="M270" s="1" t="s">
        <v>28</v>
      </c>
      <c r="N270" s="4">
        <v>0.7486111111111111</v>
      </c>
      <c r="O270" s="1" t="s">
        <v>59</v>
      </c>
      <c r="S270" s="1">
        <f t="shared" si="1"/>
        <v>139</v>
      </c>
      <c r="T270" s="1">
        <f t="shared" si="2"/>
        <v>74</v>
      </c>
      <c r="U270" s="5">
        <f t="shared" si="3"/>
        <v>139</v>
      </c>
      <c r="V270" s="5" t="s">
        <v>47</v>
      </c>
    </row>
    <row r="271">
      <c r="A271" s="1" t="s">
        <v>498</v>
      </c>
      <c r="B271" s="1" t="s">
        <v>496</v>
      </c>
      <c r="C271" s="2">
        <v>27.0</v>
      </c>
      <c r="D271" s="1" t="s">
        <v>55</v>
      </c>
      <c r="E271" s="1" t="s">
        <v>42</v>
      </c>
      <c r="F271" s="3"/>
      <c r="G271" s="1" t="s">
        <v>30</v>
      </c>
      <c r="H271" s="4">
        <v>0.004861111111111111</v>
      </c>
      <c r="I271" s="1" t="s">
        <v>58</v>
      </c>
      <c r="J271" s="1" t="s">
        <v>28</v>
      </c>
      <c r="K271" s="4">
        <v>0.25833333333333336</v>
      </c>
      <c r="L271" s="1" t="s">
        <v>451</v>
      </c>
      <c r="M271" s="1" t="s">
        <v>30</v>
      </c>
      <c r="N271" s="4">
        <v>0.5166666666666667</v>
      </c>
      <c r="O271" s="1" t="s">
        <v>277</v>
      </c>
      <c r="P271" s="1" t="s">
        <v>28</v>
      </c>
      <c r="Q271" s="4">
        <v>0.7673611111111112</v>
      </c>
      <c r="R271" s="1" t="s">
        <v>488</v>
      </c>
      <c r="S271" s="1">
        <f t="shared" si="1"/>
        <v>146</v>
      </c>
      <c r="T271" s="1">
        <f t="shared" si="2"/>
        <v>139</v>
      </c>
      <c r="U271" s="5">
        <f t="shared" si="3"/>
        <v>146</v>
      </c>
      <c r="V271" s="5" t="s">
        <v>47</v>
      </c>
    </row>
    <row r="272">
      <c r="A272" s="1" t="s">
        <v>498</v>
      </c>
      <c r="B272" s="1" t="s">
        <v>496</v>
      </c>
      <c r="C272" s="2">
        <v>28.0</v>
      </c>
      <c r="D272" s="1" t="s">
        <v>25</v>
      </c>
      <c r="E272" s="1" t="s">
        <v>500</v>
      </c>
      <c r="F272" s="3"/>
      <c r="G272" s="1" t="s">
        <v>30</v>
      </c>
      <c r="H272" s="4">
        <v>0.029861111111111113</v>
      </c>
      <c r="I272" s="1" t="s">
        <v>185</v>
      </c>
      <c r="J272" s="1" t="s">
        <v>28</v>
      </c>
      <c r="K272" s="4">
        <v>0.2826388888888889</v>
      </c>
      <c r="L272" s="1" t="s">
        <v>497</v>
      </c>
      <c r="M272" s="1" t="s">
        <v>30</v>
      </c>
      <c r="N272" s="4">
        <v>0.5347222222222222</v>
      </c>
      <c r="O272" s="1" t="s">
        <v>469</v>
      </c>
      <c r="P272" s="1" t="s">
        <v>28</v>
      </c>
      <c r="Q272" s="4">
        <v>0.7875</v>
      </c>
      <c r="R272" s="1" t="s">
        <v>484</v>
      </c>
      <c r="S272" s="1">
        <f t="shared" si="1"/>
        <v>149</v>
      </c>
      <c r="T272" s="1">
        <f t="shared" si="2"/>
        <v>140</v>
      </c>
      <c r="U272" s="5">
        <f t="shared" si="3"/>
        <v>149</v>
      </c>
      <c r="V272" s="5" t="s">
        <v>47</v>
      </c>
    </row>
    <row r="273">
      <c r="A273" s="1" t="s">
        <v>498</v>
      </c>
      <c r="B273" s="1" t="s">
        <v>496</v>
      </c>
      <c r="C273" s="2">
        <v>29.0</v>
      </c>
      <c r="D273" s="1" t="s">
        <v>75</v>
      </c>
      <c r="E273" s="6"/>
      <c r="F273" s="3"/>
      <c r="G273" s="1" t="s">
        <v>30</v>
      </c>
      <c r="H273" s="4">
        <v>0.05555555555555555</v>
      </c>
      <c r="I273" s="1" t="s">
        <v>252</v>
      </c>
      <c r="J273" s="1" t="s">
        <v>28</v>
      </c>
      <c r="K273" s="4">
        <v>0.30833333333333335</v>
      </c>
      <c r="L273" s="1" t="s">
        <v>338</v>
      </c>
      <c r="M273" s="1" t="s">
        <v>30</v>
      </c>
      <c r="N273" s="4">
        <v>0.5541666666666667</v>
      </c>
      <c r="O273" s="1" t="s">
        <v>118</v>
      </c>
      <c r="P273" s="1" t="s">
        <v>28</v>
      </c>
      <c r="Q273" s="4">
        <v>0.8097222222222222</v>
      </c>
      <c r="R273" s="1" t="s">
        <v>484</v>
      </c>
      <c r="S273" s="1">
        <f t="shared" si="1"/>
        <v>144</v>
      </c>
      <c r="T273" s="1">
        <f t="shared" si="2"/>
        <v>135</v>
      </c>
      <c r="U273" s="5">
        <f t="shared" si="3"/>
        <v>144</v>
      </c>
      <c r="V273" s="5" t="s">
        <v>47</v>
      </c>
    </row>
    <row r="274">
      <c r="A274" s="1" t="s">
        <v>498</v>
      </c>
      <c r="B274" s="1" t="s">
        <v>496</v>
      </c>
      <c r="C274" s="2">
        <v>30.0</v>
      </c>
      <c r="D274" s="1" t="s">
        <v>86</v>
      </c>
      <c r="E274" s="6"/>
      <c r="F274" s="3"/>
      <c r="G274" s="1" t="s">
        <v>30</v>
      </c>
      <c r="H274" s="4">
        <v>0.08333333333333333</v>
      </c>
      <c r="I274" s="1" t="s">
        <v>215</v>
      </c>
      <c r="J274" s="1" t="s">
        <v>28</v>
      </c>
      <c r="K274" s="4">
        <v>0.33541666666666664</v>
      </c>
      <c r="L274" s="1" t="s">
        <v>147</v>
      </c>
      <c r="M274" s="1" t="s">
        <v>30</v>
      </c>
      <c r="N274" s="4">
        <v>0.5736111111111111</v>
      </c>
      <c r="O274" s="1" t="s">
        <v>446</v>
      </c>
      <c r="P274" s="1" t="s">
        <v>28</v>
      </c>
      <c r="Q274" s="4">
        <v>0.8340277777777778</v>
      </c>
      <c r="R274" s="1" t="s">
        <v>488</v>
      </c>
      <c r="S274" s="1">
        <f t="shared" si="1"/>
        <v>128</v>
      </c>
      <c r="T274" s="1">
        <f t="shared" si="2"/>
        <v>123</v>
      </c>
      <c r="U274" s="5">
        <f t="shared" si="3"/>
        <v>128</v>
      </c>
      <c r="V274" s="5" t="s">
        <v>47</v>
      </c>
    </row>
    <row r="275">
      <c r="A275" s="1" t="s">
        <v>498</v>
      </c>
      <c r="B275" s="1" t="s">
        <v>501</v>
      </c>
      <c r="C275" s="2">
        <v>1.0</v>
      </c>
      <c r="D275" s="1" t="s">
        <v>26</v>
      </c>
      <c r="E275" s="6"/>
      <c r="F275" s="3"/>
      <c r="G275" s="1" t="s">
        <v>30</v>
      </c>
      <c r="H275" s="4">
        <v>0.11458333333333333</v>
      </c>
      <c r="I275" s="1" t="s">
        <v>182</v>
      </c>
      <c r="J275" s="1" t="s">
        <v>28</v>
      </c>
      <c r="K275" s="4">
        <v>0.3659722222222222</v>
      </c>
      <c r="L275" s="1" t="s">
        <v>192</v>
      </c>
      <c r="M275" s="1" t="s">
        <v>30</v>
      </c>
      <c r="N275" s="4">
        <v>0.5951388888888889</v>
      </c>
      <c r="O275" s="1" t="s">
        <v>295</v>
      </c>
      <c r="P275" s="1" t="s">
        <v>28</v>
      </c>
      <c r="Q275" s="4">
        <v>0.8618055555555556</v>
      </c>
      <c r="R275" s="1" t="s">
        <v>59</v>
      </c>
      <c r="S275" s="1">
        <f t="shared" si="1"/>
        <v>105</v>
      </c>
      <c r="T275" s="1">
        <f t="shared" si="2"/>
        <v>106</v>
      </c>
      <c r="U275" s="5">
        <f t="shared" si="3"/>
        <v>106</v>
      </c>
      <c r="V275" s="5" t="s">
        <v>90</v>
      </c>
    </row>
    <row r="276">
      <c r="A276" s="1" t="s">
        <v>498</v>
      </c>
      <c r="B276" s="1" t="s">
        <v>501</v>
      </c>
      <c r="C276" s="2">
        <v>2.0</v>
      </c>
      <c r="D276" s="1" t="s">
        <v>34</v>
      </c>
      <c r="E276" s="6"/>
      <c r="F276" s="7" t="s">
        <v>107</v>
      </c>
      <c r="G276" s="1" t="s">
        <v>30</v>
      </c>
      <c r="H276" s="4">
        <v>0.15347222222222223</v>
      </c>
      <c r="I276" s="1" t="s">
        <v>37</v>
      </c>
      <c r="J276" s="1" t="s">
        <v>28</v>
      </c>
      <c r="K276" s="4">
        <v>0.4048611111111111</v>
      </c>
      <c r="L276" s="1" t="s">
        <v>173</v>
      </c>
      <c r="M276" s="1" t="s">
        <v>30</v>
      </c>
      <c r="N276" s="4">
        <v>0.6201388888888889</v>
      </c>
      <c r="O276" s="1" t="s">
        <v>355</v>
      </c>
      <c r="P276" s="1" t="s">
        <v>28</v>
      </c>
      <c r="Q276" s="4">
        <v>0.8972222222222223</v>
      </c>
      <c r="R276" s="1" t="s">
        <v>78</v>
      </c>
      <c r="S276" s="1">
        <f t="shared" si="1"/>
        <v>76</v>
      </c>
      <c r="T276" s="1">
        <f t="shared" si="2"/>
        <v>83</v>
      </c>
      <c r="U276" s="5">
        <f t="shared" si="3"/>
        <v>83</v>
      </c>
      <c r="V276" s="5" t="s">
        <v>39</v>
      </c>
    </row>
    <row r="277">
      <c r="A277" s="1" t="s">
        <v>498</v>
      </c>
      <c r="B277" s="1" t="s">
        <v>501</v>
      </c>
      <c r="C277" s="2">
        <v>3.0</v>
      </c>
      <c r="D277" s="1" t="s">
        <v>41</v>
      </c>
      <c r="E277" s="1" t="s">
        <v>42</v>
      </c>
      <c r="F277" s="3"/>
      <c r="G277" s="1" t="s">
        <v>30</v>
      </c>
      <c r="H277" s="4">
        <v>0.20694444444444443</v>
      </c>
      <c r="I277" s="1" t="s">
        <v>117</v>
      </c>
      <c r="J277" s="1" t="s">
        <v>28</v>
      </c>
      <c r="K277" s="4">
        <v>0.47152777777777777</v>
      </c>
      <c r="L277" s="1" t="s">
        <v>145</v>
      </c>
      <c r="M277" s="1" t="s">
        <v>30</v>
      </c>
      <c r="N277" s="4">
        <v>0.6576388888888889</v>
      </c>
      <c r="O277" s="1" t="s">
        <v>225</v>
      </c>
      <c r="P277" s="1" t="s">
        <v>28</v>
      </c>
      <c r="Q277" s="4">
        <v>0.95</v>
      </c>
      <c r="R277" s="1" t="s">
        <v>307</v>
      </c>
      <c r="S277" s="1">
        <f t="shared" si="1"/>
        <v>52</v>
      </c>
      <c r="T277" s="1">
        <f t="shared" si="2"/>
        <v>60</v>
      </c>
      <c r="U277" s="5">
        <f t="shared" si="3"/>
        <v>60</v>
      </c>
      <c r="V277" s="5" t="s">
        <v>39</v>
      </c>
    </row>
    <row r="278">
      <c r="A278" s="1" t="s">
        <v>498</v>
      </c>
      <c r="B278" s="1" t="s">
        <v>501</v>
      </c>
      <c r="C278" s="2">
        <v>4.0</v>
      </c>
      <c r="D278" s="1" t="s">
        <v>55</v>
      </c>
      <c r="E278" s="1" t="s">
        <v>42</v>
      </c>
      <c r="F278" s="3"/>
      <c r="G278" s="1" t="s">
        <v>30</v>
      </c>
      <c r="H278" s="4">
        <v>0.28958333333333336</v>
      </c>
      <c r="I278" s="1" t="s">
        <v>127</v>
      </c>
      <c r="J278" s="1" t="s">
        <v>28</v>
      </c>
      <c r="K278" s="4">
        <v>0.575</v>
      </c>
      <c r="L278" s="1" t="s">
        <v>359</v>
      </c>
      <c r="M278" s="1" t="s">
        <v>30</v>
      </c>
      <c r="N278" s="4">
        <v>0.7444444444444445</v>
      </c>
      <c r="O278" s="1" t="s">
        <v>130</v>
      </c>
      <c r="S278" s="1">
        <f t="shared" si="1"/>
        <v>49</v>
      </c>
      <c r="T278" s="1">
        <f t="shared" si="2"/>
        <v>2</v>
      </c>
      <c r="U278" s="5">
        <f t="shared" si="3"/>
        <v>49</v>
      </c>
      <c r="V278" s="5" t="s">
        <v>39</v>
      </c>
    </row>
    <row r="279">
      <c r="A279" s="1" t="s">
        <v>498</v>
      </c>
      <c r="B279" s="1" t="s">
        <v>501</v>
      </c>
      <c r="C279" s="2">
        <v>5.0</v>
      </c>
      <c r="D279" s="1" t="s">
        <v>25</v>
      </c>
      <c r="E279" s="6"/>
      <c r="F279" s="3"/>
      <c r="G279" s="1" t="s">
        <v>28</v>
      </c>
      <c r="H279" s="4">
        <v>0.03194444444444444</v>
      </c>
      <c r="I279" s="1" t="s">
        <v>335</v>
      </c>
      <c r="J279" s="1" t="s">
        <v>30</v>
      </c>
      <c r="K279" s="4">
        <v>0.35833333333333334</v>
      </c>
      <c r="L279" s="1" t="s">
        <v>223</v>
      </c>
      <c r="M279" s="1" t="s">
        <v>28</v>
      </c>
      <c r="N279" s="4">
        <v>0.6291666666666667</v>
      </c>
      <c r="O279" s="1" t="s">
        <v>296</v>
      </c>
      <c r="P279" s="1" t="s">
        <v>30</v>
      </c>
      <c r="Q279" s="4">
        <v>0.8423611111111111</v>
      </c>
      <c r="R279" s="1" t="s">
        <v>225</v>
      </c>
      <c r="S279" s="1">
        <f t="shared" si="1"/>
        <v>92</v>
      </c>
      <c r="T279" s="1">
        <f t="shared" si="2"/>
        <v>29</v>
      </c>
      <c r="U279" s="5">
        <f t="shared" si="3"/>
        <v>92</v>
      </c>
      <c r="V279" s="5" t="s">
        <v>90</v>
      </c>
    </row>
    <row r="280">
      <c r="A280" s="1" t="s">
        <v>498</v>
      </c>
      <c r="B280" s="1" t="s">
        <v>501</v>
      </c>
      <c r="C280" s="2">
        <v>6.0</v>
      </c>
      <c r="D280" s="1" t="s">
        <v>75</v>
      </c>
      <c r="E280" s="6"/>
      <c r="F280" s="3"/>
      <c r="G280" s="1" t="s">
        <v>28</v>
      </c>
      <c r="H280" s="4">
        <v>0.10138888888888889</v>
      </c>
      <c r="I280" s="1" t="s">
        <v>267</v>
      </c>
      <c r="J280" s="1" t="s">
        <v>30</v>
      </c>
      <c r="K280" s="4">
        <v>0.3993055555555556</v>
      </c>
      <c r="L280" s="1" t="s">
        <v>469</v>
      </c>
      <c r="M280" s="1" t="s">
        <v>28</v>
      </c>
      <c r="N280" s="4">
        <v>0.6576388888888889</v>
      </c>
      <c r="O280" s="1" t="s">
        <v>100</v>
      </c>
      <c r="P280" s="1" t="s">
        <v>30</v>
      </c>
      <c r="Q280" s="4">
        <v>0.8944444444444445</v>
      </c>
      <c r="R280" s="1" t="s">
        <v>334</v>
      </c>
      <c r="S280" s="1">
        <f t="shared" si="1"/>
        <v>107</v>
      </c>
      <c r="T280" s="1">
        <f t="shared" si="2"/>
        <v>58</v>
      </c>
      <c r="U280" s="5">
        <f t="shared" si="3"/>
        <v>107</v>
      </c>
      <c r="V280" s="5" t="s">
        <v>90</v>
      </c>
    </row>
    <row r="281">
      <c r="A281" s="1" t="s">
        <v>498</v>
      </c>
      <c r="B281" s="1" t="s">
        <v>501</v>
      </c>
      <c r="C281" s="2">
        <v>7.0</v>
      </c>
      <c r="D281" s="1" t="s">
        <v>86</v>
      </c>
      <c r="E281" s="6"/>
      <c r="F281" s="3"/>
      <c r="G281" s="1" t="s">
        <v>28</v>
      </c>
      <c r="H281" s="4">
        <v>0.14652777777777778</v>
      </c>
      <c r="I281" s="1" t="s">
        <v>167</v>
      </c>
      <c r="J281" s="1" t="s">
        <v>30</v>
      </c>
      <c r="K281" s="4">
        <v>0.42916666666666664</v>
      </c>
      <c r="L281" s="1" t="s">
        <v>45</v>
      </c>
      <c r="M281" s="1" t="s">
        <v>28</v>
      </c>
      <c r="N281" s="4">
        <v>0.6805555555555556</v>
      </c>
      <c r="O281" s="1" t="s">
        <v>335</v>
      </c>
      <c r="P281" s="1" t="s">
        <v>30</v>
      </c>
      <c r="Q281" s="4">
        <v>0.9291666666666667</v>
      </c>
      <c r="R281" s="1" t="s">
        <v>446</v>
      </c>
      <c r="S281" s="1">
        <f t="shared" si="1"/>
        <v>122</v>
      </c>
      <c r="T281" s="1">
        <f t="shared" si="2"/>
        <v>87</v>
      </c>
      <c r="U281" s="5">
        <f t="shared" si="3"/>
        <v>122</v>
      </c>
      <c r="V281" s="5" t="s">
        <v>90</v>
      </c>
    </row>
    <row r="282">
      <c r="A282" s="1" t="s">
        <v>498</v>
      </c>
      <c r="B282" s="1" t="s">
        <v>501</v>
      </c>
      <c r="C282" s="2">
        <v>8.0</v>
      </c>
      <c r="D282" s="1" t="s">
        <v>26</v>
      </c>
      <c r="E282" s="6"/>
      <c r="F282" s="3"/>
      <c r="G282" s="1" t="s">
        <v>28</v>
      </c>
      <c r="H282" s="4">
        <v>0.18125</v>
      </c>
      <c r="I282" s="1" t="s">
        <v>412</v>
      </c>
      <c r="J282" s="1" t="s">
        <v>30</v>
      </c>
      <c r="K282" s="4">
        <v>0.4534722222222222</v>
      </c>
      <c r="L282" s="1" t="s">
        <v>110</v>
      </c>
      <c r="M282" s="1" t="s">
        <v>28</v>
      </c>
      <c r="N282" s="4">
        <v>0.7013888888888888</v>
      </c>
      <c r="O282" s="1" t="s">
        <v>388</v>
      </c>
      <c r="P282" s="1" t="s">
        <v>30</v>
      </c>
      <c r="Q282" s="4">
        <v>0.9576388888888889</v>
      </c>
      <c r="R282" s="1" t="s">
        <v>37</v>
      </c>
      <c r="S282" s="1">
        <f t="shared" si="1"/>
        <v>131</v>
      </c>
      <c r="T282" s="1">
        <f t="shared" si="2"/>
        <v>111</v>
      </c>
      <c r="U282" s="5">
        <f t="shared" si="3"/>
        <v>131</v>
      </c>
      <c r="V282" s="5" t="s">
        <v>47</v>
      </c>
    </row>
    <row r="283">
      <c r="A283" s="1" t="s">
        <v>498</v>
      </c>
      <c r="B283" s="1" t="s">
        <v>501</v>
      </c>
      <c r="C283" s="2">
        <v>9.0</v>
      </c>
      <c r="D283" s="1" t="s">
        <v>34</v>
      </c>
      <c r="E283" s="1" t="s">
        <v>264</v>
      </c>
      <c r="F283" s="7" t="s">
        <v>143</v>
      </c>
      <c r="G283" s="1" t="s">
        <v>28</v>
      </c>
      <c r="H283" s="4">
        <v>0.2111111111111111</v>
      </c>
      <c r="I283" s="1" t="s">
        <v>205</v>
      </c>
      <c r="J283" s="1" t="s">
        <v>30</v>
      </c>
      <c r="K283" s="4">
        <v>0.47430555555555554</v>
      </c>
      <c r="L283" s="1" t="s">
        <v>186</v>
      </c>
      <c r="M283" s="1" t="s">
        <v>28</v>
      </c>
      <c r="N283" s="4">
        <v>0.7215277777777778</v>
      </c>
      <c r="O283" s="1" t="s">
        <v>38</v>
      </c>
      <c r="P283" s="1" t="s">
        <v>30</v>
      </c>
      <c r="Q283" s="4">
        <v>0.9833333333333333</v>
      </c>
      <c r="R283" s="1" t="s">
        <v>182</v>
      </c>
      <c r="S283" s="1">
        <f t="shared" si="1"/>
        <v>133</v>
      </c>
      <c r="T283" s="1">
        <f t="shared" si="2"/>
        <v>131</v>
      </c>
      <c r="U283" s="5">
        <f t="shared" si="3"/>
        <v>133</v>
      </c>
      <c r="V283" s="5" t="s">
        <v>47</v>
      </c>
    </row>
    <row r="284">
      <c r="A284" s="1" t="s">
        <v>502</v>
      </c>
      <c r="B284" s="1" t="s">
        <v>501</v>
      </c>
      <c r="C284" s="2">
        <v>10.0</v>
      </c>
      <c r="D284" s="1" t="s">
        <v>41</v>
      </c>
      <c r="E284" s="1" t="s">
        <v>503</v>
      </c>
      <c r="F284" s="3"/>
      <c r="G284" s="1" t="s">
        <v>28</v>
      </c>
      <c r="H284" s="4">
        <v>0.23819444444444443</v>
      </c>
      <c r="I284" s="1" t="s">
        <v>67</v>
      </c>
      <c r="J284" s="1" t="s">
        <v>30</v>
      </c>
      <c r="K284" s="4">
        <v>0.4930555555555556</v>
      </c>
      <c r="L284" s="1" t="s">
        <v>277</v>
      </c>
      <c r="M284" s="1" t="s">
        <v>28</v>
      </c>
      <c r="N284" s="4">
        <v>0.7409722222222223</v>
      </c>
      <c r="O284" s="1" t="s">
        <v>67</v>
      </c>
      <c r="S284" s="1">
        <f t="shared" si="1"/>
        <v>128</v>
      </c>
      <c r="T284" s="1">
        <f t="shared" si="2"/>
        <v>71</v>
      </c>
      <c r="U284" s="5">
        <f t="shared" si="3"/>
        <v>128</v>
      </c>
      <c r="V284" s="5" t="s">
        <v>47</v>
      </c>
    </row>
    <row r="285">
      <c r="A285" s="1" t="s">
        <v>502</v>
      </c>
      <c r="B285" s="1" t="s">
        <v>501</v>
      </c>
      <c r="C285" s="2">
        <v>11.0</v>
      </c>
      <c r="D285" s="1" t="s">
        <v>55</v>
      </c>
      <c r="E285" s="1" t="s">
        <v>42</v>
      </c>
      <c r="F285" s="3"/>
      <c r="G285" s="1" t="s">
        <v>30</v>
      </c>
      <c r="H285" s="4">
        <v>0.007638888888888889</v>
      </c>
      <c r="I285" s="1" t="s">
        <v>108</v>
      </c>
      <c r="J285" s="1" t="s">
        <v>28</v>
      </c>
      <c r="K285" s="4">
        <v>0.26319444444444445</v>
      </c>
      <c r="L285" s="1" t="s">
        <v>38</v>
      </c>
      <c r="M285" s="1" t="s">
        <v>30</v>
      </c>
      <c r="N285" s="4">
        <v>0.5104166666666666</v>
      </c>
      <c r="O285" s="1" t="s">
        <v>257</v>
      </c>
      <c r="P285" s="1" t="s">
        <v>28</v>
      </c>
      <c r="Q285" s="4">
        <v>0.7604166666666666</v>
      </c>
      <c r="R285" s="1" t="s">
        <v>59</v>
      </c>
      <c r="S285" s="1">
        <f t="shared" si="1"/>
        <v>137</v>
      </c>
      <c r="T285" s="1">
        <f t="shared" si="2"/>
        <v>127</v>
      </c>
      <c r="U285" s="5">
        <f t="shared" si="3"/>
        <v>137</v>
      </c>
      <c r="V285" s="5" t="s">
        <v>47</v>
      </c>
    </row>
    <row r="286">
      <c r="A286" s="1" t="s">
        <v>502</v>
      </c>
      <c r="B286" s="1" t="s">
        <v>501</v>
      </c>
      <c r="C286" s="2">
        <v>12.0</v>
      </c>
      <c r="D286" s="1" t="s">
        <v>25</v>
      </c>
      <c r="E286" s="6"/>
      <c r="F286" s="3"/>
      <c r="G286" s="1" t="s">
        <v>30</v>
      </c>
      <c r="H286" s="4">
        <v>0.030555555555555555</v>
      </c>
      <c r="I286" s="1" t="s">
        <v>293</v>
      </c>
      <c r="J286" s="1" t="s">
        <v>28</v>
      </c>
      <c r="K286" s="4">
        <v>0.2875</v>
      </c>
      <c r="L286" s="1" t="s">
        <v>388</v>
      </c>
      <c r="M286" s="1" t="s">
        <v>30</v>
      </c>
      <c r="N286" s="4">
        <v>0.5270833333333333</v>
      </c>
      <c r="O286" s="1" t="s">
        <v>200</v>
      </c>
      <c r="P286" s="1" t="s">
        <v>28</v>
      </c>
      <c r="Q286" s="4">
        <v>0.7798611111111111</v>
      </c>
      <c r="R286" s="1" t="s">
        <v>59</v>
      </c>
      <c r="S286" s="1">
        <f t="shared" si="1"/>
        <v>130</v>
      </c>
      <c r="T286" s="1">
        <f t="shared" si="2"/>
        <v>122</v>
      </c>
      <c r="U286" s="5">
        <f t="shared" si="3"/>
        <v>130</v>
      </c>
      <c r="V286" s="5" t="s">
        <v>47</v>
      </c>
    </row>
    <row r="287">
      <c r="A287" s="1" t="s">
        <v>502</v>
      </c>
      <c r="B287" s="1" t="s">
        <v>501</v>
      </c>
      <c r="C287" s="2">
        <v>13.0</v>
      </c>
      <c r="D287" s="1" t="s">
        <v>75</v>
      </c>
      <c r="E287" s="6"/>
      <c r="F287" s="3"/>
      <c r="G287" s="1" t="s">
        <v>30</v>
      </c>
      <c r="H287" s="4">
        <v>0.05347222222222222</v>
      </c>
      <c r="I287" s="1" t="s">
        <v>215</v>
      </c>
      <c r="J287" s="1" t="s">
        <v>28</v>
      </c>
      <c r="K287" s="4">
        <v>0.3104166666666667</v>
      </c>
      <c r="L287" s="1" t="s">
        <v>335</v>
      </c>
      <c r="M287" s="1" t="s">
        <v>30</v>
      </c>
      <c r="N287" s="4">
        <v>0.54375</v>
      </c>
      <c r="O287" s="1" t="s">
        <v>224</v>
      </c>
      <c r="P287" s="1" t="s">
        <v>28</v>
      </c>
      <c r="Q287" s="4">
        <v>0.7986111111111112</v>
      </c>
      <c r="R287" s="1" t="s">
        <v>67</v>
      </c>
      <c r="S287" s="1">
        <f t="shared" si="1"/>
        <v>119</v>
      </c>
      <c r="T287" s="1">
        <f t="shared" si="2"/>
        <v>114</v>
      </c>
      <c r="U287" s="5">
        <f t="shared" si="3"/>
        <v>119</v>
      </c>
      <c r="V287" s="5" t="s">
        <v>90</v>
      </c>
    </row>
    <row r="288">
      <c r="A288" s="1" t="s">
        <v>502</v>
      </c>
      <c r="B288" s="1" t="s">
        <v>501</v>
      </c>
      <c r="C288" s="2">
        <v>14.0</v>
      </c>
      <c r="D288" s="1" t="s">
        <v>86</v>
      </c>
      <c r="E288" s="6"/>
      <c r="F288" s="3"/>
      <c r="G288" s="1" t="s">
        <v>30</v>
      </c>
      <c r="H288" s="4">
        <v>0.0763888888888889</v>
      </c>
      <c r="I288" s="1" t="s">
        <v>174</v>
      </c>
      <c r="J288" s="1" t="s">
        <v>28</v>
      </c>
      <c r="K288" s="4">
        <v>0.33402777777777776</v>
      </c>
      <c r="L288" s="1" t="s">
        <v>218</v>
      </c>
      <c r="M288" s="1" t="s">
        <v>30</v>
      </c>
      <c r="N288" s="4">
        <v>0.5611111111111111</v>
      </c>
      <c r="O288" s="1" t="s">
        <v>122</v>
      </c>
      <c r="P288" s="1" t="s">
        <v>28</v>
      </c>
      <c r="Q288" s="4">
        <v>0.81875</v>
      </c>
      <c r="R288" s="1" t="s">
        <v>385</v>
      </c>
      <c r="S288" s="1">
        <f t="shared" si="1"/>
        <v>102</v>
      </c>
      <c r="T288" s="1">
        <f t="shared" si="2"/>
        <v>103</v>
      </c>
      <c r="U288" s="5">
        <f t="shared" si="3"/>
        <v>103</v>
      </c>
      <c r="V288" s="5" t="s">
        <v>90</v>
      </c>
    </row>
    <row r="289">
      <c r="A289" s="1" t="s">
        <v>502</v>
      </c>
      <c r="B289" s="1" t="s">
        <v>501</v>
      </c>
      <c r="C289" s="2">
        <v>15.0</v>
      </c>
      <c r="D289" s="1" t="s">
        <v>26</v>
      </c>
      <c r="E289" s="6"/>
      <c r="F289" s="3"/>
      <c r="G289" s="1" t="s">
        <v>30</v>
      </c>
      <c r="H289" s="4">
        <v>0.10069444444444445</v>
      </c>
      <c r="I289" s="1" t="s">
        <v>186</v>
      </c>
      <c r="J289" s="1" t="s">
        <v>28</v>
      </c>
      <c r="K289" s="4">
        <v>0.3576388888888889</v>
      </c>
      <c r="L289" s="1" t="s">
        <v>123</v>
      </c>
      <c r="M289" s="1" t="s">
        <v>30</v>
      </c>
      <c r="N289" s="4">
        <v>0.5791666666666667</v>
      </c>
      <c r="O289" s="1" t="s">
        <v>391</v>
      </c>
      <c r="P289" s="1" t="s">
        <v>28</v>
      </c>
      <c r="Q289" s="4">
        <v>0.8402777777777778</v>
      </c>
      <c r="R289" s="1" t="s">
        <v>337</v>
      </c>
      <c r="S289" s="1">
        <f t="shared" si="1"/>
        <v>83</v>
      </c>
      <c r="T289" s="1">
        <f t="shared" si="2"/>
        <v>89</v>
      </c>
      <c r="U289" s="5">
        <f t="shared" si="3"/>
        <v>89</v>
      </c>
      <c r="V289" s="5" t="s">
        <v>39</v>
      </c>
    </row>
    <row r="290">
      <c r="A290" s="1" t="s">
        <v>502</v>
      </c>
      <c r="B290" s="1" t="s">
        <v>501</v>
      </c>
      <c r="C290" s="2">
        <v>16.0</v>
      </c>
      <c r="D290" s="1" t="s">
        <v>34</v>
      </c>
      <c r="E290" s="6"/>
      <c r="F290" s="3"/>
      <c r="G290" s="1" t="s">
        <v>30</v>
      </c>
      <c r="H290" s="4">
        <v>0.12708333333333333</v>
      </c>
      <c r="I290" s="1" t="s">
        <v>114</v>
      </c>
      <c r="J290" s="1" t="s">
        <v>28</v>
      </c>
      <c r="K290" s="4">
        <v>0.3854166666666667</v>
      </c>
      <c r="L290" s="1" t="s">
        <v>57</v>
      </c>
      <c r="M290" s="1" t="s">
        <v>30</v>
      </c>
      <c r="N290" s="4">
        <v>0.5986111111111111</v>
      </c>
      <c r="O290" s="1" t="s">
        <v>241</v>
      </c>
      <c r="P290" s="1" t="s">
        <v>28</v>
      </c>
      <c r="Q290" s="4">
        <v>0.8652777777777778</v>
      </c>
      <c r="R290" s="1" t="s">
        <v>265</v>
      </c>
      <c r="S290" s="1">
        <f t="shared" si="1"/>
        <v>64</v>
      </c>
      <c r="T290" s="1">
        <f t="shared" si="2"/>
        <v>73</v>
      </c>
      <c r="U290" s="5">
        <f t="shared" si="3"/>
        <v>73</v>
      </c>
      <c r="V290" s="5" t="s">
        <v>39</v>
      </c>
    </row>
    <row r="291">
      <c r="A291" s="1" t="s">
        <v>502</v>
      </c>
      <c r="B291" s="1" t="s">
        <v>501</v>
      </c>
      <c r="C291" s="2">
        <v>17.0</v>
      </c>
      <c r="D291" s="1" t="s">
        <v>41</v>
      </c>
      <c r="E291" s="1" t="s">
        <v>42</v>
      </c>
      <c r="F291" s="3"/>
      <c r="G291" s="1" t="s">
        <v>30</v>
      </c>
      <c r="H291" s="4">
        <v>0.16041666666666668</v>
      </c>
      <c r="I291" s="1" t="s">
        <v>446</v>
      </c>
      <c r="J291" s="1" t="s">
        <v>28</v>
      </c>
      <c r="K291" s="4">
        <v>0.4263888888888889</v>
      </c>
      <c r="L291" s="1" t="s">
        <v>249</v>
      </c>
      <c r="M291" s="1" t="s">
        <v>30</v>
      </c>
      <c r="N291" s="4">
        <v>0.6222222222222222</v>
      </c>
      <c r="O291" s="1" t="s">
        <v>427</v>
      </c>
      <c r="P291" s="1" t="s">
        <v>28</v>
      </c>
      <c r="Q291" s="4">
        <v>0.8958333333333334</v>
      </c>
      <c r="R291" s="1" t="s">
        <v>131</v>
      </c>
      <c r="S291" s="1">
        <f t="shared" si="1"/>
        <v>45</v>
      </c>
      <c r="T291" s="1">
        <f t="shared" si="2"/>
        <v>55</v>
      </c>
      <c r="U291" s="5">
        <f t="shared" si="3"/>
        <v>55</v>
      </c>
      <c r="V291" s="5" t="s">
        <v>39</v>
      </c>
    </row>
    <row r="292">
      <c r="A292" s="1" t="s">
        <v>502</v>
      </c>
      <c r="B292" s="1" t="s">
        <v>501</v>
      </c>
      <c r="C292" s="2">
        <v>18.0</v>
      </c>
      <c r="D292" s="1" t="s">
        <v>55</v>
      </c>
      <c r="E292" s="1" t="s">
        <v>42</v>
      </c>
      <c r="F292" s="7" t="s">
        <v>184</v>
      </c>
      <c r="G292" s="1" t="s">
        <v>30</v>
      </c>
      <c r="H292" s="4">
        <v>0.21041666666666667</v>
      </c>
      <c r="I292" s="1" t="s">
        <v>295</v>
      </c>
      <c r="J292" s="1" t="s">
        <v>28</v>
      </c>
      <c r="K292" s="4">
        <v>0.5097222222222222</v>
      </c>
      <c r="L292" s="1" t="s">
        <v>187</v>
      </c>
      <c r="M292" s="1" t="s">
        <v>30</v>
      </c>
      <c r="N292" s="4">
        <v>0.6659722222222222</v>
      </c>
      <c r="O292" s="1" t="s">
        <v>331</v>
      </c>
      <c r="P292" s="1" t="s">
        <v>28</v>
      </c>
      <c r="Q292" s="4">
        <v>0.94375</v>
      </c>
      <c r="R292" s="1" t="s">
        <v>128</v>
      </c>
      <c r="S292" s="1">
        <f t="shared" si="1"/>
        <v>32</v>
      </c>
      <c r="T292" s="1">
        <f t="shared" si="2"/>
        <v>38</v>
      </c>
      <c r="U292" s="5">
        <f t="shared" si="3"/>
        <v>38</v>
      </c>
      <c r="V292" s="5" t="s">
        <v>39</v>
      </c>
    </row>
    <row r="293">
      <c r="A293" s="1" t="s">
        <v>502</v>
      </c>
      <c r="B293" s="1" t="s">
        <v>501</v>
      </c>
      <c r="C293" s="2">
        <v>19.0</v>
      </c>
      <c r="D293" s="1" t="s">
        <v>25</v>
      </c>
      <c r="E293" s="6"/>
      <c r="F293" s="3"/>
      <c r="G293" s="1" t="s">
        <v>30</v>
      </c>
      <c r="H293" s="4">
        <v>0.2916666666666667</v>
      </c>
      <c r="I293" s="1" t="s">
        <v>327</v>
      </c>
      <c r="J293" s="1" t="s">
        <v>28</v>
      </c>
      <c r="K293" s="4">
        <v>0.5868055555555556</v>
      </c>
      <c r="L293" s="1" t="s">
        <v>222</v>
      </c>
      <c r="M293" s="1" t="s">
        <v>30</v>
      </c>
      <c r="N293" s="4">
        <v>0.7597222222222222</v>
      </c>
      <c r="O293" s="1" t="s">
        <v>356</v>
      </c>
      <c r="S293" s="1">
        <f t="shared" si="1"/>
        <v>34</v>
      </c>
      <c r="T293" s="1">
        <f t="shared" si="2"/>
        <v>3</v>
      </c>
      <c r="U293" s="5">
        <f t="shared" si="3"/>
        <v>34</v>
      </c>
      <c r="V293" s="5" t="s">
        <v>39</v>
      </c>
    </row>
    <row r="294">
      <c r="A294" s="1" t="s">
        <v>502</v>
      </c>
      <c r="B294" s="1" t="s">
        <v>501</v>
      </c>
      <c r="C294" s="2">
        <v>20.0</v>
      </c>
      <c r="D294" s="1" t="s">
        <v>75</v>
      </c>
      <c r="E294" s="6"/>
      <c r="F294" s="3"/>
      <c r="G294" s="1" t="s">
        <v>28</v>
      </c>
      <c r="H294" s="4">
        <v>0.02361111111111111</v>
      </c>
      <c r="I294" s="1" t="s">
        <v>189</v>
      </c>
      <c r="J294" s="1" t="s">
        <v>30</v>
      </c>
      <c r="K294" s="4">
        <v>0.35138888888888886</v>
      </c>
      <c r="L294" s="1" t="s">
        <v>250</v>
      </c>
      <c r="M294" s="1" t="s">
        <v>28</v>
      </c>
      <c r="N294" s="4">
        <v>0.6229166666666667</v>
      </c>
      <c r="O294" s="1" t="s">
        <v>77</v>
      </c>
      <c r="P294" s="1" t="s">
        <v>30</v>
      </c>
      <c r="Q294" s="4">
        <v>0.8381944444444445</v>
      </c>
      <c r="R294" s="1" t="s">
        <v>332</v>
      </c>
      <c r="S294" s="1">
        <f t="shared" si="1"/>
        <v>60</v>
      </c>
      <c r="T294" s="1">
        <f t="shared" si="2"/>
        <v>26</v>
      </c>
      <c r="U294" s="5">
        <f t="shared" si="3"/>
        <v>60</v>
      </c>
      <c r="V294" s="5" t="s">
        <v>39</v>
      </c>
    </row>
    <row r="295">
      <c r="A295" s="1" t="s">
        <v>502</v>
      </c>
      <c r="B295" s="1" t="s">
        <v>501</v>
      </c>
      <c r="C295" s="2">
        <v>21.0</v>
      </c>
      <c r="D295" s="1" t="s">
        <v>86</v>
      </c>
      <c r="E295" s="6"/>
      <c r="F295" s="3"/>
      <c r="G295" s="1" t="s">
        <v>28</v>
      </c>
      <c r="H295" s="4">
        <v>0.08958333333333333</v>
      </c>
      <c r="I295" s="1" t="s">
        <v>100</v>
      </c>
      <c r="J295" s="1" t="s">
        <v>30</v>
      </c>
      <c r="K295" s="4">
        <v>0.38472222222222224</v>
      </c>
      <c r="L295" s="1" t="s">
        <v>120</v>
      </c>
      <c r="M295" s="1" t="s">
        <v>28</v>
      </c>
      <c r="N295" s="4">
        <v>0.6451388888888889</v>
      </c>
      <c r="O295" s="1" t="s">
        <v>181</v>
      </c>
      <c r="P295" s="1" t="s">
        <v>30</v>
      </c>
      <c r="Q295" s="4">
        <v>0.8819444444444444</v>
      </c>
      <c r="R295" s="1" t="s">
        <v>241</v>
      </c>
      <c r="S295" s="1">
        <f t="shared" si="1"/>
        <v>72</v>
      </c>
      <c r="T295" s="1">
        <f t="shared" si="2"/>
        <v>51</v>
      </c>
      <c r="U295" s="5">
        <f t="shared" si="3"/>
        <v>72</v>
      </c>
      <c r="V295" s="5" t="s">
        <v>39</v>
      </c>
    </row>
    <row r="296">
      <c r="A296" s="1" t="s">
        <v>502</v>
      </c>
      <c r="B296" s="1" t="s">
        <v>501</v>
      </c>
      <c r="C296" s="2">
        <v>22.0</v>
      </c>
      <c r="D296" s="1" t="s">
        <v>26</v>
      </c>
      <c r="E296" s="6"/>
      <c r="F296" s="3"/>
      <c r="G296" s="1" t="s">
        <v>28</v>
      </c>
      <c r="H296" s="4">
        <v>0.12986111111111112</v>
      </c>
      <c r="I296" s="1" t="s">
        <v>251</v>
      </c>
      <c r="J296" s="1" t="s">
        <v>30</v>
      </c>
      <c r="K296" s="4">
        <v>0.4083333333333333</v>
      </c>
      <c r="L296" s="1" t="s">
        <v>223</v>
      </c>
      <c r="M296" s="1" t="s">
        <v>28</v>
      </c>
      <c r="N296" s="4">
        <v>0.6638888888888889</v>
      </c>
      <c r="O296" s="1" t="s">
        <v>192</v>
      </c>
      <c r="P296" s="1" t="s">
        <v>30</v>
      </c>
      <c r="Q296" s="4">
        <v>0.9125</v>
      </c>
      <c r="R296" s="1" t="s">
        <v>120</v>
      </c>
      <c r="S296" s="1">
        <f t="shared" si="1"/>
        <v>88</v>
      </c>
      <c r="T296" s="1">
        <f t="shared" si="2"/>
        <v>78</v>
      </c>
      <c r="U296" s="5">
        <f t="shared" si="3"/>
        <v>88</v>
      </c>
      <c r="V296" s="5" t="s">
        <v>39</v>
      </c>
    </row>
    <row r="297">
      <c r="A297" s="1" t="s">
        <v>502</v>
      </c>
      <c r="B297" s="1" t="s">
        <v>501</v>
      </c>
      <c r="C297" s="2">
        <v>23.0</v>
      </c>
      <c r="D297" s="1" t="s">
        <v>34</v>
      </c>
      <c r="E297" s="6"/>
      <c r="F297" s="3"/>
      <c r="G297" s="1" t="s">
        <v>28</v>
      </c>
      <c r="H297" s="4">
        <v>0.16180555555555556</v>
      </c>
      <c r="I297" s="1" t="s">
        <v>265</v>
      </c>
      <c r="J297" s="1" t="s">
        <v>30</v>
      </c>
      <c r="K297" s="4">
        <v>0.42916666666666664</v>
      </c>
      <c r="L297" s="1" t="s">
        <v>114</v>
      </c>
      <c r="M297" s="1" t="s">
        <v>28</v>
      </c>
      <c r="N297" s="4">
        <v>0.6819444444444445</v>
      </c>
      <c r="O297" s="1" t="s">
        <v>307</v>
      </c>
      <c r="P297" s="1" t="s">
        <v>30</v>
      </c>
      <c r="Q297" s="4">
        <v>0.9388888888888889</v>
      </c>
      <c r="R297" s="1" t="s">
        <v>37</v>
      </c>
      <c r="S297" s="1">
        <f t="shared" si="1"/>
        <v>101</v>
      </c>
      <c r="T297" s="1">
        <f t="shared" si="2"/>
        <v>106</v>
      </c>
      <c r="U297" s="5">
        <f t="shared" si="3"/>
        <v>106</v>
      </c>
      <c r="V297" s="5" t="s">
        <v>90</v>
      </c>
    </row>
    <row r="298">
      <c r="A298" s="1" t="s">
        <v>502</v>
      </c>
      <c r="B298" s="1" t="s">
        <v>501</v>
      </c>
      <c r="C298" s="2">
        <v>24.0</v>
      </c>
      <c r="D298" s="1" t="s">
        <v>41</v>
      </c>
      <c r="E298" s="1" t="s">
        <v>42</v>
      </c>
      <c r="F298" s="3"/>
      <c r="G298" s="1" t="s">
        <v>28</v>
      </c>
      <c r="H298" s="4">
        <v>0.18958333333333333</v>
      </c>
      <c r="I298" s="1" t="s">
        <v>410</v>
      </c>
      <c r="J298" s="1" t="s">
        <v>30</v>
      </c>
      <c r="K298" s="4">
        <v>0.4486111111111111</v>
      </c>
      <c r="L298" s="1" t="s">
        <v>146</v>
      </c>
      <c r="M298" s="1" t="s">
        <v>28</v>
      </c>
      <c r="N298" s="4">
        <v>0.7006944444444444</v>
      </c>
      <c r="O298" s="1" t="s">
        <v>167</v>
      </c>
      <c r="P298" s="1" t="s">
        <v>30</v>
      </c>
      <c r="Q298" s="4">
        <v>0.9638888888888889</v>
      </c>
      <c r="R298" s="1" t="s">
        <v>185</v>
      </c>
      <c r="S298" s="1">
        <f t="shared" si="1"/>
        <v>113</v>
      </c>
      <c r="T298" s="1">
        <f t="shared" si="2"/>
        <v>134</v>
      </c>
      <c r="U298" s="5">
        <f t="shared" si="3"/>
        <v>134</v>
      </c>
      <c r="V298" s="5" t="s">
        <v>47</v>
      </c>
    </row>
    <row r="299">
      <c r="A299" s="1" t="s">
        <v>502</v>
      </c>
      <c r="B299" s="1" t="s">
        <v>501</v>
      </c>
      <c r="C299" s="2">
        <v>25.0</v>
      </c>
      <c r="D299" s="1" t="s">
        <v>55</v>
      </c>
      <c r="E299" s="1" t="s">
        <v>504</v>
      </c>
      <c r="F299" s="7" t="s">
        <v>35</v>
      </c>
      <c r="G299" s="1" t="s">
        <v>28</v>
      </c>
      <c r="H299" s="4">
        <v>0.21666666666666667</v>
      </c>
      <c r="I299" s="1" t="s">
        <v>158</v>
      </c>
      <c r="J299" s="1" t="s">
        <v>30</v>
      </c>
      <c r="K299" s="4">
        <v>0.46875</v>
      </c>
      <c r="L299" s="1" t="s">
        <v>99</v>
      </c>
      <c r="M299" s="1" t="s">
        <v>28</v>
      </c>
      <c r="N299" s="4">
        <v>0.7208333333333333</v>
      </c>
      <c r="O299" s="1" t="s">
        <v>205</v>
      </c>
      <c r="P299" s="1" t="s">
        <v>30</v>
      </c>
      <c r="Q299" s="4">
        <v>0.9895833333333334</v>
      </c>
      <c r="R299" s="1" t="s">
        <v>98</v>
      </c>
      <c r="S299" s="1">
        <f t="shared" si="1"/>
        <v>119</v>
      </c>
      <c r="T299" s="1">
        <f t="shared" si="2"/>
        <v>157</v>
      </c>
      <c r="U299" s="5">
        <f t="shared" si="3"/>
        <v>157</v>
      </c>
      <c r="V299" s="5" t="s">
        <v>47</v>
      </c>
    </row>
    <row r="300">
      <c r="A300" s="1" t="s">
        <v>502</v>
      </c>
      <c r="B300" s="1" t="s">
        <v>501</v>
      </c>
      <c r="C300" s="2">
        <v>26.0</v>
      </c>
      <c r="D300" s="1" t="s">
        <v>25</v>
      </c>
      <c r="E300" s="1" t="s">
        <v>264</v>
      </c>
      <c r="F300" s="3"/>
      <c r="G300" s="1" t="s">
        <v>28</v>
      </c>
      <c r="H300" s="4">
        <v>0.24444444444444444</v>
      </c>
      <c r="I300" s="1" t="s">
        <v>378</v>
      </c>
      <c r="J300" s="1" t="s">
        <v>30</v>
      </c>
      <c r="K300" s="4">
        <v>0.4895833333333333</v>
      </c>
      <c r="L300" s="1" t="s">
        <v>99</v>
      </c>
      <c r="M300" s="1" t="s">
        <v>28</v>
      </c>
      <c r="N300" s="4">
        <v>0.7430555555555556</v>
      </c>
      <c r="O300" s="1" t="s">
        <v>493</v>
      </c>
      <c r="S300" s="1">
        <f t="shared" si="1"/>
        <v>118</v>
      </c>
      <c r="T300" s="1">
        <f t="shared" si="2"/>
        <v>81</v>
      </c>
      <c r="U300" s="5">
        <f t="shared" si="3"/>
        <v>118</v>
      </c>
      <c r="V300" s="5" t="s">
        <v>90</v>
      </c>
    </row>
    <row r="301">
      <c r="A301" s="1" t="s">
        <v>502</v>
      </c>
      <c r="B301" s="1" t="s">
        <v>501</v>
      </c>
      <c r="C301" s="2">
        <v>27.0</v>
      </c>
      <c r="D301" s="1" t="s">
        <v>75</v>
      </c>
      <c r="E301" s="6"/>
      <c r="F301" s="3"/>
      <c r="G301" s="1" t="s">
        <v>30</v>
      </c>
      <c r="H301" s="4">
        <v>0.016666666666666666</v>
      </c>
      <c r="I301" s="1" t="s">
        <v>144</v>
      </c>
      <c r="J301" s="1" t="s">
        <v>28</v>
      </c>
      <c r="K301" s="4">
        <v>0.2722222222222222</v>
      </c>
      <c r="L301" s="1" t="s">
        <v>147</v>
      </c>
      <c r="M301" s="1" t="s">
        <v>30</v>
      </c>
      <c r="N301" s="4">
        <v>0.5111111111111111</v>
      </c>
      <c r="O301" s="1" t="s">
        <v>146</v>
      </c>
      <c r="P301" s="1" t="s">
        <v>28</v>
      </c>
      <c r="Q301" s="4">
        <v>0.7666666666666667</v>
      </c>
      <c r="R301" s="1" t="s">
        <v>473</v>
      </c>
      <c r="S301" s="1">
        <f t="shared" si="1"/>
        <v>147</v>
      </c>
      <c r="T301" s="1">
        <f t="shared" si="2"/>
        <v>140</v>
      </c>
      <c r="U301" s="5">
        <f t="shared" si="3"/>
        <v>147</v>
      </c>
      <c r="V301" s="5" t="s">
        <v>47</v>
      </c>
    </row>
    <row r="302">
      <c r="A302" s="1" t="s">
        <v>502</v>
      </c>
      <c r="B302" s="1" t="s">
        <v>501</v>
      </c>
      <c r="C302" s="2">
        <v>28.0</v>
      </c>
      <c r="D302" s="1" t="s">
        <v>86</v>
      </c>
      <c r="E302" s="6"/>
      <c r="F302" s="3"/>
      <c r="G302" s="1" t="s">
        <v>30</v>
      </c>
      <c r="H302" s="4">
        <v>0.04583333333333333</v>
      </c>
      <c r="I302" s="1" t="s">
        <v>456</v>
      </c>
      <c r="J302" s="1" t="s">
        <v>28</v>
      </c>
      <c r="K302" s="4">
        <v>0.3013888888888889</v>
      </c>
      <c r="L302" s="1" t="s">
        <v>179</v>
      </c>
      <c r="M302" s="1" t="s">
        <v>30</v>
      </c>
      <c r="N302" s="4">
        <v>0.5333333333333333</v>
      </c>
      <c r="O302" s="1" t="s">
        <v>114</v>
      </c>
      <c r="P302" s="1" t="s">
        <v>28</v>
      </c>
      <c r="Q302" s="4">
        <v>0.7930555555555555</v>
      </c>
      <c r="R302" s="1" t="s">
        <v>451</v>
      </c>
      <c r="S302" s="1">
        <f t="shared" si="1"/>
        <v>140</v>
      </c>
      <c r="T302" s="1">
        <f t="shared" si="2"/>
        <v>134</v>
      </c>
      <c r="U302" s="5">
        <f t="shared" si="3"/>
        <v>140</v>
      </c>
      <c r="V302" s="5" t="s">
        <v>47</v>
      </c>
    </row>
    <row r="303">
      <c r="A303" s="1" t="s">
        <v>502</v>
      </c>
      <c r="B303" s="1" t="s">
        <v>501</v>
      </c>
      <c r="C303" s="2">
        <v>29.0</v>
      </c>
      <c r="D303" s="1" t="s">
        <v>26</v>
      </c>
      <c r="E303" s="6"/>
      <c r="F303" s="3"/>
      <c r="G303" s="1" t="s">
        <v>30</v>
      </c>
      <c r="H303" s="4">
        <v>0.07708333333333334</v>
      </c>
      <c r="I303" s="1" t="s">
        <v>475</v>
      </c>
      <c r="J303" s="1" t="s">
        <v>28</v>
      </c>
      <c r="K303" s="4">
        <v>0.3333333333333333</v>
      </c>
      <c r="L303" s="1" t="s">
        <v>100</v>
      </c>
      <c r="M303" s="1" t="s">
        <v>30</v>
      </c>
      <c r="N303" s="4">
        <v>0.5576388888888889</v>
      </c>
      <c r="O303" s="1" t="s">
        <v>115</v>
      </c>
      <c r="P303" s="1" t="s">
        <v>28</v>
      </c>
      <c r="Q303" s="4">
        <v>0.8222222222222222</v>
      </c>
      <c r="R303" s="1" t="s">
        <v>346</v>
      </c>
      <c r="S303" s="1">
        <f t="shared" si="1"/>
        <v>124</v>
      </c>
      <c r="T303" s="1">
        <f t="shared" si="2"/>
        <v>122</v>
      </c>
      <c r="U303" s="5">
        <f t="shared" si="3"/>
        <v>124</v>
      </c>
      <c r="V303" s="5" t="s">
        <v>47</v>
      </c>
    </row>
    <row r="304">
      <c r="A304" s="1" t="s">
        <v>502</v>
      </c>
      <c r="B304" s="1" t="s">
        <v>501</v>
      </c>
      <c r="C304" s="2">
        <v>30.0</v>
      </c>
      <c r="D304" s="1" t="s">
        <v>34</v>
      </c>
      <c r="E304" s="6"/>
      <c r="F304" s="3"/>
      <c r="G304" s="1" t="s">
        <v>30</v>
      </c>
      <c r="H304" s="4">
        <v>0.1125</v>
      </c>
      <c r="I304" s="1" t="s">
        <v>505</v>
      </c>
      <c r="J304" s="1" t="s">
        <v>28</v>
      </c>
      <c r="K304" s="4">
        <v>0.3701388888888889</v>
      </c>
      <c r="L304" s="1" t="s">
        <v>230</v>
      </c>
      <c r="M304" s="1" t="s">
        <v>30</v>
      </c>
      <c r="N304" s="4">
        <v>0.5854166666666667</v>
      </c>
      <c r="O304" s="1" t="s">
        <v>122</v>
      </c>
      <c r="P304" s="1" t="s">
        <v>28</v>
      </c>
      <c r="Q304" s="4">
        <v>0.8555555555555555</v>
      </c>
      <c r="R304" s="1" t="s">
        <v>385</v>
      </c>
      <c r="S304" s="1">
        <f t="shared" si="1"/>
        <v>102</v>
      </c>
      <c r="T304" s="1">
        <f t="shared" si="2"/>
        <v>103</v>
      </c>
      <c r="U304" s="5">
        <f t="shared" si="3"/>
        <v>103</v>
      </c>
      <c r="V304" s="5" t="s">
        <v>90</v>
      </c>
    </row>
    <row r="305">
      <c r="A305" s="1" t="s">
        <v>502</v>
      </c>
      <c r="B305" s="1" t="s">
        <v>501</v>
      </c>
      <c r="C305" s="2">
        <v>31.0</v>
      </c>
      <c r="D305" s="1" t="s">
        <v>41</v>
      </c>
      <c r="E305" s="1" t="s">
        <v>42</v>
      </c>
      <c r="F305" s="3"/>
      <c r="G305" s="1" t="s">
        <v>30</v>
      </c>
      <c r="H305" s="4">
        <v>0.15555555555555556</v>
      </c>
      <c r="I305" s="1" t="s">
        <v>185</v>
      </c>
      <c r="J305" s="1" t="s">
        <v>28</v>
      </c>
      <c r="K305" s="4">
        <v>0.4173611111111111</v>
      </c>
      <c r="L305" s="1" t="s">
        <v>145</v>
      </c>
      <c r="M305" s="1" t="s">
        <v>30</v>
      </c>
      <c r="N305" s="4">
        <v>0.6208333333333333</v>
      </c>
      <c r="O305" s="1" t="s">
        <v>327</v>
      </c>
      <c r="P305" s="1" t="s">
        <v>28</v>
      </c>
      <c r="Q305" s="4">
        <v>0.8965277777777778</v>
      </c>
      <c r="R305" s="1" t="s">
        <v>267</v>
      </c>
      <c r="S305" s="1">
        <f t="shared" si="1"/>
        <v>79</v>
      </c>
      <c r="T305" s="1">
        <f t="shared" si="2"/>
        <v>81</v>
      </c>
      <c r="U305" s="5">
        <f t="shared" si="3"/>
        <v>81</v>
      </c>
      <c r="V305" s="5" t="s">
        <v>39</v>
      </c>
    </row>
    <row r="306">
      <c r="A306" s="1" t="s">
        <v>502</v>
      </c>
      <c r="B306" s="1" t="s">
        <v>506</v>
      </c>
      <c r="C306" s="2">
        <v>1.0</v>
      </c>
      <c r="D306" s="1" t="s">
        <v>55</v>
      </c>
      <c r="E306" s="1" t="s">
        <v>42</v>
      </c>
      <c r="F306" s="7" t="s">
        <v>107</v>
      </c>
      <c r="G306" s="1" t="s">
        <v>30</v>
      </c>
      <c r="H306" s="4">
        <v>0.21041666666666667</v>
      </c>
      <c r="I306" s="1" t="s">
        <v>186</v>
      </c>
      <c r="J306" s="1" t="s">
        <v>28</v>
      </c>
      <c r="K306" s="4">
        <v>0.4826388888888889</v>
      </c>
      <c r="L306" s="1" t="s">
        <v>29</v>
      </c>
      <c r="M306" s="1" t="s">
        <v>30</v>
      </c>
      <c r="N306" s="4">
        <v>0.6770833333333334</v>
      </c>
      <c r="O306" s="1" t="s">
        <v>494</v>
      </c>
      <c r="P306" s="1" t="s">
        <v>28</v>
      </c>
      <c r="Q306" s="4">
        <v>0.9520833333333333</v>
      </c>
      <c r="R306" s="1" t="s">
        <v>292</v>
      </c>
      <c r="S306" s="1">
        <f t="shared" si="1"/>
        <v>63</v>
      </c>
      <c r="T306" s="1">
        <f t="shared" si="2"/>
        <v>61</v>
      </c>
      <c r="U306" s="5">
        <f t="shared" si="3"/>
        <v>63</v>
      </c>
      <c r="V306" s="5" t="s">
        <v>39</v>
      </c>
    </row>
    <row r="307">
      <c r="A307" s="1" t="s">
        <v>502</v>
      </c>
      <c r="B307" s="1" t="s">
        <v>506</v>
      </c>
      <c r="C307" s="2">
        <v>2.0</v>
      </c>
      <c r="D307" s="1" t="s">
        <v>25</v>
      </c>
      <c r="E307" s="6"/>
      <c r="F307" s="3"/>
      <c r="G307" s="1" t="s">
        <v>30</v>
      </c>
      <c r="H307" s="4">
        <v>0.2763888888888889</v>
      </c>
      <c r="I307" s="1" t="s">
        <v>37</v>
      </c>
      <c r="J307" s="1" t="s">
        <v>28</v>
      </c>
      <c r="K307" s="4">
        <v>0.55</v>
      </c>
      <c r="L307" s="1" t="s">
        <v>36</v>
      </c>
      <c r="M307" s="1" t="s">
        <v>30</v>
      </c>
      <c r="N307" s="4">
        <v>0.7604166666666666</v>
      </c>
      <c r="O307" s="1" t="s">
        <v>481</v>
      </c>
      <c r="S307" s="1">
        <f t="shared" si="1"/>
        <v>62</v>
      </c>
      <c r="T307" s="1">
        <f t="shared" si="2"/>
        <v>19</v>
      </c>
      <c r="U307" s="5">
        <f t="shared" si="3"/>
        <v>62</v>
      </c>
      <c r="V307" s="5" t="s">
        <v>39</v>
      </c>
    </row>
    <row r="308">
      <c r="A308" s="1" t="s">
        <v>502</v>
      </c>
      <c r="B308" s="1" t="s">
        <v>506</v>
      </c>
      <c r="C308" s="2">
        <v>3.0</v>
      </c>
      <c r="D308" s="1" t="s">
        <v>75</v>
      </c>
      <c r="E308" s="6"/>
      <c r="F308" s="3"/>
      <c r="G308" s="1" t="s">
        <v>28</v>
      </c>
      <c r="H308" s="4">
        <v>0.02361111111111111</v>
      </c>
      <c r="I308" s="1" t="s">
        <v>402</v>
      </c>
      <c r="J308" s="1" t="s">
        <v>30</v>
      </c>
      <c r="K308" s="4">
        <v>0.33055555555555555</v>
      </c>
      <c r="L308" s="1" t="s">
        <v>37</v>
      </c>
      <c r="M308" s="1" t="s">
        <v>28</v>
      </c>
      <c r="N308" s="4">
        <v>0.5958333333333333</v>
      </c>
      <c r="O308" s="1" t="s">
        <v>109</v>
      </c>
      <c r="P308" s="1" t="s">
        <v>30</v>
      </c>
      <c r="Q308" s="4">
        <v>0.8361111111111111</v>
      </c>
      <c r="R308" s="1" t="s">
        <v>480</v>
      </c>
      <c r="S308" s="1">
        <f t="shared" si="1"/>
        <v>90</v>
      </c>
      <c r="T308" s="1">
        <f t="shared" si="2"/>
        <v>46</v>
      </c>
      <c r="U308" s="5">
        <f t="shared" si="3"/>
        <v>90</v>
      </c>
      <c r="V308" s="5" t="s">
        <v>39</v>
      </c>
    </row>
    <row r="309">
      <c r="A309" s="1" t="s">
        <v>502</v>
      </c>
      <c r="B309" s="1" t="s">
        <v>506</v>
      </c>
      <c r="C309" s="2">
        <v>4.0</v>
      </c>
      <c r="D309" s="1" t="s">
        <v>86</v>
      </c>
      <c r="E309" s="6"/>
      <c r="F309" s="3"/>
      <c r="G309" s="1" t="s">
        <v>28</v>
      </c>
      <c r="H309" s="4">
        <v>0.08611111111111111</v>
      </c>
      <c r="I309" s="1" t="s">
        <v>402</v>
      </c>
      <c r="J309" s="1" t="s">
        <v>30</v>
      </c>
      <c r="K309" s="4">
        <v>0.3701388888888889</v>
      </c>
      <c r="L309" s="1" t="s">
        <v>146</v>
      </c>
      <c r="M309" s="1" t="s">
        <v>28</v>
      </c>
      <c r="N309" s="4">
        <v>0.6270833333333333</v>
      </c>
      <c r="O309" s="1" t="s">
        <v>181</v>
      </c>
      <c r="P309" s="1" t="s">
        <v>30</v>
      </c>
      <c r="Q309" s="4">
        <v>0.8840277777777777</v>
      </c>
      <c r="R309" s="1" t="s">
        <v>117</v>
      </c>
      <c r="S309" s="1">
        <f t="shared" si="1"/>
        <v>91</v>
      </c>
      <c r="T309" s="1">
        <f t="shared" si="2"/>
        <v>72</v>
      </c>
      <c r="U309" s="5">
        <f t="shared" si="3"/>
        <v>91</v>
      </c>
      <c r="V309" s="5" t="s">
        <v>90</v>
      </c>
    </row>
    <row r="310">
      <c r="A310" s="1" t="s">
        <v>502</v>
      </c>
      <c r="B310" s="1" t="s">
        <v>506</v>
      </c>
      <c r="C310" s="2">
        <v>5.0</v>
      </c>
      <c r="D310" s="1" t="s">
        <v>26</v>
      </c>
      <c r="E310" s="6"/>
      <c r="F310" s="3"/>
      <c r="G310" s="1" t="s">
        <v>28</v>
      </c>
      <c r="H310" s="4">
        <v>0.13194444444444445</v>
      </c>
      <c r="I310" s="1" t="s">
        <v>262</v>
      </c>
      <c r="J310" s="1" t="s">
        <v>30</v>
      </c>
      <c r="K310" s="4">
        <v>0.40069444444444446</v>
      </c>
      <c r="L310" s="1" t="s">
        <v>146</v>
      </c>
      <c r="M310" s="1" t="s">
        <v>28</v>
      </c>
      <c r="N310" s="4">
        <v>0.6520833333333333</v>
      </c>
      <c r="O310" s="1" t="s">
        <v>192</v>
      </c>
      <c r="P310" s="1" t="s">
        <v>30</v>
      </c>
      <c r="Q310" s="4">
        <v>0.91875</v>
      </c>
      <c r="R310" s="1" t="s">
        <v>99</v>
      </c>
      <c r="S310" s="1">
        <f t="shared" si="1"/>
        <v>94</v>
      </c>
      <c r="T310" s="1">
        <f t="shared" si="2"/>
        <v>97</v>
      </c>
      <c r="U310" s="5">
        <f t="shared" si="3"/>
        <v>97</v>
      </c>
      <c r="V310" s="5" t="s">
        <v>90</v>
      </c>
    </row>
    <row r="311">
      <c r="A311" s="1" t="s">
        <v>502</v>
      </c>
      <c r="B311" s="1" t="s">
        <v>506</v>
      </c>
      <c r="C311" s="2">
        <v>6.0</v>
      </c>
      <c r="D311" s="1" t="s">
        <v>34</v>
      </c>
      <c r="E311" s="6"/>
      <c r="F311" s="3"/>
      <c r="G311" s="1" t="s">
        <v>28</v>
      </c>
      <c r="H311" s="4">
        <v>0.16875</v>
      </c>
      <c r="I311" s="1" t="s">
        <v>131</v>
      </c>
      <c r="J311" s="1" t="s">
        <v>30</v>
      </c>
      <c r="K311" s="4">
        <v>0.425</v>
      </c>
      <c r="L311" s="1" t="s">
        <v>146</v>
      </c>
      <c r="M311" s="1" t="s">
        <v>28</v>
      </c>
      <c r="N311" s="4">
        <v>0.6756944444444445</v>
      </c>
      <c r="O311" s="1" t="s">
        <v>135</v>
      </c>
      <c r="P311" s="1" t="s">
        <v>30</v>
      </c>
      <c r="Q311" s="4">
        <v>0.9479166666666666</v>
      </c>
      <c r="R311" s="1" t="s">
        <v>314</v>
      </c>
      <c r="S311" s="1">
        <f t="shared" si="1"/>
        <v>96</v>
      </c>
      <c r="T311" s="1">
        <f t="shared" si="2"/>
        <v>118</v>
      </c>
      <c r="U311" s="5">
        <f t="shared" si="3"/>
        <v>118</v>
      </c>
      <c r="V311" s="5" t="s">
        <v>90</v>
      </c>
    </row>
    <row r="312">
      <c r="A312" s="1" t="s">
        <v>502</v>
      </c>
      <c r="B312" s="1" t="s">
        <v>506</v>
      </c>
      <c r="C312" s="2">
        <v>7.0</v>
      </c>
      <c r="D312" s="1" t="s">
        <v>41</v>
      </c>
      <c r="E312" s="1" t="s">
        <v>42</v>
      </c>
      <c r="F312" s="3"/>
      <c r="G312" s="1" t="s">
        <v>28</v>
      </c>
      <c r="H312" s="4">
        <v>0.2</v>
      </c>
      <c r="I312" s="1" t="s">
        <v>131</v>
      </c>
      <c r="J312" s="1" t="s">
        <v>30</v>
      </c>
      <c r="K312" s="4">
        <v>0.4465277777777778</v>
      </c>
      <c r="L312" s="1" t="s">
        <v>37</v>
      </c>
      <c r="M312" s="1" t="s">
        <v>28</v>
      </c>
      <c r="N312" s="4">
        <v>0.6972222222222222</v>
      </c>
      <c r="O312" s="1" t="s">
        <v>147</v>
      </c>
      <c r="P312" s="1" t="s">
        <v>30</v>
      </c>
      <c r="Q312" s="4">
        <v>0.9736111111111111</v>
      </c>
      <c r="R312" s="1" t="s">
        <v>302</v>
      </c>
      <c r="S312" s="1">
        <f t="shared" si="1"/>
        <v>95</v>
      </c>
      <c r="T312" s="1">
        <f t="shared" si="2"/>
        <v>134</v>
      </c>
      <c r="U312" s="5">
        <f t="shared" si="3"/>
        <v>134</v>
      </c>
      <c r="V312" s="5" t="s">
        <v>47</v>
      </c>
    </row>
    <row r="313">
      <c r="A313" s="1" t="s">
        <v>502</v>
      </c>
      <c r="B313" s="1" t="s">
        <v>506</v>
      </c>
      <c r="C313" s="2">
        <v>8.0</v>
      </c>
      <c r="D313" s="1" t="s">
        <v>55</v>
      </c>
      <c r="E313" s="1" t="s">
        <v>42</v>
      </c>
      <c r="F313" s="7" t="s">
        <v>143</v>
      </c>
      <c r="G313" s="1" t="s">
        <v>28</v>
      </c>
      <c r="H313" s="4">
        <v>0.22847222222222222</v>
      </c>
      <c r="I313" s="1" t="s">
        <v>262</v>
      </c>
      <c r="J313" s="1" t="s">
        <v>30</v>
      </c>
      <c r="K313" s="4">
        <v>0.46597222222222223</v>
      </c>
      <c r="L313" s="1" t="s">
        <v>469</v>
      </c>
      <c r="M313" s="1" t="s">
        <v>28</v>
      </c>
      <c r="N313" s="4">
        <v>0.71875</v>
      </c>
      <c r="O313" s="1" t="s">
        <v>337</v>
      </c>
      <c r="P313" s="1" t="s">
        <v>30</v>
      </c>
      <c r="Q313" s="4">
        <v>0.9972222222222222</v>
      </c>
      <c r="R313" s="1" t="s">
        <v>300</v>
      </c>
      <c r="S313" s="1">
        <f t="shared" si="1"/>
        <v>92</v>
      </c>
      <c r="T313" s="1">
        <f t="shared" si="2"/>
        <v>144</v>
      </c>
      <c r="U313" s="5">
        <f t="shared" si="3"/>
        <v>144</v>
      </c>
      <c r="V313" s="5" t="s">
        <v>47</v>
      </c>
    </row>
    <row r="314">
      <c r="A314" s="1" t="s">
        <v>507</v>
      </c>
      <c r="B314" s="1" t="s">
        <v>506</v>
      </c>
      <c r="C314" s="2">
        <v>9.0</v>
      </c>
      <c r="D314" s="1" t="s">
        <v>25</v>
      </c>
      <c r="E314" s="6"/>
      <c r="F314" s="3"/>
      <c r="G314" s="1" t="s">
        <v>28</v>
      </c>
      <c r="H314" s="4">
        <v>0.2548611111111111</v>
      </c>
      <c r="I314" s="1" t="s">
        <v>100</v>
      </c>
      <c r="J314" s="1" t="s">
        <v>30</v>
      </c>
      <c r="K314" s="4">
        <v>0.48541666666666666</v>
      </c>
      <c r="L314" s="1" t="s">
        <v>257</v>
      </c>
      <c r="M314" s="1" t="s">
        <v>28</v>
      </c>
      <c r="N314" s="4">
        <v>0.7395833333333334</v>
      </c>
      <c r="O314" s="1" t="s">
        <v>78</v>
      </c>
      <c r="S314" s="1">
        <f t="shared" si="1"/>
        <v>86</v>
      </c>
      <c r="T314" s="1">
        <f t="shared" si="2"/>
        <v>62</v>
      </c>
      <c r="U314" s="5">
        <f t="shared" si="3"/>
        <v>86</v>
      </c>
      <c r="V314" s="5" t="s">
        <v>39</v>
      </c>
    </row>
    <row r="315">
      <c r="A315" s="1" t="s">
        <v>507</v>
      </c>
      <c r="B315" s="1" t="s">
        <v>506</v>
      </c>
      <c r="C315" s="2">
        <v>10.0</v>
      </c>
      <c r="D315" s="1" t="s">
        <v>75</v>
      </c>
      <c r="E315" s="6"/>
      <c r="F315" s="3"/>
      <c r="G315" s="1" t="s">
        <v>30</v>
      </c>
      <c r="H315" s="4">
        <v>0.02013888888888889</v>
      </c>
      <c r="I315" s="1" t="s">
        <v>260</v>
      </c>
      <c r="J315" s="1" t="s">
        <v>28</v>
      </c>
      <c r="K315" s="4">
        <v>0.2798611111111111</v>
      </c>
      <c r="L315" s="1" t="s">
        <v>181</v>
      </c>
      <c r="M315" s="1" t="s">
        <v>30</v>
      </c>
      <c r="N315" s="4">
        <v>0.5041666666666667</v>
      </c>
      <c r="O315" s="1" t="s">
        <v>114</v>
      </c>
      <c r="P315" s="1" t="s">
        <v>28</v>
      </c>
      <c r="Q315" s="4">
        <v>0.7604166666666666</v>
      </c>
      <c r="R315" s="1" t="s">
        <v>78</v>
      </c>
      <c r="S315" s="1">
        <f t="shared" si="1"/>
        <v>115</v>
      </c>
      <c r="T315" s="1">
        <f t="shared" si="2"/>
        <v>113</v>
      </c>
      <c r="U315" s="5">
        <f t="shared" si="3"/>
        <v>115</v>
      </c>
      <c r="V315" s="5" t="s">
        <v>90</v>
      </c>
    </row>
    <row r="316">
      <c r="A316" s="1" t="s">
        <v>507</v>
      </c>
      <c r="B316" s="1" t="s">
        <v>506</v>
      </c>
      <c r="C316" s="2">
        <v>11.0</v>
      </c>
      <c r="D316" s="1" t="s">
        <v>86</v>
      </c>
      <c r="E316" s="6"/>
      <c r="F316" s="3"/>
      <c r="G316" s="1" t="s">
        <v>30</v>
      </c>
      <c r="H316" s="4">
        <v>0.043055555555555555</v>
      </c>
      <c r="I316" s="1" t="s">
        <v>260</v>
      </c>
      <c r="J316" s="1" t="s">
        <v>28</v>
      </c>
      <c r="K316" s="4">
        <v>0.3034722222222222</v>
      </c>
      <c r="L316" s="1" t="s">
        <v>256</v>
      </c>
      <c r="M316" s="1" t="s">
        <v>30</v>
      </c>
      <c r="N316" s="4">
        <v>0.5243055555555556</v>
      </c>
      <c r="O316" s="1" t="s">
        <v>118</v>
      </c>
      <c r="P316" s="1" t="s">
        <v>28</v>
      </c>
      <c r="Q316" s="4">
        <v>0.7819444444444444</v>
      </c>
      <c r="R316" s="1" t="s">
        <v>378</v>
      </c>
      <c r="S316" s="1">
        <f t="shared" si="1"/>
        <v>109</v>
      </c>
      <c r="T316" s="1">
        <f t="shared" si="2"/>
        <v>109</v>
      </c>
      <c r="U316" s="5">
        <f t="shared" si="3"/>
        <v>109</v>
      </c>
      <c r="V316" s="5" t="s">
        <v>90</v>
      </c>
    </row>
    <row r="317">
      <c r="A317" s="1" t="s">
        <v>507</v>
      </c>
      <c r="B317" s="1" t="s">
        <v>506</v>
      </c>
      <c r="C317" s="2">
        <v>12.0</v>
      </c>
      <c r="D317" s="1" t="s">
        <v>26</v>
      </c>
      <c r="E317" s="6"/>
      <c r="F317" s="3"/>
      <c r="G317" s="1" t="s">
        <v>30</v>
      </c>
      <c r="H317" s="4">
        <v>0.06597222222222222</v>
      </c>
      <c r="I317" s="1" t="s">
        <v>98</v>
      </c>
      <c r="J317" s="1" t="s">
        <v>28</v>
      </c>
      <c r="K317" s="4">
        <v>0.3277777777777778</v>
      </c>
      <c r="L317" s="1" t="s">
        <v>65</v>
      </c>
      <c r="M317" s="1" t="s">
        <v>30</v>
      </c>
      <c r="N317" s="4">
        <v>0.5444444444444444</v>
      </c>
      <c r="O317" s="1" t="s">
        <v>223</v>
      </c>
      <c r="P317" s="1" t="s">
        <v>28</v>
      </c>
      <c r="Q317" s="4">
        <v>0.8034722222222223</v>
      </c>
      <c r="R317" s="1" t="s">
        <v>388</v>
      </c>
      <c r="S317" s="1">
        <f t="shared" si="1"/>
        <v>99</v>
      </c>
      <c r="T317" s="1">
        <f t="shared" si="2"/>
        <v>102</v>
      </c>
      <c r="U317" s="5">
        <f t="shared" si="3"/>
        <v>102</v>
      </c>
      <c r="V317" s="5" t="s">
        <v>90</v>
      </c>
    </row>
    <row r="318">
      <c r="A318" s="1" t="s">
        <v>507</v>
      </c>
      <c r="B318" s="1" t="s">
        <v>506</v>
      </c>
      <c r="C318" s="2">
        <v>13.0</v>
      </c>
      <c r="D318" s="1" t="s">
        <v>34</v>
      </c>
      <c r="E318" s="6"/>
      <c r="F318" s="3"/>
      <c r="G318" s="1" t="s">
        <v>30</v>
      </c>
      <c r="H318" s="4">
        <v>0.08958333333333333</v>
      </c>
      <c r="I318" s="1" t="s">
        <v>129</v>
      </c>
      <c r="J318" s="1" t="s">
        <v>28</v>
      </c>
      <c r="K318" s="4">
        <v>0.3527777777777778</v>
      </c>
      <c r="L318" s="1" t="s">
        <v>359</v>
      </c>
      <c r="M318" s="1" t="s">
        <v>30</v>
      </c>
      <c r="N318" s="4">
        <v>0.5659722222222222</v>
      </c>
      <c r="O318" s="1" t="s">
        <v>333</v>
      </c>
      <c r="P318" s="1" t="s">
        <v>28</v>
      </c>
      <c r="Q318" s="4">
        <v>0.8270833333333333</v>
      </c>
      <c r="R318" s="1" t="s">
        <v>265</v>
      </c>
      <c r="S318" s="1">
        <f t="shared" si="1"/>
        <v>87</v>
      </c>
      <c r="T318" s="1">
        <f t="shared" si="2"/>
        <v>92</v>
      </c>
      <c r="U318" s="5">
        <f t="shared" si="3"/>
        <v>92</v>
      </c>
      <c r="V318" s="5" t="s">
        <v>90</v>
      </c>
    </row>
    <row r="319">
      <c r="A319" s="1" t="s">
        <v>507</v>
      </c>
      <c r="B319" s="1" t="s">
        <v>506</v>
      </c>
      <c r="C319" s="2">
        <v>14.0</v>
      </c>
      <c r="D319" s="1" t="s">
        <v>41</v>
      </c>
      <c r="E319" s="1" t="s">
        <v>42</v>
      </c>
      <c r="F319" s="3"/>
      <c r="G319" s="1" t="s">
        <v>30</v>
      </c>
      <c r="H319" s="4">
        <v>0.11527777777777778</v>
      </c>
      <c r="I319" s="1" t="s">
        <v>314</v>
      </c>
      <c r="J319" s="1" t="s">
        <v>28</v>
      </c>
      <c r="K319" s="4">
        <v>0.38055555555555554</v>
      </c>
      <c r="L319" s="1" t="s">
        <v>29</v>
      </c>
      <c r="M319" s="1" t="s">
        <v>30</v>
      </c>
      <c r="N319" s="4">
        <v>0.5895833333333333</v>
      </c>
      <c r="O319" s="1" t="s">
        <v>191</v>
      </c>
      <c r="P319" s="1" t="s">
        <v>28</v>
      </c>
      <c r="Q319" s="4">
        <v>0.8527777777777777</v>
      </c>
      <c r="R319" s="1" t="s">
        <v>251</v>
      </c>
      <c r="S319" s="1">
        <f t="shared" si="1"/>
        <v>73</v>
      </c>
      <c r="T319" s="1">
        <f t="shared" si="2"/>
        <v>78</v>
      </c>
      <c r="U319" s="5">
        <f t="shared" si="3"/>
        <v>78</v>
      </c>
      <c r="V319" s="5" t="s">
        <v>39</v>
      </c>
    </row>
    <row r="320">
      <c r="A320" s="1" t="s">
        <v>507</v>
      </c>
      <c r="B320" s="1" t="s">
        <v>506</v>
      </c>
      <c r="C320" s="2">
        <v>15.0</v>
      </c>
      <c r="D320" s="1" t="s">
        <v>55</v>
      </c>
      <c r="E320" s="1" t="s">
        <v>42</v>
      </c>
      <c r="F320" s="3"/>
      <c r="G320" s="1" t="s">
        <v>30</v>
      </c>
      <c r="H320" s="4">
        <v>0.14444444444444443</v>
      </c>
      <c r="I320" s="1" t="s">
        <v>110</v>
      </c>
      <c r="J320" s="1" t="s">
        <v>28</v>
      </c>
      <c r="K320" s="4">
        <v>0.4152777777777778</v>
      </c>
      <c r="L320" s="1" t="s">
        <v>130</v>
      </c>
      <c r="M320" s="1" t="s">
        <v>30</v>
      </c>
      <c r="N320" s="4">
        <v>0.61875</v>
      </c>
      <c r="O320" s="1" t="s">
        <v>391</v>
      </c>
      <c r="P320" s="1" t="s">
        <v>28</v>
      </c>
      <c r="Q320" s="4">
        <v>0.8826388888888889</v>
      </c>
      <c r="R320" s="1" t="s">
        <v>218</v>
      </c>
      <c r="S320" s="1">
        <f t="shared" si="1"/>
        <v>59</v>
      </c>
      <c r="T320" s="1">
        <f t="shared" si="2"/>
        <v>64</v>
      </c>
      <c r="U320" s="5">
        <f t="shared" si="3"/>
        <v>64</v>
      </c>
      <c r="V320" s="5" t="s">
        <v>39</v>
      </c>
    </row>
    <row r="321">
      <c r="A321" s="1" t="s">
        <v>507</v>
      </c>
      <c r="B321" s="1" t="s">
        <v>506</v>
      </c>
      <c r="C321" s="2">
        <v>16.0</v>
      </c>
      <c r="D321" s="1" t="s">
        <v>25</v>
      </c>
      <c r="E321" s="6"/>
      <c r="F321" s="7" t="s">
        <v>184</v>
      </c>
      <c r="G321" s="1" t="s">
        <v>30</v>
      </c>
      <c r="H321" s="4">
        <v>0.18125</v>
      </c>
      <c r="I321" s="1" t="s">
        <v>257</v>
      </c>
      <c r="J321" s="1" t="s">
        <v>28</v>
      </c>
      <c r="K321" s="4">
        <v>0.46458333333333335</v>
      </c>
      <c r="L321" s="1" t="s">
        <v>278</v>
      </c>
      <c r="M321" s="1" t="s">
        <v>30</v>
      </c>
      <c r="N321" s="4">
        <v>0.6611111111111111</v>
      </c>
      <c r="O321" s="1" t="s">
        <v>422</v>
      </c>
      <c r="P321" s="1" t="s">
        <v>28</v>
      </c>
      <c r="Q321" s="4">
        <v>0.9215277777777777</v>
      </c>
      <c r="R321" s="1" t="s">
        <v>471</v>
      </c>
      <c r="S321" s="1">
        <f t="shared" si="1"/>
        <v>49</v>
      </c>
      <c r="T321" s="1">
        <f t="shared" si="2"/>
        <v>49</v>
      </c>
      <c r="U321" s="5">
        <f t="shared" si="3"/>
        <v>49</v>
      </c>
      <c r="V321" s="5" t="s">
        <v>39</v>
      </c>
    </row>
    <row r="322">
      <c r="A322" s="1" t="s">
        <v>507</v>
      </c>
      <c r="B322" s="1" t="s">
        <v>506</v>
      </c>
      <c r="C322" s="2">
        <v>17.0</v>
      </c>
      <c r="D322" s="1" t="s">
        <v>75</v>
      </c>
      <c r="E322" s="6"/>
      <c r="F322" s="3"/>
      <c r="G322" s="1" t="s">
        <v>30</v>
      </c>
      <c r="H322" s="4">
        <v>0.23055555555555557</v>
      </c>
      <c r="I322" s="1" t="s">
        <v>112</v>
      </c>
      <c r="J322" s="1" t="s">
        <v>28</v>
      </c>
      <c r="K322" s="4">
        <v>0.5222222222222223</v>
      </c>
      <c r="L322" s="1" t="s">
        <v>187</v>
      </c>
      <c r="M322" s="1" t="s">
        <v>30</v>
      </c>
      <c r="N322" s="4">
        <v>0.7256944444444444</v>
      </c>
      <c r="O322" s="1" t="s">
        <v>355</v>
      </c>
      <c r="P322" s="1" t="s">
        <v>28</v>
      </c>
      <c r="Q322" s="4">
        <v>0.975</v>
      </c>
      <c r="R322" s="1" t="s">
        <v>470</v>
      </c>
      <c r="S322" s="1">
        <f t="shared" si="1"/>
        <v>47</v>
      </c>
      <c r="T322" s="1">
        <f t="shared" si="2"/>
        <v>39</v>
      </c>
      <c r="U322" s="5">
        <f t="shared" si="3"/>
        <v>47</v>
      </c>
      <c r="V322" s="5" t="s">
        <v>39</v>
      </c>
    </row>
    <row r="323">
      <c r="A323" s="1" t="s">
        <v>507</v>
      </c>
      <c r="B323" s="1" t="s">
        <v>506</v>
      </c>
      <c r="C323" s="2">
        <v>18.0</v>
      </c>
      <c r="D323" s="1" t="s">
        <v>86</v>
      </c>
      <c r="E323" s="6"/>
      <c r="F323" s="3"/>
      <c r="G323" s="1" t="s">
        <v>30</v>
      </c>
      <c r="H323" s="4">
        <v>0.28402777777777777</v>
      </c>
      <c r="I323" s="1" t="s">
        <v>115</v>
      </c>
      <c r="J323" s="1" t="s">
        <v>28</v>
      </c>
      <c r="K323" s="4">
        <v>0.5659722222222222</v>
      </c>
      <c r="L323" s="1" t="s">
        <v>145</v>
      </c>
      <c r="M323" s="1" t="s">
        <v>30</v>
      </c>
      <c r="N323" s="4">
        <v>0.7958333333333333</v>
      </c>
      <c r="O323" s="1" t="s">
        <v>248</v>
      </c>
      <c r="S323" s="1">
        <f t="shared" si="1"/>
        <v>53</v>
      </c>
      <c r="T323" s="1">
        <f t="shared" si="2"/>
        <v>26</v>
      </c>
      <c r="U323" s="5">
        <f t="shared" si="3"/>
        <v>53</v>
      </c>
      <c r="V323" s="5" t="s">
        <v>39</v>
      </c>
    </row>
    <row r="324">
      <c r="A324" s="1" t="s">
        <v>507</v>
      </c>
      <c r="B324" s="1" t="s">
        <v>506</v>
      </c>
      <c r="C324" s="2">
        <v>19.0</v>
      </c>
      <c r="D324" s="1" t="s">
        <v>26</v>
      </c>
      <c r="E324" s="6"/>
      <c r="F324" s="3"/>
      <c r="G324" s="1" t="s">
        <v>28</v>
      </c>
      <c r="H324" s="4">
        <v>0.03819444444444445</v>
      </c>
      <c r="I324" s="1" t="s">
        <v>109</v>
      </c>
      <c r="J324" s="1" t="s">
        <v>30</v>
      </c>
      <c r="K324" s="4">
        <v>0.32708333333333334</v>
      </c>
      <c r="L324" s="1" t="s">
        <v>112</v>
      </c>
      <c r="M324" s="1" t="s">
        <v>28</v>
      </c>
      <c r="N324" s="4">
        <v>0.5972222222222222</v>
      </c>
      <c r="O324" s="1" t="s">
        <v>470</v>
      </c>
      <c r="P324" s="1" t="s">
        <v>30</v>
      </c>
      <c r="Q324" s="4">
        <v>0.8479166666666667</v>
      </c>
      <c r="R324" s="1" t="s">
        <v>326</v>
      </c>
      <c r="S324" s="1">
        <f t="shared" si="1"/>
        <v>64</v>
      </c>
      <c r="T324" s="1">
        <f t="shared" si="2"/>
        <v>56</v>
      </c>
      <c r="U324" s="5">
        <f t="shared" si="3"/>
        <v>64</v>
      </c>
      <c r="V324" s="5" t="s">
        <v>39</v>
      </c>
    </row>
    <row r="325">
      <c r="A325" s="1" t="s">
        <v>507</v>
      </c>
      <c r="B325" s="1" t="s">
        <v>506</v>
      </c>
      <c r="C325" s="2">
        <v>20.0</v>
      </c>
      <c r="D325" s="1" t="s">
        <v>34</v>
      </c>
      <c r="E325" s="6"/>
      <c r="F325" s="3"/>
      <c r="G325" s="1" t="s">
        <v>28</v>
      </c>
      <c r="H325" s="4">
        <v>0.09097222222222222</v>
      </c>
      <c r="I325" s="1" t="s">
        <v>296</v>
      </c>
      <c r="J325" s="1" t="s">
        <v>30</v>
      </c>
      <c r="K325" s="4">
        <v>0.36041666666666666</v>
      </c>
      <c r="L325" s="1" t="s">
        <v>134</v>
      </c>
      <c r="M325" s="1" t="s">
        <v>28</v>
      </c>
      <c r="N325" s="4">
        <v>0.6229166666666667</v>
      </c>
      <c r="O325" s="1" t="s">
        <v>190</v>
      </c>
      <c r="P325" s="1" t="s">
        <v>30</v>
      </c>
      <c r="Q325" s="4">
        <v>0.8861111111111111</v>
      </c>
      <c r="R325" s="1" t="s">
        <v>469</v>
      </c>
      <c r="S325" s="1">
        <f t="shared" si="1"/>
        <v>70</v>
      </c>
      <c r="T325" s="1">
        <f t="shared" si="2"/>
        <v>84</v>
      </c>
      <c r="U325" s="5">
        <f t="shared" si="3"/>
        <v>84</v>
      </c>
      <c r="V325" s="5" t="s">
        <v>39</v>
      </c>
    </row>
    <row r="326">
      <c r="A326" s="1" t="s">
        <v>507</v>
      </c>
      <c r="B326" s="1" t="s">
        <v>506</v>
      </c>
      <c r="C326" s="2">
        <v>21.0</v>
      </c>
      <c r="D326" s="1" t="s">
        <v>41</v>
      </c>
      <c r="E326" s="1" t="s">
        <v>42</v>
      </c>
      <c r="F326" s="3"/>
      <c r="G326" s="1" t="s">
        <v>28</v>
      </c>
      <c r="H326" s="4">
        <v>0.1326388888888889</v>
      </c>
      <c r="I326" s="1" t="s">
        <v>471</v>
      </c>
      <c r="J326" s="1" t="s">
        <v>30</v>
      </c>
      <c r="K326" s="4">
        <v>0.38819444444444445</v>
      </c>
      <c r="L326" s="1" t="s">
        <v>257</v>
      </c>
      <c r="M326" s="1" t="s">
        <v>28</v>
      </c>
      <c r="N326" s="4">
        <v>0.6472222222222223</v>
      </c>
      <c r="O326" s="1" t="s">
        <v>251</v>
      </c>
      <c r="P326" s="1" t="s">
        <v>30</v>
      </c>
      <c r="Q326" s="4">
        <v>0.9180555555555555</v>
      </c>
      <c r="R326" s="1" t="s">
        <v>185</v>
      </c>
      <c r="S326" s="1">
        <f t="shared" si="1"/>
        <v>78</v>
      </c>
      <c r="T326" s="1">
        <f t="shared" si="2"/>
        <v>113</v>
      </c>
      <c r="U326" s="5">
        <f t="shared" si="3"/>
        <v>113</v>
      </c>
      <c r="V326" s="5" t="s">
        <v>90</v>
      </c>
    </row>
    <row r="327">
      <c r="A327" s="1" t="s">
        <v>507</v>
      </c>
      <c r="B327" s="1" t="s">
        <v>506</v>
      </c>
      <c r="C327" s="2">
        <v>22.0</v>
      </c>
      <c r="D327" s="1" t="s">
        <v>55</v>
      </c>
      <c r="E327" s="1" t="s">
        <v>42</v>
      </c>
      <c r="F327" s="3"/>
      <c r="G327" s="1" t="s">
        <v>28</v>
      </c>
      <c r="H327" s="4">
        <v>0.16944444444444445</v>
      </c>
      <c r="I327" s="1" t="s">
        <v>190</v>
      </c>
      <c r="J327" s="1" t="s">
        <v>30</v>
      </c>
      <c r="K327" s="4">
        <v>0.41458333333333336</v>
      </c>
      <c r="L327" s="1" t="s">
        <v>146</v>
      </c>
      <c r="M327" s="1" t="s">
        <v>28</v>
      </c>
      <c r="N327" s="4">
        <v>0.6715277777777777</v>
      </c>
      <c r="O327" s="1" t="s">
        <v>32</v>
      </c>
      <c r="P327" s="1" t="s">
        <v>30</v>
      </c>
      <c r="Q327" s="4">
        <v>0.9479166666666666</v>
      </c>
      <c r="R327" s="1" t="s">
        <v>260</v>
      </c>
      <c r="S327" s="1">
        <f t="shared" si="1"/>
        <v>86</v>
      </c>
      <c r="T327" s="1">
        <f t="shared" si="2"/>
        <v>141</v>
      </c>
      <c r="U327" s="5">
        <f t="shared" si="3"/>
        <v>141</v>
      </c>
      <c r="V327" s="5" t="s">
        <v>47</v>
      </c>
    </row>
    <row r="328">
      <c r="A328" s="1" t="s">
        <v>507</v>
      </c>
      <c r="B328" s="1" t="s">
        <v>506</v>
      </c>
      <c r="C328" s="2">
        <v>23.0</v>
      </c>
      <c r="D328" s="1" t="s">
        <v>25</v>
      </c>
      <c r="E328" s="6"/>
      <c r="F328" s="7" t="s">
        <v>35</v>
      </c>
      <c r="G328" s="1" t="s">
        <v>28</v>
      </c>
      <c r="H328" s="4">
        <v>0.20277777777777778</v>
      </c>
      <c r="I328" s="1" t="s">
        <v>183</v>
      </c>
      <c r="J328" s="1" t="s">
        <v>30</v>
      </c>
      <c r="K328" s="4">
        <v>0.44027777777777777</v>
      </c>
      <c r="L328" s="1" t="s">
        <v>99</v>
      </c>
      <c r="M328" s="1" t="s">
        <v>28</v>
      </c>
      <c r="N328" s="4">
        <v>0.6979166666666666</v>
      </c>
      <c r="O328" s="1" t="s">
        <v>38</v>
      </c>
      <c r="P328" s="1" t="s">
        <v>30</v>
      </c>
      <c r="Q328" s="4">
        <v>0.9784722222222222</v>
      </c>
      <c r="R328" s="1" t="s">
        <v>508</v>
      </c>
      <c r="S328" s="1">
        <f t="shared" si="1"/>
        <v>90</v>
      </c>
      <c r="T328" s="1">
        <f t="shared" si="2"/>
        <v>165</v>
      </c>
      <c r="U328" s="5">
        <f t="shared" si="3"/>
        <v>165</v>
      </c>
      <c r="V328" s="5" t="s">
        <v>47</v>
      </c>
    </row>
    <row r="329">
      <c r="A329" s="1" t="s">
        <v>507</v>
      </c>
      <c r="B329" s="1" t="s">
        <v>506</v>
      </c>
      <c r="C329" s="2">
        <v>24.0</v>
      </c>
      <c r="D329" s="1" t="s">
        <v>75</v>
      </c>
      <c r="E329" s="6"/>
      <c r="F329" s="3"/>
      <c r="G329" s="1" t="s">
        <v>28</v>
      </c>
      <c r="H329" s="4">
        <v>0.23541666666666666</v>
      </c>
      <c r="I329" s="1" t="s">
        <v>183</v>
      </c>
      <c r="J329" s="1" t="s">
        <v>30</v>
      </c>
      <c r="K329" s="4">
        <v>0.4666666666666667</v>
      </c>
      <c r="L329" s="1" t="s">
        <v>45</v>
      </c>
      <c r="M329" s="1" t="s">
        <v>28</v>
      </c>
      <c r="N329" s="4">
        <v>0.7256944444444444</v>
      </c>
      <c r="O329" s="1" t="s">
        <v>205</v>
      </c>
      <c r="S329" s="1">
        <f t="shared" si="1"/>
        <v>91</v>
      </c>
      <c r="T329" s="1">
        <f t="shared" si="2"/>
        <v>73</v>
      </c>
      <c r="U329" s="5">
        <f t="shared" si="3"/>
        <v>91</v>
      </c>
      <c r="V329" s="5" t="s">
        <v>90</v>
      </c>
    </row>
    <row r="330">
      <c r="A330" s="1" t="s">
        <v>507</v>
      </c>
      <c r="B330" s="1" t="s">
        <v>506</v>
      </c>
      <c r="C330" s="2">
        <v>25.0</v>
      </c>
      <c r="D330" s="1" t="s">
        <v>86</v>
      </c>
      <c r="E330" s="6"/>
      <c r="F330" s="3"/>
      <c r="G330" s="1" t="s">
        <v>30</v>
      </c>
      <c r="H330" s="4">
        <v>0.009722222222222222</v>
      </c>
      <c r="I330" s="1" t="s">
        <v>509</v>
      </c>
      <c r="J330" s="1" t="s">
        <v>28</v>
      </c>
      <c r="K330" s="4">
        <v>0.26875</v>
      </c>
      <c r="L330" s="1" t="s">
        <v>214</v>
      </c>
      <c r="M330" s="1" t="s">
        <v>30</v>
      </c>
      <c r="N330" s="4">
        <v>0.49375</v>
      </c>
      <c r="O330" s="1" t="s">
        <v>99</v>
      </c>
      <c r="P330" s="1" t="s">
        <v>28</v>
      </c>
      <c r="Q330" s="4">
        <v>0.7555555555555555</v>
      </c>
      <c r="R330" s="1" t="s">
        <v>497</v>
      </c>
      <c r="S330" s="1">
        <f t="shared" si="1"/>
        <v>137</v>
      </c>
      <c r="T330" s="1">
        <f t="shared" si="2"/>
        <v>136</v>
      </c>
      <c r="U330" s="5">
        <f t="shared" si="3"/>
        <v>137</v>
      </c>
      <c r="V330" s="5" t="s">
        <v>47</v>
      </c>
    </row>
    <row r="331">
      <c r="A331" s="1" t="s">
        <v>507</v>
      </c>
      <c r="B331" s="1" t="s">
        <v>506</v>
      </c>
      <c r="C331" s="2">
        <v>26.0</v>
      </c>
      <c r="D331" s="1" t="s">
        <v>26</v>
      </c>
      <c r="E331" s="6"/>
      <c r="F331" s="3"/>
      <c r="G331" s="1" t="s">
        <v>30</v>
      </c>
      <c r="H331" s="4">
        <v>0.04236111111111111</v>
      </c>
      <c r="I331" s="1" t="s">
        <v>510</v>
      </c>
      <c r="J331" s="1" t="s">
        <v>28</v>
      </c>
      <c r="K331" s="4">
        <v>0.3020833333333333</v>
      </c>
      <c r="L331" s="1" t="s">
        <v>123</v>
      </c>
      <c r="M331" s="1" t="s">
        <v>30</v>
      </c>
      <c r="N331" s="4">
        <v>0.5222222222222223</v>
      </c>
      <c r="O331" s="1" t="s">
        <v>146</v>
      </c>
      <c r="P331" s="1" t="s">
        <v>28</v>
      </c>
      <c r="Q331" s="4">
        <v>0.7868055555555555</v>
      </c>
      <c r="R331" s="1" t="s">
        <v>346</v>
      </c>
      <c r="S331" s="1">
        <f t="shared" si="1"/>
        <v>133</v>
      </c>
      <c r="T331" s="1">
        <f t="shared" si="2"/>
        <v>133</v>
      </c>
      <c r="U331" s="5">
        <f t="shared" si="3"/>
        <v>133</v>
      </c>
      <c r="V331" s="5" t="s">
        <v>47</v>
      </c>
    </row>
    <row r="332">
      <c r="A332" s="1" t="s">
        <v>507</v>
      </c>
      <c r="B332" s="1" t="s">
        <v>506</v>
      </c>
      <c r="C332" s="2">
        <v>27.0</v>
      </c>
      <c r="D332" s="1" t="s">
        <v>34</v>
      </c>
      <c r="E332" s="6"/>
      <c r="F332" s="3"/>
      <c r="G332" s="1" t="s">
        <v>30</v>
      </c>
      <c r="H332" s="4">
        <v>0.07777777777777778</v>
      </c>
      <c r="I332" s="1" t="s">
        <v>76</v>
      </c>
      <c r="J332" s="1" t="s">
        <v>28</v>
      </c>
      <c r="K332" s="4">
        <v>0.3375</v>
      </c>
      <c r="L332" s="1" t="s">
        <v>77</v>
      </c>
      <c r="M332" s="1" t="s">
        <v>30</v>
      </c>
      <c r="N332" s="4">
        <v>0.5534722222222223</v>
      </c>
      <c r="O332" s="1" t="s">
        <v>257</v>
      </c>
      <c r="P332" s="1" t="s">
        <v>28</v>
      </c>
      <c r="Q332" s="4">
        <v>0.8201388888888889</v>
      </c>
      <c r="R332" s="1" t="s">
        <v>46</v>
      </c>
      <c r="S332" s="1">
        <f t="shared" si="1"/>
        <v>123</v>
      </c>
      <c r="T332" s="1">
        <f t="shared" si="2"/>
        <v>125</v>
      </c>
      <c r="U332" s="5">
        <f t="shared" si="3"/>
        <v>125</v>
      </c>
      <c r="V332" s="5" t="s">
        <v>47</v>
      </c>
    </row>
    <row r="333">
      <c r="A333" s="1" t="s">
        <v>507</v>
      </c>
      <c r="B333" s="1" t="s">
        <v>506</v>
      </c>
      <c r="C333" s="2">
        <v>28.0</v>
      </c>
      <c r="D333" s="1" t="s">
        <v>41</v>
      </c>
      <c r="E333" s="1" t="s">
        <v>42</v>
      </c>
      <c r="F333" s="3"/>
      <c r="G333" s="1" t="s">
        <v>30</v>
      </c>
      <c r="H333" s="4">
        <v>0.11527777777777778</v>
      </c>
      <c r="I333" s="1" t="s">
        <v>511</v>
      </c>
      <c r="J333" s="1" t="s">
        <v>28</v>
      </c>
      <c r="K333" s="4">
        <v>0.375</v>
      </c>
      <c r="L333" s="1" t="s">
        <v>44</v>
      </c>
      <c r="M333" s="1" t="s">
        <v>30</v>
      </c>
      <c r="N333" s="4">
        <v>0.5888888888888889</v>
      </c>
      <c r="O333" s="1" t="s">
        <v>200</v>
      </c>
      <c r="P333" s="1" t="s">
        <v>28</v>
      </c>
      <c r="Q333" s="4">
        <v>0.85625</v>
      </c>
      <c r="R333" s="1" t="s">
        <v>78</v>
      </c>
      <c r="S333" s="1">
        <f t="shared" si="1"/>
        <v>109</v>
      </c>
      <c r="T333" s="1">
        <f t="shared" si="2"/>
        <v>110</v>
      </c>
      <c r="U333" s="5">
        <f t="shared" si="3"/>
        <v>110</v>
      </c>
      <c r="V333" s="5" t="s">
        <v>90</v>
      </c>
    </row>
    <row r="334">
      <c r="A334" s="1" t="s">
        <v>507</v>
      </c>
      <c r="B334" s="1" t="s">
        <v>506</v>
      </c>
      <c r="C334" s="2">
        <v>29.0</v>
      </c>
      <c r="D334" s="1" t="s">
        <v>55</v>
      </c>
      <c r="E334" s="1" t="s">
        <v>42</v>
      </c>
      <c r="F334" s="3"/>
      <c r="G334" s="1" t="s">
        <v>30</v>
      </c>
      <c r="H334" s="4">
        <v>0.15486111111111112</v>
      </c>
      <c r="I334" s="1" t="s">
        <v>177</v>
      </c>
      <c r="J334" s="1" t="s">
        <v>28</v>
      </c>
      <c r="K334" s="4">
        <v>0.4166666666666667</v>
      </c>
      <c r="L334" s="1" t="s">
        <v>222</v>
      </c>
      <c r="M334" s="1" t="s">
        <v>30</v>
      </c>
      <c r="N334" s="4">
        <v>0.63125</v>
      </c>
      <c r="O334" s="1" t="s">
        <v>224</v>
      </c>
      <c r="P334" s="1" t="s">
        <v>28</v>
      </c>
      <c r="Q334" s="4">
        <v>0.8958333333333334</v>
      </c>
      <c r="R334" s="1" t="s">
        <v>135</v>
      </c>
      <c r="S334" s="1">
        <f t="shared" si="1"/>
        <v>95</v>
      </c>
      <c r="T334" s="1">
        <f t="shared" si="2"/>
        <v>91</v>
      </c>
      <c r="U334" s="5">
        <f t="shared" si="3"/>
        <v>95</v>
      </c>
      <c r="V334" s="5" t="s">
        <v>90</v>
      </c>
    </row>
    <row r="335">
      <c r="A335" s="1" t="s">
        <v>507</v>
      </c>
      <c r="B335" s="1" t="s">
        <v>506</v>
      </c>
      <c r="C335" s="2">
        <v>30.0</v>
      </c>
      <c r="D335" s="1" t="s">
        <v>25</v>
      </c>
      <c r="E335" s="6"/>
      <c r="F335" s="7" t="s">
        <v>107</v>
      </c>
      <c r="G335" s="1" t="s">
        <v>30</v>
      </c>
      <c r="H335" s="4">
        <v>0.1986111111111111</v>
      </c>
      <c r="I335" s="1" t="s">
        <v>129</v>
      </c>
      <c r="J335" s="1" t="s">
        <v>28</v>
      </c>
      <c r="K335" s="4">
        <v>0.4618055555555556</v>
      </c>
      <c r="L335" s="1" t="s">
        <v>426</v>
      </c>
      <c r="M335" s="1" t="s">
        <v>30</v>
      </c>
      <c r="N335" s="4">
        <v>0.6833333333333333</v>
      </c>
      <c r="O335" s="1" t="s">
        <v>120</v>
      </c>
      <c r="P335" s="1" t="s">
        <v>28</v>
      </c>
      <c r="Q335" s="4">
        <v>0.9430555555555555</v>
      </c>
      <c r="R335" s="1" t="s">
        <v>218</v>
      </c>
      <c r="S335" s="1">
        <f t="shared" si="1"/>
        <v>83</v>
      </c>
      <c r="T335" s="1">
        <f t="shared" si="2"/>
        <v>73</v>
      </c>
      <c r="U335" s="5">
        <f t="shared" si="3"/>
        <v>83</v>
      </c>
      <c r="V335" s="5" t="s">
        <v>39</v>
      </c>
    </row>
    <row r="336">
      <c r="A336" s="1" t="s">
        <v>507</v>
      </c>
      <c r="B336" s="1" t="s">
        <v>512</v>
      </c>
      <c r="C336" s="2">
        <v>1.0</v>
      </c>
      <c r="D336" s="1" t="s">
        <v>75</v>
      </c>
      <c r="E336" s="6"/>
      <c r="F336" s="3"/>
      <c r="G336" s="1" t="s">
        <v>30</v>
      </c>
      <c r="H336" s="4">
        <v>0.24375</v>
      </c>
      <c r="I336" s="1" t="s">
        <v>174</v>
      </c>
      <c r="J336" s="1" t="s">
        <v>28</v>
      </c>
      <c r="K336" s="4">
        <v>0.5083333333333333</v>
      </c>
      <c r="L336" s="1" t="s">
        <v>145</v>
      </c>
      <c r="M336" s="1" t="s">
        <v>30</v>
      </c>
      <c r="N336" s="4">
        <v>0.7458333333333333</v>
      </c>
      <c r="O336" s="1" t="s">
        <v>120</v>
      </c>
      <c r="P336" s="1" t="s">
        <v>28</v>
      </c>
      <c r="Q336" s="4">
        <v>0.9986111111111111</v>
      </c>
      <c r="R336" s="1" t="s">
        <v>256</v>
      </c>
      <c r="S336" s="1">
        <f t="shared" si="1"/>
        <v>76</v>
      </c>
      <c r="T336" s="1">
        <f t="shared" si="2"/>
        <v>61</v>
      </c>
      <c r="U336" s="5">
        <f t="shared" si="3"/>
        <v>76</v>
      </c>
      <c r="V336" s="5" t="s">
        <v>39</v>
      </c>
    </row>
    <row r="337">
      <c r="A337" s="1" t="s">
        <v>507</v>
      </c>
      <c r="B337" s="1" t="s">
        <v>512</v>
      </c>
      <c r="C337" s="2">
        <v>2.0</v>
      </c>
      <c r="D337" s="1" t="s">
        <v>86</v>
      </c>
      <c r="E337" s="6"/>
      <c r="F337" s="3"/>
      <c r="G337" s="1" t="s">
        <v>30</v>
      </c>
      <c r="H337" s="4">
        <v>0.2861111111111111</v>
      </c>
      <c r="I337" s="1" t="s">
        <v>186</v>
      </c>
      <c r="J337" s="1" t="s">
        <v>28</v>
      </c>
      <c r="K337" s="4">
        <v>0.5506944444444445</v>
      </c>
      <c r="L337" s="1" t="s">
        <v>111</v>
      </c>
      <c r="M337" s="1" t="s">
        <v>30</v>
      </c>
      <c r="N337" s="4">
        <v>0.8104166666666667</v>
      </c>
      <c r="O337" s="1" t="s">
        <v>115</v>
      </c>
      <c r="S337" s="1">
        <f t="shared" si="1"/>
        <v>74</v>
      </c>
      <c r="T337" s="1">
        <f t="shared" si="2"/>
        <v>45</v>
      </c>
      <c r="U337" s="5">
        <f t="shared" si="3"/>
        <v>74</v>
      </c>
      <c r="V337" s="5" t="s">
        <v>39</v>
      </c>
    </row>
    <row r="338">
      <c r="A338" s="1" t="s">
        <v>507</v>
      </c>
      <c r="B338" s="1" t="s">
        <v>512</v>
      </c>
      <c r="C338" s="2">
        <v>3.0</v>
      </c>
      <c r="D338" s="1" t="s">
        <v>26</v>
      </c>
      <c r="E338" s="6"/>
      <c r="F338" s="3"/>
      <c r="G338" s="1" t="s">
        <v>28</v>
      </c>
      <c r="H338" s="4">
        <v>0.05694444444444444</v>
      </c>
      <c r="I338" s="1" t="s">
        <v>111</v>
      </c>
      <c r="J338" s="1" t="s">
        <v>30</v>
      </c>
      <c r="K338" s="4">
        <v>0.32569444444444445</v>
      </c>
      <c r="L338" s="1" t="s">
        <v>37</v>
      </c>
      <c r="M338" s="1" t="s">
        <v>28</v>
      </c>
      <c r="N338" s="4">
        <v>0.5881944444444445</v>
      </c>
      <c r="O338" s="1" t="s">
        <v>173</v>
      </c>
      <c r="P338" s="1" t="s">
        <v>30</v>
      </c>
      <c r="Q338" s="4">
        <v>0.8645833333333334</v>
      </c>
      <c r="R338" s="1" t="s">
        <v>37</v>
      </c>
      <c r="S338" s="1">
        <f t="shared" si="1"/>
        <v>69</v>
      </c>
      <c r="T338" s="1">
        <f t="shared" si="2"/>
        <v>76</v>
      </c>
      <c r="U338" s="5">
        <f t="shared" si="3"/>
        <v>76</v>
      </c>
      <c r="V338" s="5" t="s">
        <v>39</v>
      </c>
    </row>
    <row r="339">
      <c r="A339" s="1" t="s">
        <v>507</v>
      </c>
      <c r="B339" s="1" t="s">
        <v>512</v>
      </c>
      <c r="C339" s="2">
        <v>4.0</v>
      </c>
      <c r="D339" s="1" t="s">
        <v>34</v>
      </c>
      <c r="E339" s="6"/>
      <c r="F339" s="3"/>
      <c r="G339" s="1" t="s">
        <v>28</v>
      </c>
      <c r="H339" s="4">
        <v>0.11041666666666666</v>
      </c>
      <c r="I339" s="1" t="s">
        <v>44</v>
      </c>
      <c r="J339" s="1" t="s">
        <v>30</v>
      </c>
      <c r="K339" s="4">
        <v>0.36041666666666666</v>
      </c>
      <c r="L339" s="1" t="s">
        <v>31</v>
      </c>
      <c r="M339" s="1" t="s">
        <v>28</v>
      </c>
      <c r="N339" s="4">
        <v>0.6208333333333333</v>
      </c>
      <c r="O339" s="1" t="s">
        <v>181</v>
      </c>
      <c r="P339" s="1" t="s">
        <v>30</v>
      </c>
      <c r="Q339" s="4">
        <v>0.90625</v>
      </c>
      <c r="R339" s="1" t="s">
        <v>182</v>
      </c>
      <c r="S339" s="1">
        <f t="shared" si="1"/>
        <v>62</v>
      </c>
      <c r="T339" s="1">
        <f t="shared" si="2"/>
        <v>94</v>
      </c>
      <c r="U339" s="5">
        <f t="shared" si="3"/>
        <v>94</v>
      </c>
      <c r="V339" s="5" t="s">
        <v>90</v>
      </c>
    </row>
    <row r="340">
      <c r="A340" s="1" t="s">
        <v>507</v>
      </c>
      <c r="B340" s="1" t="s">
        <v>512</v>
      </c>
      <c r="C340" s="2">
        <v>5.0</v>
      </c>
      <c r="D340" s="1" t="s">
        <v>41</v>
      </c>
      <c r="E340" s="1" t="s">
        <v>42</v>
      </c>
      <c r="F340" s="3"/>
      <c r="G340" s="1" t="s">
        <v>28</v>
      </c>
      <c r="H340" s="4">
        <v>0.15555555555555556</v>
      </c>
      <c r="I340" s="1" t="s">
        <v>359</v>
      </c>
      <c r="J340" s="1" t="s">
        <v>30</v>
      </c>
      <c r="K340" s="4">
        <v>0.3909722222222222</v>
      </c>
      <c r="L340" s="1" t="s">
        <v>114</v>
      </c>
      <c r="M340" s="1" t="s">
        <v>28</v>
      </c>
      <c r="N340" s="4">
        <v>0.6506944444444445</v>
      </c>
      <c r="O340" s="1" t="s">
        <v>402</v>
      </c>
      <c r="P340" s="1" t="s">
        <v>30</v>
      </c>
      <c r="Q340" s="4">
        <v>0.9395833333333333</v>
      </c>
      <c r="R340" s="1" t="s">
        <v>386</v>
      </c>
      <c r="S340" s="1">
        <f t="shared" si="1"/>
        <v>60</v>
      </c>
      <c r="T340" s="1">
        <f t="shared" si="2"/>
        <v>111</v>
      </c>
      <c r="U340" s="5">
        <f t="shared" si="3"/>
        <v>111</v>
      </c>
      <c r="V340" s="5" t="s">
        <v>90</v>
      </c>
    </row>
    <row r="341">
      <c r="A341" s="1" t="s">
        <v>507</v>
      </c>
      <c r="B341" s="1" t="s">
        <v>512</v>
      </c>
      <c r="C341" s="2">
        <v>6.0</v>
      </c>
      <c r="D341" s="1" t="s">
        <v>55</v>
      </c>
      <c r="E341" s="1" t="s">
        <v>42</v>
      </c>
      <c r="F341" s="3"/>
      <c r="G341" s="1" t="s">
        <v>28</v>
      </c>
      <c r="H341" s="4">
        <v>0.19236111111111112</v>
      </c>
      <c r="I341" s="1" t="s">
        <v>359</v>
      </c>
      <c r="J341" s="1" t="s">
        <v>30</v>
      </c>
      <c r="K341" s="4">
        <v>0.41805555555555557</v>
      </c>
      <c r="L341" s="1" t="s">
        <v>114</v>
      </c>
      <c r="M341" s="1" t="s">
        <v>28</v>
      </c>
      <c r="N341" s="4">
        <v>0.6770833333333334</v>
      </c>
      <c r="O341" s="1" t="s">
        <v>292</v>
      </c>
      <c r="P341" s="1" t="s">
        <v>30</v>
      </c>
      <c r="Q341" s="4">
        <v>0.9673611111111111</v>
      </c>
      <c r="R341" s="1" t="s">
        <v>98</v>
      </c>
      <c r="S341" s="1">
        <f t="shared" si="1"/>
        <v>60</v>
      </c>
      <c r="T341" s="1">
        <f t="shared" si="2"/>
        <v>125</v>
      </c>
      <c r="U341" s="5">
        <f t="shared" si="3"/>
        <v>125</v>
      </c>
      <c r="V341" s="5" t="s">
        <v>47</v>
      </c>
    </row>
    <row r="342">
      <c r="A342" s="1" t="s">
        <v>507</v>
      </c>
      <c r="B342" s="1" t="s">
        <v>512</v>
      </c>
      <c r="C342" s="2">
        <v>7.0</v>
      </c>
      <c r="D342" s="1" t="s">
        <v>25</v>
      </c>
      <c r="E342" s="6"/>
      <c r="F342" s="3"/>
      <c r="G342" s="1" t="s">
        <v>28</v>
      </c>
      <c r="H342" s="4">
        <v>0.22361111111111112</v>
      </c>
      <c r="I342" s="1" t="s">
        <v>359</v>
      </c>
      <c r="J342" s="1" t="s">
        <v>30</v>
      </c>
      <c r="K342" s="4">
        <v>0.44305555555555554</v>
      </c>
      <c r="L342" s="1" t="s">
        <v>31</v>
      </c>
      <c r="M342" s="1" t="s">
        <v>28</v>
      </c>
      <c r="N342" s="4">
        <v>0.7027777777777777</v>
      </c>
      <c r="O342" s="1" t="s">
        <v>335</v>
      </c>
      <c r="P342" s="1" t="s">
        <v>30</v>
      </c>
      <c r="Q342" s="4">
        <v>0.9923611111111111</v>
      </c>
      <c r="R342" s="1" t="s">
        <v>475</v>
      </c>
      <c r="S342" s="1">
        <f t="shared" si="1"/>
        <v>61</v>
      </c>
      <c r="T342" s="1">
        <f t="shared" si="2"/>
        <v>137</v>
      </c>
      <c r="U342" s="5">
        <f t="shared" si="3"/>
        <v>137</v>
      </c>
      <c r="V342" s="5" t="s">
        <v>47</v>
      </c>
    </row>
    <row r="343">
      <c r="A343" s="1" t="s">
        <v>507</v>
      </c>
      <c r="B343" s="1" t="s">
        <v>512</v>
      </c>
      <c r="C343" s="2">
        <v>8.0</v>
      </c>
      <c r="D343" s="1" t="s">
        <v>75</v>
      </c>
      <c r="E343" s="6"/>
      <c r="F343" s="7" t="s">
        <v>143</v>
      </c>
      <c r="G343" s="1" t="s">
        <v>28</v>
      </c>
      <c r="H343" s="4">
        <v>0.25069444444444444</v>
      </c>
      <c r="I343" s="1" t="s">
        <v>359</v>
      </c>
      <c r="J343" s="1" t="s">
        <v>30</v>
      </c>
      <c r="K343" s="4">
        <v>0.4666666666666667</v>
      </c>
      <c r="L343" s="1" t="s">
        <v>469</v>
      </c>
      <c r="M343" s="1" t="s">
        <v>28</v>
      </c>
      <c r="N343" s="4">
        <v>0.7270833333333333</v>
      </c>
      <c r="O343" s="1" t="s">
        <v>89</v>
      </c>
      <c r="S343" s="1">
        <f t="shared" si="1"/>
        <v>63</v>
      </c>
      <c r="T343" s="1">
        <f t="shared" si="2"/>
        <v>49</v>
      </c>
      <c r="U343" s="5">
        <f t="shared" si="3"/>
        <v>63</v>
      </c>
      <c r="V343" s="5" t="s">
        <v>39</v>
      </c>
    </row>
    <row r="344">
      <c r="A344" s="1" t="s">
        <v>24</v>
      </c>
      <c r="B344" s="1" t="s">
        <v>512</v>
      </c>
      <c r="C344" s="2">
        <v>9.0</v>
      </c>
      <c r="D344" s="1" t="s">
        <v>86</v>
      </c>
      <c r="E344" s="6"/>
      <c r="F344" s="3"/>
      <c r="G344" s="1" t="s">
        <v>30</v>
      </c>
      <c r="H344" s="4">
        <v>0.015277777777777777</v>
      </c>
      <c r="I344" s="1" t="s">
        <v>456</v>
      </c>
      <c r="J344" s="1" t="s">
        <v>28</v>
      </c>
      <c r="K344" s="4">
        <v>0.27569444444444446</v>
      </c>
      <c r="L344" s="1" t="s">
        <v>145</v>
      </c>
      <c r="M344" s="1" t="s">
        <v>30</v>
      </c>
      <c r="N344" s="4">
        <v>0.4895833333333333</v>
      </c>
      <c r="O344" s="1" t="s">
        <v>37</v>
      </c>
      <c r="P344" s="1" t="s">
        <v>28</v>
      </c>
      <c r="Q344" s="4">
        <v>0.7506944444444444</v>
      </c>
      <c r="R344" s="1" t="s">
        <v>307</v>
      </c>
      <c r="S344" s="1">
        <f t="shared" si="1"/>
        <v>103</v>
      </c>
      <c r="T344" s="1">
        <f t="shared" si="2"/>
        <v>106</v>
      </c>
      <c r="U344" s="5">
        <f t="shared" si="3"/>
        <v>106</v>
      </c>
      <c r="V344" s="5" t="s">
        <v>90</v>
      </c>
    </row>
    <row r="345">
      <c r="A345" s="1" t="s">
        <v>24</v>
      </c>
      <c r="B345" s="1" t="s">
        <v>512</v>
      </c>
      <c r="C345" s="2">
        <v>10.0</v>
      </c>
      <c r="D345" s="1" t="s">
        <v>26</v>
      </c>
      <c r="E345" s="6"/>
      <c r="F345" s="3"/>
      <c r="G345" s="1" t="s">
        <v>30</v>
      </c>
      <c r="H345" s="4">
        <v>0.03819444444444445</v>
      </c>
      <c r="I345" s="1" t="s">
        <v>156</v>
      </c>
      <c r="J345" s="1" t="s">
        <v>28</v>
      </c>
      <c r="K345" s="4">
        <v>0.29930555555555555</v>
      </c>
      <c r="L345" s="1" t="s">
        <v>36</v>
      </c>
      <c r="M345" s="1" t="s">
        <v>30</v>
      </c>
      <c r="N345" s="4">
        <v>0.5131944444444444</v>
      </c>
      <c r="O345" s="1" t="s">
        <v>146</v>
      </c>
      <c r="P345" s="1" t="s">
        <v>28</v>
      </c>
      <c r="Q345" s="4">
        <v>0.7736111111111111</v>
      </c>
      <c r="R345" s="1" t="s">
        <v>195</v>
      </c>
      <c r="S345" s="1">
        <f t="shared" si="1"/>
        <v>103</v>
      </c>
      <c r="T345" s="1">
        <f t="shared" si="2"/>
        <v>108</v>
      </c>
      <c r="U345" s="5">
        <f t="shared" si="3"/>
        <v>108</v>
      </c>
      <c r="V345" s="5" t="s">
        <v>90</v>
      </c>
    </row>
    <row r="346">
      <c r="A346" s="1" t="s">
        <v>24</v>
      </c>
      <c r="B346" s="1" t="s">
        <v>512</v>
      </c>
      <c r="C346" s="2">
        <v>11.0</v>
      </c>
      <c r="D346" s="1" t="s">
        <v>34</v>
      </c>
      <c r="E346" s="6"/>
      <c r="F346" s="3"/>
      <c r="G346" s="1" t="s">
        <v>30</v>
      </c>
      <c r="H346" s="4">
        <v>0.06041666666666667</v>
      </c>
      <c r="I346" s="1" t="s">
        <v>456</v>
      </c>
      <c r="J346" s="1" t="s">
        <v>28</v>
      </c>
      <c r="K346" s="4">
        <v>0.3229166666666667</v>
      </c>
      <c r="L346" s="1" t="s">
        <v>426</v>
      </c>
      <c r="M346" s="1" t="s">
        <v>30</v>
      </c>
      <c r="N346" s="4">
        <v>0.5361111111111111</v>
      </c>
      <c r="O346" s="1" t="s">
        <v>37</v>
      </c>
      <c r="P346" s="1" t="s">
        <v>28</v>
      </c>
      <c r="Q346" s="4">
        <v>0.7965277777777777</v>
      </c>
      <c r="R346" s="1" t="s">
        <v>265</v>
      </c>
      <c r="S346" s="1">
        <f t="shared" si="1"/>
        <v>100</v>
      </c>
      <c r="T346" s="1">
        <f t="shared" si="2"/>
        <v>105</v>
      </c>
      <c r="U346" s="5">
        <f t="shared" si="3"/>
        <v>105</v>
      </c>
      <c r="V346" s="5" t="s">
        <v>90</v>
      </c>
    </row>
    <row r="347">
      <c r="A347" s="1" t="s">
        <v>24</v>
      </c>
      <c r="B347" s="1" t="s">
        <v>512</v>
      </c>
      <c r="C347" s="2">
        <v>12.0</v>
      </c>
      <c r="D347" s="1" t="s">
        <v>41</v>
      </c>
      <c r="E347" s="1" t="s">
        <v>42</v>
      </c>
      <c r="F347" s="3"/>
      <c r="G347" s="1" t="s">
        <v>30</v>
      </c>
      <c r="H347" s="4">
        <v>0.08333333333333333</v>
      </c>
      <c r="I347" s="1" t="s">
        <v>475</v>
      </c>
      <c r="J347" s="1" t="s">
        <v>28</v>
      </c>
      <c r="K347" s="4">
        <v>0.3458333333333333</v>
      </c>
      <c r="L347" s="1" t="s">
        <v>29</v>
      </c>
      <c r="M347" s="1" t="s">
        <v>30</v>
      </c>
      <c r="N347" s="4">
        <v>0.5604166666666667</v>
      </c>
      <c r="O347" s="1" t="s">
        <v>469</v>
      </c>
      <c r="P347" s="1" t="s">
        <v>28</v>
      </c>
      <c r="Q347" s="4">
        <v>0.8201388888888889</v>
      </c>
      <c r="R347" s="1" t="s">
        <v>301</v>
      </c>
      <c r="S347" s="1">
        <f t="shared" si="1"/>
        <v>94</v>
      </c>
      <c r="T347" s="1">
        <f t="shared" si="2"/>
        <v>101</v>
      </c>
      <c r="U347" s="5">
        <f t="shared" si="3"/>
        <v>101</v>
      </c>
      <c r="V347" s="5" t="s">
        <v>90</v>
      </c>
    </row>
    <row r="348">
      <c r="A348" s="1" t="s">
        <v>24</v>
      </c>
      <c r="B348" s="1" t="s">
        <v>512</v>
      </c>
      <c r="C348" s="2">
        <v>13.0</v>
      </c>
      <c r="D348" s="1" t="s">
        <v>55</v>
      </c>
      <c r="E348" s="1" t="s">
        <v>42</v>
      </c>
      <c r="F348" s="3"/>
      <c r="G348" s="1" t="s">
        <v>30</v>
      </c>
      <c r="H348" s="4">
        <v>0.10625</v>
      </c>
      <c r="I348" s="1" t="s">
        <v>300</v>
      </c>
      <c r="J348" s="1" t="s">
        <v>28</v>
      </c>
      <c r="K348" s="4">
        <v>0.36944444444444446</v>
      </c>
      <c r="L348" s="1" t="s">
        <v>113</v>
      </c>
      <c r="M348" s="1" t="s">
        <v>30</v>
      </c>
      <c r="N348" s="4">
        <v>0.5861111111111111</v>
      </c>
      <c r="O348" s="1" t="s">
        <v>114</v>
      </c>
      <c r="P348" s="1" t="s">
        <v>28</v>
      </c>
      <c r="Q348" s="4">
        <v>0.8451388888888889</v>
      </c>
      <c r="R348" s="1" t="s">
        <v>251</v>
      </c>
      <c r="S348" s="1">
        <f t="shared" si="1"/>
        <v>87</v>
      </c>
      <c r="T348" s="1">
        <f t="shared" si="2"/>
        <v>93</v>
      </c>
      <c r="U348" s="5">
        <f t="shared" si="3"/>
        <v>93</v>
      </c>
      <c r="V348" s="5" t="s">
        <v>90</v>
      </c>
    </row>
    <row r="349">
      <c r="A349" s="1" t="s">
        <v>24</v>
      </c>
      <c r="B349" s="1" t="s">
        <v>512</v>
      </c>
      <c r="C349" s="2">
        <v>14.0</v>
      </c>
      <c r="D349" s="1" t="s">
        <v>25</v>
      </c>
      <c r="E349" s="6"/>
      <c r="F349" s="3"/>
      <c r="G349" s="1" t="s">
        <v>30</v>
      </c>
      <c r="H349" s="4">
        <v>0.13125</v>
      </c>
      <c r="I349" s="1" t="s">
        <v>302</v>
      </c>
      <c r="J349" s="1" t="s">
        <v>28</v>
      </c>
      <c r="K349" s="4">
        <v>0.3958333333333333</v>
      </c>
      <c r="L349" s="1" t="s">
        <v>397</v>
      </c>
      <c r="M349" s="1" t="s">
        <v>30</v>
      </c>
      <c r="N349" s="4">
        <v>0.6152777777777778</v>
      </c>
      <c r="O349" s="1" t="s">
        <v>112</v>
      </c>
      <c r="P349" s="1" t="s">
        <v>28</v>
      </c>
      <c r="Q349" s="4">
        <v>0.8722222222222222</v>
      </c>
      <c r="R349" s="1" t="s">
        <v>218</v>
      </c>
      <c r="S349" s="1">
        <f t="shared" si="1"/>
        <v>80</v>
      </c>
      <c r="T349" s="1">
        <f t="shared" si="2"/>
        <v>81</v>
      </c>
      <c r="U349" s="5">
        <f t="shared" si="3"/>
        <v>81</v>
      </c>
      <c r="V349" s="5" t="s">
        <v>39</v>
      </c>
    </row>
    <row r="350">
      <c r="A350" s="1" t="s">
        <v>24</v>
      </c>
      <c r="B350" s="1" t="s">
        <v>512</v>
      </c>
      <c r="C350" s="2">
        <v>15.0</v>
      </c>
      <c r="D350" s="1" t="s">
        <v>75</v>
      </c>
      <c r="E350" s="6"/>
      <c r="F350" s="3"/>
      <c r="G350" s="1" t="s">
        <v>30</v>
      </c>
      <c r="H350" s="4">
        <v>0.15763888888888888</v>
      </c>
      <c r="I350" s="1" t="s">
        <v>108</v>
      </c>
      <c r="J350" s="1" t="s">
        <v>28</v>
      </c>
      <c r="K350" s="4">
        <v>0.4263888888888889</v>
      </c>
      <c r="L350" s="1" t="s">
        <v>397</v>
      </c>
      <c r="M350" s="1" t="s">
        <v>30</v>
      </c>
      <c r="N350" s="4">
        <v>0.6506944444444445</v>
      </c>
      <c r="O350" s="1" t="s">
        <v>117</v>
      </c>
      <c r="P350" s="1" t="s">
        <v>28</v>
      </c>
      <c r="Q350" s="4">
        <v>0.9034722222222222</v>
      </c>
      <c r="R350" s="1" t="s">
        <v>178</v>
      </c>
      <c r="S350" s="1">
        <f t="shared" si="1"/>
        <v>73</v>
      </c>
      <c r="T350" s="1">
        <f t="shared" si="2"/>
        <v>70</v>
      </c>
      <c r="U350" s="5">
        <f t="shared" si="3"/>
        <v>73</v>
      </c>
      <c r="V350" s="5" t="s">
        <v>39</v>
      </c>
    </row>
    <row r="351">
      <c r="A351" s="1" t="s">
        <v>24</v>
      </c>
      <c r="B351" s="1" t="s">
        <v>512</v>
      </c>
      <c r="C351" s="2">
        <v>16.0</v>
      </c>
      <c r="D351" s="1" t="s">
        <v>86</v>
      </c>
      <c r="E351" s="6"/>
      <c r="F351" s="7" t="s">
        <v>184</v>
      </c>
      <c r="G351" s="1" t="s">
        <v>30</v>
      </c>
      <c r="H351" s="4">
        <v>0.18819444444444444</v>
      </c>
      <c r="I351" s="1" t="s">
        <v>182</v>
      </c>
      <c r="J351" s="1" t="s">
        <v>28</v>
      </c>
      <c r="K351" s="4">
        <v>0.4618055555555556</v>
      </c>
      <c r="L351" s="1" t="s">
        <v>29</v>
      </c>
      <c r="M351" s="1" t="s">
        <v>30</v>
      </c>
      <c r="N351" s="4">
        <v>0.6951388888888889</v>
      </c>
      <c r="O351" s="1" t="s">
        <v>446</v>
      </c>
      <c r="P351" s="1" t="s">
        <v>28</v>
      </c>
      <c r="Q351" s="4">
        <v>0.9416666666666667</v>
      </c>
      <c r="R351" s="1" t="s">
        <v>109</v>
      </c>
      <c r="S351" s="1">
        <f t="shared" si="1"/>
        <v>69</v>
      </c>
      <c r="T351" s="1">
        <f t="shared" si="2"/>
        <v>58</v>
      </c>
      <c r="U351" s="5">
        <f t="shared" si="3"/>
        <v>69</v>
      </c>
      <c r="V351" s="5" t="s">
        <v>39</v>
      </c>
    </row>
    <row r="352">
      <c r="A352" s="1" t="s">
        <v>24</v>
      </c>
      <c r="B352" s="1" t="s">
        <v>512</v>
      </c>
      <c r="C352" s="2">
        <v>17.0</v>
      </c>
      <c r="D352" s="1" t="s">
        <v>26</v>
      </c>
      <c r="E352" s="6"/>
      <c r="F352" s="3"/>
      <c r="G352" s="1" t="s">
        <v>30</v>
      </c>
      <c r="H352" s="4">
        <v>0.22291666666666668</v>
      </c>
      <c r="I352" s="1" t="s">
        <v>186</v>
      </c>
      <c r="J352" s="1" t="s">
        <v>28</v>
      </c>
      <c r="K352" s="4">
        <v>0.5006944444444444</v>
      </c>
      <c r="L352" s="1" t="s">
        <v>145</v>
      </c>
      <c r="M352" s="1" t="s">
        <v>30</v>
      </c>
      <c r="N352" s="4">
        <v>0.7493055555555556</v>
      </c>
      <c r="O352" s="1" t="s">
        <v>224</v>
      </c>
      <c r="P352" s="1" t="s">
        <v>28</v>
      </c>
      <c r="Q352" s="4">
        <v>0.9888888888888889</v>
      </c>
      <c r="R352" s="1" t="s">
        <v>359</v>
      </c>
      <c r="S352" s="1">
        <f t="shared" si="1"/>
        <v>68</v>
      </c>
      <c r="T352" s="1">
        <f t="shared" si="2"/>
        <v>52</v>
      </c>
      <c r="U352" s="5">
        <f t="shared" si="3"/>
        <v>68</v>
      </c>
      <c r="V352" s="5" t="s">
        <v>39</v>
      </c>
    </row>
    <row r="353">
      <c r="A353" s="1" t="s">
        <v>24</v>
      </c>
      <c r="B353" s="1" t="s">
        <v>512</v>
      </c>
      <c r="C353" s="2">
        <v>18.0</v>
      </c>
      <c r="D353" s="1" t="s">
        <v>34</v>
      </c>
      <c r="E353" s="6"/>
      <c r="F353" s="3"/>
      <c r="G353" s="1" t="s">
        <v>30</v>
      </c>
      <c r="H353" s="4">
        <v>0.2625</v>
      </c>
      <c r="I353" s="1" t="s">
        <v>146</v>
      </c>
      <c r="J353" s="1" t="s">
        <v>28</v>
      </c>
      <c r="K353" s="4">
        <v>0.5395833333333333</v>
      </c>
      <c r="L353" s="1" t="s">
        <v>111</v>
      </c>
      <c r="M353" s="1" t="s">
        <v>30</v>
      </c>
      <c r="N353" s="4">
        <v>0.8055555555555556</v>
      </c>
      <c r="O353" s="1" t="s">
        <v>134</v>
      </c>
      <c r="S353" s="1">
        <f t="shared" si="1"/>
        <v>70</v>
      </c>
      <c r="T353" s="1">
        <f t="shared" si="2"/>
        <v>50</v>
      </c>
      <c r="U353" s="5">
        <f t="shared" si="3"/>
        <v>70</v>
      </c>
      <c r="V353" s="5" t="s">
        <v>39</v>
      </c>
    </row>
    <row r="354">
      <c r="A354" s="1" t="s">
        <v>24</v>
      </c>
      <c r="B354" s="1" t="s">
        <v>512</v>
      </c>
      <c r="C354" s="2">
        <v>19.0</v>
      </c>
      <c r="D354" s="1" t="s">
        <v>41</v>
      </c>
      <c r="E354" s="1" t="s">
        <v>42</v>
      </c>
      <c r="F354" s="3"/>
      <c r="G354" s="1" t="s">
        <v>28</v>
      </c>
      <c r="H354" s="4">
        <v>0.04513888888888889</v>
      </c>
      <c r="I354" s="1" t="s">
        <v>249</v>
      </c>
      <c r="J354" s="1" t="s">
        <v>30</v>
      </c>
      <c r="K354" s="4">
        <v>0.3034722222222222</v>
      </c>
      <c r="L354" s="1" t="s">
        <v>257</v>
      </c>
      <c r="M354" s="1" t="s">
        <v>28</v>
      </c>
      <c r="N354" s="4">
        <v>0.5763888888888888</v>
      </c>
      <c r="O354" s="1" t="s">
        <v>123</v>
      </c>
      <c r="P354" s="1" t="s">
        <v>30</v>
      </c>
      <c r="Q354" s="4">
        <v>0.85625</v>
      </c>
      <c r="R354" s="1" t="s">
        <v>88</v>
      </c>
      <c r="S354" s="1">
        <f t="shared" si="1"/>
        <v>57</v>
      </c>
      <c r="T354" s="1">
        <f t="shared" si="2"/>
        <v>85</v>
      </c>
      <c r="U354" s="5">
        <f t="shared" si="3"/>
        <v>85</v>
      </c>
      <c r="V354" s="5" t="s">
        <v>39</v>
      </c>
    </row>
    <row r="355">
      <c r="A355" s="1" t="s">
        <v>24</v>
      </c>
      <c r="B355" s="1" t="s">
        <v>512</v>
      </c>
      <c r="C355" s="2">
        <v>20.0</v>
      </c>
      <c r="D355" s="1" t="s">
        <v>55</v>
      </c>
      <c r="E355" s="1" t="s">
        <v>42</v>
      </c>
      <c r="F355" s="3"/>
      <c r="G355" s="1" t="s">
        <v>28</v>
      </c>
      <c r="H355" s="4">
        <v>0.10208333333333333</v>
      </c>
      <c r="I355" s="1" t="s">
        <v>29</v>
      </c>
      <c r="J355" s="1" t="s">
        <v>30</v>
      </c>
      <c r="K355" s="4">
        <v>0.34375</v>
      </c>
      <c r="L355" s="1" t="s">
        <v>114</v>
      </c>
      <c r="M355" s="1" t="s">
        <v>28</v>
      </c>
      <c r="N355" s="4">
        <v>0.6125</v>
      </c>
      <c r="O355" s="1" t="s">
        <v>218</v>
      </c>
      <c r="P355" s="1" t="s">
        <v>30</v>
      </c>
      <c r="Q355" s="4">
        <v>0.8993055555555556</v>
      </c>
      <c r="R355" s="1" t="s">
        <v>219</v>
      </c>
      <c r="S355" s="1">
        <f t="shared" si="1"/>
        <v>54</v>
      </c>
      <c r="T355" s="1">
        <f t="shared" si="2"/>
        <v>111</v>
      </c>
      <c r="U355" s="5">
        <f t="shared" si="3"/>
        <v>111</v>
      </c>
      <c r="V355" s="5" t="s">
        <v>90</v>
      </c>
    </row>
    <row r="356">
      <c r="A356" s="1" t="s">
        <v>24</v>
      </c>
      <c r="B356" s="1" t="s">
        <v>512</v>
      </c>
      <c r="C356" s="2">
        <v>21.0</v>
      </c>
      <c r="D356" s="1" t="s">
        <v>25</v>
      </c>
      <c r="E356" s="6"/>
      <c r="F356" s="3"/>
      <c r="G356" s="1" t="s">
        <v>28</v>
      </c>
      <c r="H356" s="4">
        <v>0.15347222222222223</v>
      </c>
      <c r="I356" s="1" t="s">
        <v>426</v>
      </c>
      <c r="J356" s="1" t="s">
        <v>30</v>
      </c>
      <c r="K356" s="4">
        <v>0.38125</v>
      </c>
      <c r="L356" s="1" t="s">
        <v>31</v>
      </c>
      <c r="M356" s="1" t="s">
        <v>28</v>
      </c>
      <c r="N356" s="4">
        <v>0.6479166666666667</v>
      </c>
      <c r="O356" s="1" t="s">
        <v>335</v>
      </c>
      <c r="P356" s="1" t="s">
        <v>30</v>
      </c>
      <c r="Q356" s="4">
        <v>0.9381944444444444</v>
      </c>
      <c r="R356" s="1" t="s">
        <v>415</v>
      </c>
      <c r="S356" s="1">
        <f t="shared" si="1"/>
        <v>57</v>
      </c>
      <c r="T356" s="1">
        <f t="shared" si="2"/>
        <v>139</v>
      </c>
      <c r="U356" s="5">
        <f t="shared" si="3"/>
        <v>139</v>
      </c>
      <c r="V356" s="5" t="s">
        <v>47</v>
      </c>
    </row>
    <row r="357">
      <c r="A357" s="1" t="s">
        <v>24</v>
      </c>
      <c r="B357" s="1" t="s">
        <v>512</v>
      </c>
      <c r="C357" s="2">
        <v>22.0</v>
      </c>
      <c r="D357" s="1" t="s">
        <v>75</v>
      </c>
      <c r="E357" s="6"/>
      <c r="F357" s="3"/>
      <c r="G357" s="1" t="s">
        <v>28</v>
      </c>
      <c r="H357" s="4">
        <v>0.19652777777777777</v>
      </c>
      <c r="I357" s="1" t="s">
        <v>359</v>
      </c>
      <c r="J357" s="1" t="s">
        <v>30</v>
      </c>
      <c r="K357" s="4">
        <v>0.4173611111111111</v>
      </c>
      <c r="L357" s="1" t="s">
        <v>469</v>
      </c>
      <c r="M357" s="1" t="s">
        <v>28</v>
      </c>
      <c r="N357" s="4">
        <v>0.6826388888888889</v>
      </c>
      <c r="O357" s="1" t="s">
        <v>434</v>
      </c>
      <c r="P357" s="1" t="s">
        <v>30</v>
      </c>
      <c r="Q357" s="4">
        <v>0.9743055555555555</v>
      </c>
      <c r="R357" s="1" t="s">
        <v>513</v>
      </c>
      <c r="S357" s="1">
        <f t="shared" si="1"/>
        <v>63</v>
      </c>
      <c r="T357" s="1">
        <f t="shared" si="2"/>
        <v>164</v>
      </c>
      <c r="U357" s="5">
        <f t="shared" si="3"/>
        <v>164</v>
      </c>
      <c r="V357" s="5" t="s">
        <v>47</v>
      </c>
    </row>
    <row r="358">
      <c r="A358" s="1" t="s">
        <v>24</v>
      </c>
      <c r="B358" s="1" t="s">
        <v>512</v>
      </c>
      <c r="C358" s="2">
        <v>23.0</v>
      </c>
      <c r="D358" s="1" t="s">
        <v>86</v>
      </c>
      <c r="E358" s="6"/>
      <c r="F358" s="7" t="s">
        <v>35</v>
      </c>
      <c r="G358" s="1" t="s">
        <v>28</v>
      </c>
      <c r="H358" s="4">
        <v>0.23472222222222222</v>
      </c>
      <c r="I358" s="1" t="s">
        <v>157</v>
      </c>
      <c r="J358" s="1" t="s">
        <v>30</v>
      </c>
      <c r="K358" s="4">
        <v>0.45208333333333334</v>
      </c>
      <c r="L358" s="1" t="s">
        <v>277</v>
      </c>
      <c r="M358" s="1" t="s">
        <v>28</v>
      </c>
      <c r="N358" s="4">
        <v>0.7180555555555556</v>
      </c>
      <c r="O358" s="1" t="s">
        <v>436</v>
      </c>
      <c r="S358" s="1">
        <f t="shared" si="1"/>
        <v>69</v>
      </c>
      <c r="T358" s="1">
        <f t="shared" si="2"/>
        <v>68</v>
      </c>
      <c r="U358" s="5">
        <f t="shared" si="3"/>
        <v>69</v>
      </c>
      <c r="V358" s="5" t="s">
        <v>39</v>
      </c>
    </row>
    <row r="359">
      <c r="A359" s="1" t="s">
        <v>24</v>
      </c>
      <c r="B359" s="1" t="s">
        <v>512</v>
      </c>
      <c r="C359" s="2">
        <v>24.0</v>
      </c>
      <c r="D359" s="1" t="s">
        <v>26</v>
      </c>
      <c r="E359" s="6"/>
      <c r="F359" s="3"/>
      <c r="G359" s="1" t="s">
        <v>30</v>
      </c>
      <c r="H359" s="4">
        <v>0.009722222222222222</v>
      </c>
      <c r="I359" s="1" t="s">
        <v>43</v>
      </c>
      <c r="J359" s="1" t="s">
        <v>28</v>
      </c>
      <c r="K359" s="4">
        <v>0.26944444444444443</v>
      </c>
      <c r="L359" s="1" t="s">
        <v>111</v>
      </c>
      <c r="M359" s="1" t="s">
        <v>30</v>
      </c>
      <c r="N359" s="4">
        <v>0.4861111111111111</v>
      </c>
      <c r="O359" s="1" t="s">
        <v>186</v>
      </c>
      <c r="P359" s="1" t="s">
        <v>28</v>
      </c>
      <c r="Q359" s="4">
        <v>0.7520833333333333</v>
      </c>
      <c r="R359" s="1" t="s">
        <v>298</v>
      </c>
      <c r="S359" s="1">
        <f t="shared" si="1"/>
        <v>128</v>
      </c>
      <c r="T359" s="1">
        <f t="shared" si="2"/>
        <v>135</v>
      </c>
      <c r="U359" s="5">
        <f t="shared" si="3"/>
        <v>135</v>
      </c>
      <c r="V359" s="5" t="s">
        <v>47</v>
      </c>
    </row>
    <row r="360">
      <c r="A360" s="1" t="s">
        <v>24</v>
      </c>
      <c r="B360" s="1" t="s">
        <v>512</v>
      </c>
      <c r="C360" s="2">
        <v>25.0</v>
      </c>
      <c r="D360" s="1" t="s">
        <v>34</v>
      </c>
      <c r="E360" s="1" t="s">
        <v>514</v>
      </c>
      <c r="F360" s="3"/>
      <c r="G360" s="1" t="s">
        <v>30</v>
      </c>
      <c r="H360" s="4">
        <v>0.04375</v>
      </c>
      <c r="I360" s="1" t="s">
        <v>515</v>
      </c>
      <c r="J360" s="1" t="s">
        <v>28</v>
      </c>
      <c r="K360" s="4">
        <v>0.3020833333333333</v>
      </c>
      <c r="L360" s="1" t="s">
        <v>65</v>
      </c>
      <c r="M360" s="1" t="s">
        <v>30</v>
      </c>
      <c r="N360" s="4">
        <v>0.5208333333333334</v>
      </c>
      <c r="O360" s="1" t="s">
        <v>58</v>
      </c>
      <c r="P360" s="1" t="s">
        <v>28</v>
      </c>
      <c r="Q360" s="4">
        <v>0.7861111111111111</v>
      </c>
      <c r="R360" s="1" t="s">
        <v>346</v>
      </c>
      <c r="S360" s="1">
        <f t="shared" si="1"/>
        <v>133</v>
      </c>
      <c r="T360" s="1">
        <f t="shared" si="2"/>
        <v>140</v>
      </c>
      <c r="U360" s="5">
        <f t="shared" si="3"/>
        <v>140</v>
      </c>
      <c r="V360" s="5" t="s">
        <v>47</v>
      </c>
    </row>
    <row r="361">
      <c r="A361" s="1" t="s">
        <v>24</v>
      </c>
      <c r="B361" s="1" t="s">
        <v>512</v>
      </c>
      <c r="C361" s="2">
        <v>26.0</v>
      </c>
      <c r="D361" s="1" t="s">
        <v>41</v>
      </c>
      <c r="E361" s="1" t="s">
        <v>42</v>
      </c>
      <c r="F361" s="3"/>
      <c r="G361" s="1" t="s">
        <v>30</v>
      </c>
      <c r="H361" s="4">
        <v>0.07777777777777778</v>
      </c>
      <c r="I361" s="1" t="s">
        <v>516</v>
      </c>
      <c r="J361" s="1" t="s">
        <v>28</v>
      </c>
      <c r="K361" s="4">
        <v>0.3347222222222222</v>
      </c>
      <c r="L361" s="1" t="s">
        <v>77</v>
      </c>
      <c r="M361" s="1" t="s">
        <v>30</v>
      </c>
      <c r="N361" s="4">
        <v>0.5555555555555556</v>
      </c>
      <c r="O361" s="1" t="s">
        <v>66</v>
      </c>
      <c r="P361" s="1" t="s">
        <v>28</v>
      </c>
      <c r="Q361" s="4">
        <v>0.8194444444444444</v>
      </c>
      <c r="R361" s="1" t="s">
        <v>59</v>
      </c>
      <c r="S361" s="1">
        <f t="shared" si="1"/>
        <v>132</v>
      </c>
      <c r="T361" s="1">
        <f t="shared" si="2"/>
        <v>139</v>
      </c>
      <c r="U361" s="5">
        <f t="shared" si="3"/>
        <v>139</v>
      </c>
      <c r="V361" s="5" t="s">
        <v>47</v>
      </c>
    </row>
    <row r="362">
      <c r="A362" s="1" t="s">
        <v>24</v>
      </c>
      <c r="B362" s="1" t="s">
        <v>512</v>
      </c>
      <c r="C362" s="2">
        <v>27.0</v>
      </c>
      <c r="D362" s="1" t="s">
        <v>55</v>
      </c>
      <c r="E362" s="1" t="s">
        <v>42</v>
      </c>
      <c r="F362" s="3"/>
      <c r="G362" s="1" t="s">
        <v>30</v>
      </c>
      <c r="H362" s="4">
        <v>0.11041666666666666</v>
      </c>
      <c r="I362" s="1" t="s">
        <v>510</v>
      </c>
      <c r="J362" s="1" t="s">
        <v>28</v>
      </c>
      <c r="K362" s="4">
        <v>0.3659722222222222</v>
      </c>
      <c r="L362" s="1" t="s">
        <v>77</v>
      </c>
      <c r="M362" s="1" t="s">
        <v>30</v>
      </c>
      <c r="N362" s="4">
        <v>0.5916666666666667</v>
      </c>
      <c r="O362" s="1" t="s">
        <v>313</v>
      </c>
      <c r="P362" s="1" t="s">
        <v>28</v>
      </c>
      <c r="Q362" s="4">
        <v>0.8527777777777777</v>
      </c>
      <c r="R362" s="1" t="s">
        <v>216</v>
      </c>
      <c r="S362" s="1">
        <f t="shared" si="1"/>
        <v>126</v>
      </c>
      <c r="T362" s="1">
        <f t="shared" si="2"/>
        <v>128</v>
      </c>
      <c r="U362" s="5">
        <f t="shared" si="3"/>
        <v>128</v>
      </c>
      <c r="V362" s="5" t="s">
        <v>47</v>
      </c>
    </row>
    <row r="363">
      <c r="A363" s="1" t="s">
        <v>24</v>
      </c>
      <c r="B363" s="1" t="s">
        <v>512</v>
      </c>
      <c r="C363" s="2">
        <v>28.0</v>
      </c>
      <c r="D363" s="1" t="s">
        <v>25</v>
      </c>
      <c r="E363" s="6"/>
      <c r="F363" s="3"/>
      <c r="G363" s="1" t="s">
        <v>30</v>
      </c>
      <c r="H363" s="4">
        <v>0.1423611111111111</v>
      </c>
      <c r="I363" s="1" t="s">
        <v>511</v>
      </c>
      <c r="J363" s="1" t="s">
        <v>28</v>
      </c>
      <c r="K363" s="4">
        <v>0.39791666666666664</v>
      </c>
      <c r="L363" s="1" t="s">
        <v>77</v>
      </c>
      <c r="M363" s="1" t="s">
        <v>30</v>
      </c>
      <c r="N363" s="4">
        <v>0.6298611111111111</v>
      </c>
      <c r="O363" s="1" t="s">
        <v>88</v>
      </c>
      <c r="P363" s="1" t="s">
        <v>28</v>
      </c>
      <c r="Q363" s="4">
        <v>0.8875</v>
      </c>
      <c r="R363" s="1" t="s">
        <v>89</v>
      </c>
      <c r="S363" s="1">
        <f t="shared" si="1"/>
        <v>115</v>
      </c>
      <c r="T363" s="1">
        <f t="shared" si="2"/>
        <v>111</v>
      </c>
      <c r="U363" s="5">
        <f t="shared" si="3"/>
        <v>115</v>
      </c>
      <c r="V363" s="5" t="s">
        <v>90</v>
      </c>
    </row>
    <row r="364">
      <c r="A364" s="1" t="s">
        <v>24</v>
      </c>
      <c r="B364" s="1" t="s">
        <v>512</v>
      </c>
      <c r="C364" s="2">
        <v>29.0</v>
      </c>
      <c r="D364" s="1" t="s">
        <v>75</v>
      </c>
      <c r="E364" s="6"/>
      <c r="F364" s="3"/>
      <c r="G364" s="1" t="s">
        <v>30</v>
      </c>
      <c r="H364" s="4">
        <v>0.17291666666666666</v>
      </c>
      <c r="I364" s="1" t="s">
        <v>132</v>
      </c>
      <c r="J364" s="1" t="s">
        <v>28</v>
      </c>
      <c r="K364" s="4">
        <v>0.42986111111111114</v>
      </c>
      <c r="L364" s="1" t="s">
        <v>77</v>
      </c>
      <c r="M364" s="1" t="s">
        <v>30</v>
      </c>
      <c r="N364" s="4">
        <v>0.6715277777777777</v>
      </c>
      <c r="O364" s="1" t="s">
        <v>277</v>
      </c>
      <c r="P364" s="1" t="s">
        <v>28</v>
      </c>
      <c r="Q364" s="4">
        <v>0.9243055555555556</v>
      </c>
      <c r="R364" s="1" t="s">
        <v>183</v>
      </c>
      <c r="S364" s="1">
        <f t="shared" si="1"/>
        <v>102</v>
      </c>
      <c r="T364" s="1">
        <f t="shared" si="2"/>
        <v>89</v>
      </c>
      <c r="U364" s="5">
        <f t="shared" si="3"/>
        <v>102</v>
      </c>
      <c r="V364" s="5" t="s">
        <v>90</v>
      </c>
    </row>
    <row r="365">
      <c r="A365" s="1" t="s">
        <v>24</v>
      </c>
      <c r="B365" s="1" t="s">
        <v>512</v>
      </c>
      <c r="C365" s="2">
        <v>30.0</v>
      </c>
      <c r="D365" s="1" t="s">
        <v>86</v>
      </c>
      <c r="E365" s="6"/>
      <c r="F365" s="7" t="s">
        <v>107</v>
      </c>
      <c r="G365" s="1" t="s">
        <v>30</v>
      </c>
      <c r="H365" s="4">
        <v>0.20347222222222222</v>
      </c>
      <c r="I365" s="1" t="s">
        <v>215</v>
      </c>
      <c r="J365" s="1" t="s">
        <v>28</v>
      </c>
      <c r="K365" s="4">
        <v>0.46458333333333335</v>
      </c>
      <c r="L365" s="1" t="s">
        <v>77</v>
      </c>
      <c r="M365" s="1" t="s">
        <v>30</v>
      </c>
      <c r="N365" s="4">
        <v>0.7180555555555556</v>
      </c>
      <c r="O365" s="1" t="s">
        <v>257</v>
      </c>
      <c r="P365" s="1" t="s">
        <v>28</v>
      </c>
      <c r="Q365" s="4">
        <v>0.9659722222222222</v>
      </c>
      <c r="R365" s="1" t="s">
        <v>111</v>
      </c>
      <c r="S365" s="1">
        <f t="shared" si="1"/>
        <v>89</v>
      </c>
      <c r="T365" s="1">
        <f t="shared" si="2"/>
        <v>67</v>
      </c>
      <c r="U365" s="5">
        <f t="shared" si="3"/>
        <v>89</v>
      </c>
      <c r="V365" s="5" t="s">
        <v>39</v>
      </c>
    </row>
    <row r="366">
      <c r="A366" s="1" t="s">
        <v>24</v>
      </c>
      <c r="B366" s="1" t="s">
        <v>512</v>
      </c>
      <c r="C366" s="2">
        <v>31.0</v>
      </c>
      <c r="D366" s="1" t="s">
        <v>26</v>
      </c>
      <c r="E366" s="6"/>
      <c r="G366" s="1" t="s">
        <v>30</v>
      </c>
      <c r="H366" s="4">
        <v>0.23472222222222222</v>
      </c>
      <c r="I366" s="1" t="s">
        <v>110</v>
      </c>
      <c r="J366" s="1" t="s">
        <v>28</v>
      </c>
      <c r="K366" s="4">
        <v>0.5013888888888889</v>
      </c>
      <c r="L366" s="1" t="s">
        <v>77</v>
      </c>
      <c r="M366" s="1" t="s">
        <v>30</v>
      </c>
      <c r="N366" s="4">
        <v>0.7743055555555556</v>
      </c>
      <c r="O366" s="1" t="s">
        <v>114</v>
      </c>
      <c r="S366" s="1">
        <f t="shared" si="1"/>
        <v>77</v>
      </c>
      <c r="T366" s="1">
        <f t="shared" si="2"/>
        <v>51</v>
      </c>
      <c r="U366" s="5">
        <f t="shared" si="3"/>
        <v>77</v>
      </c>
      <c r="V366" s="5" t="s">
        <v>39</v>
      </c>
    </row>
  </sheetData>
  <mergeCells count="12">
    <mergeCell ref="Z87:AF87"/>
    <mergeCell ref="Z99:AF99"/>
    <mergeCell ref="Z111:AF111"/>
    <mergeCell ref="Z123:AF123"/>
    <mergeCell ref="Z135:AF135"/>
    <mergeCell ref="Z3:AF3"/>
    <mergeCell ref="Z15:AF15"/>
    <mergeCell ref="Z27:AF27"/>
    <mergeCell ref="Z39:AF39"/>
    <mergeCell ref="Z51:AF51"/>
    <mergeCell ref="Z63:AF63"/>
    <mergeCell ref="Z75:AF7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5.25"/>
    <col customWidth="1" min="3" max="3" width="10.5"/>
    <col customWidth="1" min="4" max="4" width="15.75"/>
    <col customWidth="1" min="5" max="5" width="10.0"/>
    <col customWidth="1" min="6" max="6" width="36.25"/>
    <col customWidth="1" min="7" max="7" width="23.63"/>
    <col customWidth="1" min="8" max="8" width="38.88"/>
    <col customWidth="1" min="9" max="10" width="7.0"/>
    <col customWidth="1" min="11" max="11" width="10.63"/>
    <col customWidth="1" min="12" max="13" width="7.0"/>
    <col customWidth="1" min="14" max="14" width="10.63"/>
    <col customWidth="1" min="15" max="15" width="12.88"/>
    <col customWidth="1" min="16" max="16" width="14.13"/>
    <col customWidth="1" min="17" max="17" width="10.38"/>
    <col customWidth="1" min="18" max="18" width="12.88"/>
    <col customWidth="1" min="19" max="20" width="24.38"/>
    <col customWidth="1" min="21" max="21" width="9.5"/>
    <col customWidth="1" min="22" max="22" width="9.0"/>
    <col customWidth="1" min="23" max="23" width="10.0"/>
    <col customWidth="1" min="24" max="24" width="25.13"/>
    <col customWidth="1" min="25" max="25" width="24.25"/>
    <col customWidth="1" min="26" max="37" width="26.0"/>
    <col customWidth="1" min="38" max="38" width="26.5"/>
    <col customWidth="1" min="39" max="47" width="26.0"/>
    <col customWidth="1" min="48" max="49" width="25.63"/>
    <col customWidth="1" min="50" max="51" width="24.25"/>
    <col customWidth="1" min="52" max="53" width="26.0"/>
    <col customWidth="1" min="54" max="54" width="26.5"/>
    <col customWidth="1" min="55" max="55" width="24.38"/>
    <col customWidth="1" min="56" max="56" width="26.0"/>
    <col customWidth="1" min="57" max="57" width="25.63"/>
    <col customWidth="1" min="58" max="58" width="24.38"/>
    <col customWidth="1" min="59" max="60" width="26.0"/>
    <col customWidth="1" min="61" max="62" width="26.5"/>
    <col customWidth="1" min="63" max="63" width="24.38"/>
    <col customWidth="1" min="64" max="64" width="24.63"/>
    <col customWidth="1" min="65" max="65" width="25.63"/>
    <col customWidth="1" min="66" max="70" width="24.38"/>
    <col customWidth="1" min="71" max="71" width="25.13"/>
    <col customWidth="1" min="72" max="73" width="25.63"/>
    <col customWidth="1" min="74" max="74" width="25.13"/>
    <col customWidth="1" min="75" max="76" width="26.0"/>
    <col customWidth="1" min="77" max="80" width="25.63"/>
    <col customWidth="1" min="81" max="84" width="26.0"/>
    <col customWidth="1" min="85" max="85" width="25.63"/>
    <col customWidth="1" min="86" max="86" width="25.13"/>
    <col customWidth="1" min="87" max="91" width="26.0"/>
    <col customWidth="1" min="92" max="92" width="25.63"/>
    <col customWidth="1" min="93" max="93" width="26.0"/>
    <col customWidth="1" min="94" max="94" width="25.63"/>
    <col customWidth="1" min="95" max="97" width="26.0"/>
    <col customWidth="1" min="98" max="98" width="25.63"/>
    <col customWidth="1" min="99" max="112" width="26.0"/>
    <col customWidth="1" min="113" max="113" width="24.63"/>
    <col customWidth="1" min="114" max="128" width="26.0"/>
    <col customWidth="1" min="129" max="129" width="25.13"/>
    <col customWidth="1" min="130" max="133" width="26.0"/>
    <col customWidth="1" min="134" max="134" width="25.63"/>
    <col customWidth="1" min="135" max="140" width="26.0"/>
    <col customWidth="1" min="141" max="141" width="24.38"/>
    <col customWidth="1" min="142" max="142" width="25.63"/>
    <col customWidth="1" min="143" max="143" width="24.63"/>
    <col customWidth="1" min="144" max="144" width="25.63"/>
    <col customWidth="1" min="145" max="145" width="26.0"/>
    <col customWidth="1" min="146" max="149" width="25.63"/>
    <col customWidth="1" min="150" max="150" width="24.38"/>
    <col customWidth="1" min="151" max="151" width="25.13"/>
    <col customWidth="1" min="152" max="158" width="24.38"/>
    <col customWidth="1" min="159" max="169" width="24.25"/>
    <col customWidth="1" min="170" max="170" width="23.5"/>
  </cols>
  <sheetData>
    <row r="1">
      <c r="A1" s="1" t="s">
        <v>517</v>
      </c>
      <c r="B1" s="12" t="s">
        <v>518</v>
      </c>
      <c r="C1" s="1" t="s">
        <v>519</v>
      </c>
      <c r="D1" s="13" t="s">
        <v>520</v>
      </c>
      <c r="E1" s="1" t="s">
        <v>0</v>
      </c>
      <c r="F1" s="1" t="s">
        <v>5</v>
      </c>
      <c r="G1" s="1" t="s">
        <v>521</v>
      </c>
    </row>
    <row r="2">
      <c r="A2" s="14" t="s">
        <v>522</v>
      </c>
      <c r="B2" s="7" t="s">
        <v>523</v>
      </c>
      <c r="C2" s="15">
        <v>46023.0</v>
      </c>
      <c r="D2" s="1" t="b">
        <v>1</v>
      </c>
      <c r="E2" s="1" t="s">
        <v>24</v>
      </c>
      <c r="F2" s="7" t="s">
        <v>524</v>
      </c>
      <c r="G2" s="3"/>
      <c r="J2" s="4"/>
      <c r="M2" s="4"/>
    </row>
    <row r="3">
      <c r="A3" s="14" t="s">
        <v>525</v>
      </c>
      <c r="B3" s="7" t="s">
        <v>523</v>
      </c>
      <c r="C3" s="15">
        <v>46024.0</v>
      </c>
      <c r="D3" s="1" t="b">
        <v>1</v>
      </c>
      <c r="E3" s="1" t="s">
        <v>24</v>
      </c>
      <c r="F3" s="7" t="s">
        <v>35</v>
      </c>
      <c r="G3" s="3"/>
      <c r="J3" s="4"/>
      <c r="V3" s="8"/>
    </row>
    <row r="4">
      <c r="A4" s="14" t="s">
        <v>526</v>
      </c>
      <c r="B4" s="7" t="s">
        <v>523</v>
      </c>
      <c r="C4" s="15">
        <v>46025.0</v>
      </c>
      <c r="D4" s="1" t="b">
        <v>1</v>
      </c>
      <c r="E4" s="1" t="s">
        <v>24</v>
      </c>
      <c r="F4" s="7" t="s">
        <v>527</v>
      </c>
      <c r="G4" s="3"/>
      <c r="J4" s="4"/>
      <c r="M4" s="4"/>
      <c r="V4" s="9"/>
      <c r="W4" s="9"/>
      <c r="X4" s="9"/>
      <c r="Y4" s="9"/>
      <c r="Z4" s="9"/>
      <c r="AA4" s="9"/>
      <c r="AB4" s="9"/>
    </row>
    <row r="5">
      <c r="A5" s="14" t="s">
        <v>528</v>
      </c>
      <c r="B5" s="7" t="s">
        <v>523</v>
      </c>
      <c r="C5" s="15">
        <v>46026.0</v>
      </c>
      <c r="D5" s="1" t="b">
        <v>1</v>
      </c>
      <c r="E5" s="1" t="s">
        <v>24</v>
      </c>
      <c r="F5" s="7" t="s">
        <v>529</v>
      </c>
      <c r="G5" s="3"/>
      <c r="J5" s="4"/>
      <c r="M5" s="4"/>
      <c r="V5" s="10"/>
      <c r="W5" s="10"/>
      <c r="X5" s="10"/>
      <c r="Y5" s="10"/>
      <c r="Z5" s="10"/>
      <c r="AA5" s="11"/>
      <c r="AB5" s="11"/>
    </row>
    <row r="6">
      <c r="A6" s="14" t="s">
        <v>530</v>
      </c>
      <c r="B6" s="7" t="s">
        <v>523</v>
      </c>
      <c r="C6" s="15">
        <v>46027.0</v>
      </c>
      <c r="D6" s="1" t="b">
        <v>1</v>
      </c>
      <c r="E6" s="1" t="s">
        <v>24</v>
      </c>
      <c r="F6" s="7" t="s">
        <v>531</v>
      </c>
      <c r="G6" s="3"/>
      <c r="J6" s="4"/>
      <c r="M6" s="4"/>
      <c r="V6" s="10"/>
      <c r="W6" s="10"/>
      <c r="X6" s="10"/>
      <c r="Y6" s="10"/>
      <c r="Z6" s="10"/>
      <c r="AA6" s="11"/>
      <c r="AB6" s="11"/>
    </row>
    <row r="7">
      <c r="A7" s="14" t="s">
        <v>532</v>
      </c>
      <c r="B7" s="7" t="s">
        <v>523</v>
      </c>
      <c r="C7" s="15">
        <v>46028.0</v>
      </c>
      <c r="D7" s="1" t="b">
        <v>1</v>
      </c>
      <c r="E7" s="1" t="s">
        <v>24</v>
      </c>
      <c r="F7" s="7" t="s">
        <v>533</v>
      </c>
      <c r="G7" s="3"/>
      <c r="J7" s="4"/>
      <c r="M7" s="4"/>
      <c r="V7" s="10"/>
      <c r="W7" s="10"/>
      <c r="X7" s="10"/>
      <c r="Y7" s="10"/>
      <c r="Z7" s="10"/>
      <c r="AA7" s="11"/>
      <c r="AB7" s="11"/>
    </row>
    <row r="8">
      <c r="A8" s="14" t="s">
        <v>534</v>
      </c>
      <c r="B8" s="7" t="s">
        <v>523</v>
      </c>
      <c r="C8" s="15">
        <v>46029.0</v>
      </c>
      <c r="D8" s="1" t="b">
        <v>1</v>
      </c>
      <c r="E8" s="1" t="s">
        <v>24</v>
      </c>
      <c r="F8" s="7" t="s">
        <v>535</v>
      </c>
      <c r="G8" s="3"/>
      <c r="J8" s="4"/>
      <c r="M8" s="4"/>
      <c r="V8" s="10"/>
      <c r="W8" s="10"/>
      <c r="X8" s="10"/>
      <c r="Y8" s="10"/>
      <c r="Z8" s="10"/>
      <c r="AA8" s="11"/>
      <c r="AB8" s="11"/>
    </row>
    <row r="9">
      <c r="A9" s="14" t="s">
        <v>536</v>
      </c>
      <c r="B9" s="7" t="s">
        <v>523</v>
      </c>
      <c r="C9" s="15">
        <v>46030.0</v>
      </c>
      <c r="D9" s="1" t="b">
        <v>1</v>
      </c>
      <c r="E9" s="1" t="s">
        <v>24</v>
      </c>
      <c r="F9" s="7" t="s">
        <v>537</v>
      </c>
      <c r="G9" s="3"/>
      <c r="J9" s="4"/>
      <c r="M9" s="4"/>
      <c r="V9" s="10"/>
      <c r="W9" s="10"/>
      <c r="X9" s="10"/>
      <c r="Y9" s="10"/>
      <c r="Z9" s="10"/>
      <c r="AA9" s="11"/>
      <c r="AB9" s="10"/>
    </row>
    <row r="10">
      <c r="A10" s="14" t="s">
        <v>538</v>
      </c>
      <c r="B10" s="7" t="s">
        <v>523</v>
      </c>
      <c r="C10" s="15">
        <v>46031.0</v>
      </c>
      <c r="D10" s="1" t="b">
        <v>1</v>
      </c>
      <c r="E10" s="1" t="s">
        <v>24</v>
      </c>
      <c r="F10" s="1" t="s">
        <v>539</v>
      </c>
      <c r="G10" s="3"/>
      <c r="J10" s="4"/>
      <c r="M10" s="4"/>
      <c r="V10" s="10"/>
      <c r="W10" s="10"/>
      <c r="X10" s="10"/>
      <c r="Y10" s="10"/>
      <c r="Z10" s="10"/>
      <c r="AA10" s="10"/>
      <c r="AB10" s="10"/>
    </row>
    <row r="11">
      <c r="A11" s="14" t="s">
        <v>540</v>
      </c>
      <c r="B11" s="7" t="s">
        <v>523</v>
      </c>
      <c r="C11" s="15">
        <v>46032.0</v>
      </c>
      <c r="D11" s="1" t="b">
        <v>1</v>
      </c>
      <c r="E11" s="1" t="s">
        <v>24</v>
      </c>
      <c r="F11" s="7" t="s">
        <v>107</v>
      </c>
      <c r="G11" s="3"/>
      <c r="J11" s="4"/>
      <c r="M11" s="4"/>
    </row>
    <row r="12">
      <c r="A12" s="14" t="s">
        <v>541</v>
      </c>
      <c r="B12" s="7" t="s">
        <v>523</v>
      </c>
      <c r="C12" s="15">
        <v>46033.0</v>
      </c>
      <c r="D12" s="1" t="b">
        <v>1</v>
      </c>
      <c r="E12" s="1" t="s">
        <v>24</v>
      </c>
      <c r="F12" s="7" t="s">
        <v>542</v>
      </c>
      <c r="G12" s="3"/>
      <c r="J12" s="4"/>
    </row>
    <row r="13">
      <c r="A13" s="14" t="s">
        <v>543</v>
      </c>
      <c r="B13" s="7" t="s">
        <v>523</v>
      </c>
      <c r="C13" s="15">
        <v>46034.0</v>
      </c>
      <c r="D13" s="1" t="b">
        <v>1</v>
      </c>
      <c r="E13" s="1" t="s">
        <v>24</v>
      </c>
      <c r="F13" s="7" t="s">
        <v>544</v>
      </c>
      <c r="G13" s="3"/>
      <c r="J13" s="4"/>
      <c r="M13" s="4"/>
    </row>
    <row r="14">
      <c r="A14" s="14" t="s">
        <v>545</v>
      </c>
      <c r="B14" s="7" t="s">
        <v>523</v>
      </c>
      <c r="C14" s="15">
        <v>46035.0</v>
      </c>
      <c r="D14" s="1" t="b">
        <v>1</v>
      </c>
      <c r="E14" s="1" t="s">
        <v>24</v>
      </c>
      <c r="F14" s="7" t="s">
        <v>546</v>
      </c>
      <c r="G14" s="3"/>
      <c r="J14" s="4"/>
      <c r="M14" s="4"/>
    </row>
    <row r="15">
      <c r="A15" s="14" t="s">
        <v>522</v>
      </c>
      <c r="B15" s="7" t="s">
        <v>523</v>
      </c>
      <c r="C15" s="15">
        <v>46036.0</v>
      </c>
      <c r="D15" s="1" t="b">
        <v>1</v>
      </c>
      <c r="E15" s="1" t="s">
        <v>24</v>
      </c>
      <c r="F15" s="7" t="s">
        <v>524</v>
      </c>
      <c r="G15" s="3"/>
      <c r="J15" s="4"/>
      <c r="M15" s="4"/>
      <c r="V15" s="8"/>
    </row>
    <row r="16">
      <c r="A16" s="14" t="s">
        <v>547</v>
      </c>
      <c r="B16" s="7" t="s">
        <v>523</v>
      </c>
      <c r="C16" s="15">
        <v>46037.0</v>
      </c>
      <c r="D16" s="1" t="b">
        <v>1</v>
      </c>
      <c r="E16" s="1" t="s">
        <v>24</v>
      </c>
      <c r="F16" s="7" t="s">
        <v>548</v>
      </c>
      <c r="G16" s="3"/>
      <c r="J16" s="4"/>
      <c r="M16" s="4"/>
      <c r="V16" s="9"/>
      <c r="W16" s="9"/>
      <c r="X16" s="9"/>
      <c r="Y16" s="9"/>
      <c r="Z16" s="9"/>
      <c r="AA16" s="9"/>
      <c r="AB16" s="9"/>
    </row>
    <row r="17">
      <c r="A17" s="14" t="s">
        <v>549</v>
      </c>
      <c r="B17" s="7" t="s">
        <v>523</v>
      </c>
      <c r="C17" s="15">
        <v>46038.0</v>
      </c>
      <c r="D17" s="1" t="b">
        <v>1</v>
      </c>
      <c r="E17" s="1" t="s">
        <v>24</v>
      </c>
      <c r="F17" s="7" t="s">
        <v>550</v>
      </c>
      <c r="G17" s="3"/>
      <c r="J17" s="4"/>
      <c r="M17" s="4"/>
      <c r="V17" s="10"/>
      <c r="W17" s="10"/>
      <c r="X17" s="10"/>
      <c r="Y17" s="10"/>
      <c r="Z17" s="10"/>
      <c r="AA17" s="10"/>
      <c r="AB17" s="11"/>
    </row>
    <row r="18">
      <c r="A18" s="14" t="s">
        <v>551</v>
      </c>
      <c r="B18" s="7" t="s">
        <v>523</v>
      </c>
      <c r="C18" s="15">
        <v>46039.0</v>
      </c>
      <c r="D18" s="1" t="b">
        <v>1</v>
      </c>
      <c r="E18" s="1" t="s">
        <v>24</v>
      </c>
      <c r="F18" s="7" t="s">
        <v>552</v>
      </c>
      <c r="G18" s="3"/>
      <c r="J18" s="4"/>
      <c r="V18" s="10"/>
      <c r="W18" s="10"/>
      <c r="X18" s="10"/>
      <c r="Y18" s="10"/>
      <c r="Z18" s="10"/>
      <c r="AA18" s="11"/>
      <c r="AB18" s="11"/>
    </row>
    <row r="19">
      <c r="A19" s="14" t="s">
        <v>553</v>
      </c>
      <c r="B19" s="7" t="s">
        <v>523</v>
      </c>
      <c r="C19" s="15">
        <v>46040.0</v>
      </c>
      <c r="D19" s="1" t="b">
        <v>1</v>
      </c>
      <c r="E19" s="1" t="s">
        <v>24</v>
      </c>
      <c r="F19" s="7" t="s">
        <v>143</v>
      </c>
      <c r="G19" s="3"/>
      <c r="J19" s="4"/>
      <c r="M19" s="4"/>
      <c r="V19" s="10"/>
      <c r="W19" s="10"/>
      <c r="X19" s="10"/>
      <c r="Y19" s="10"/>
      <c r="Z19" s="10"/>
      <c r="AA19" s="11"/>
      <c r="AB19" s="11"/>
    </row>
    <row r="20">
      <c r="A20" s="14" t="s">
        <v>554</v>
      </c>
      <c r="B20" s="7" t="s">
        <v>523</v>
      </c>
      <c r="C20" s="15">
        <v>46041.0</v>
      </c>
      <c r="D20" s="1" t="b">
        <v>1</v>
      </c>
      <c r="E20" s="1" t="s">
        <v>154</v>
      </c>
      <c r="F20" s="7" t="s">
        <v>555</v>
      </c>
      <c r="G20" s="3"/>
      <c r="J20" s="4"/>
      <c r="M20" s="4"/>
      <c r="V20" s="10"/>
      <c r="W20" s="10"/>
      <c r="X20" s="10"/>
      <c r="Y20" s="10"/>
      <c r="Z20" s="10"/>
      <c r="AA20" s="11"/>
      <c r="AB20" s="11"/>
    </row>
    <row r="21">
      <c r="A21" s="14" t="s">
        <v>556</v>
      </c>
      <c r="B21" s="7" t="s">
        <v>523</v>
      </c>
      <c r="C21" s="15">
        <v>46042.0</v>
      </c>
      <c r="D21" s="1" t="b">
        <v>1</v>
      </c>
      <c r="E21" s="1" t="s">
        <v>154</v>
      </c>
      <c r="F21" s="7" t="s">
        <v>557</v>
      </c>
      <c r="G21" s="3"/>
      <c r="J21" s="4"/>
      <c r="M21" s="4"/>
      <c r="V21" s="10"/>
      <c r="W21" s="10"/>
      <c r="X21" s="10"/>
      <c r="Y21" s="10"/>
      <c r="Z21" s="10"/>
      <c r="AA21" s="11"/>
      <c r="AB21" s="10"/>
    </row>
    <row r="22">
      <c r="A22" s="14" t="s">
        <v>558</v>
      </c>
      <c r="B22" s="7" t="s">
        <v>523</v>
      </c>
      <c r="C22" s="15">
        <v>46043.0</v>
      </c>
      <c r="D22" s="1" t="b">
        <v>1</v>
      </c>
      <c r="E22" s="1" t="s">
        <v>154</v>
      </c>
      <c r="F22" s="7" t="s">
        <v>559</v>
      </c>
      <c r="G22" s="3"/>
      <c r="J22" s="4"/>
      <c r="M22" s="4"/>
      <c r="V22" s="10"/>
      <c r="W22" s="10"/>
      <c r="X22" s="10"/>
      <c r="Y22" s="10"/>
      <c r="Z22" s="10"/>
      <c r="AA22" s="10"/>
      <c r="AB22" s="10"/>
    </row>
    <row r="23">
      <c r="A23" s="14" t="s">
        <v>560</v>
      </c>
      <c r="B23" s="7" t="s">
        <v>523</v>
      </c>
      <c r="C23" s="15">
        <v>46044.0</v>
      </c>
      <c r="D23" s="1" t="b">
        <v>1</v>
      </c>
      <c r="E23" s="1" t="s">
        <v>154</v>
      </c>
      <c r="F23" s="7" t="s">
        <v>561</v>
      </c>
      <c r="G23" s="3"/>
      <c r="J23" s="4"/>
      <c r="M23" s="4"/>
    </row>
    <row r="24">
      <c r="A24" s="14" t="s">
        <v>562</v>
      </c>
      <c r="B24" s="7" t="s">
        <v>523</v>
      </c>
      <c r="C24" s="15">
        <v>46045.0</v>
      </c>
      <c r="D24" s="1" t="b">
        <v>1</v>
      </c>
      <c r="E24" s="1" t="s">
        <v>154</v>
      </c>
      <c r="F24" s="7" t="s">
        <v>548</v>
      </c>
      <c r="G24" s="3"/>
      <c r="J24" s="4"/>
      <c r="M24" s="4"/>
    </row>
    <row r="25">
      <c r="A25" s="14" t="s">
        <v>563</v>
      </c>
      <c r="B25" s="7" t="s">
        <v>523</v>
      </c>
      <c r="C25" s="15">
        <v>46046.0</v>
      </c>
      <c r="D25" s="1" t="b">
        <v>1</v>
      </c>
      <c r="E25" s="1" t="s">
        <v>154</v>
      </c>
      <c r="F25" s="7" t="s">
        <v>564</v>
      </c>
      <c r="G25" s="3"/>
      <c r="J25" s="4"/>
      <c r="M25" s="4"/>
    </row>
    <row r="26">
      <c r="A26" s="14" t="s">
        <v>565</v>
      </c>
      <c r="B26" s="7" t="s">
        <v>523</v>
      </c>
      <c r="C26" s="15">
        <v>46047.0</v>
      </c>
      <c r="D26" s="1" t="b">
        <v>1</v>
      </c>
      <c r="E26" s="1" t="s">
        <v>154</v>
      </c>
      <c r="F26" s="1" t="s">
        <v>539</v>
      </c>
      <c r="G26" s="3"/>
      <c r="J26" s="4"/>
      <c r="M26" s="4"/>
    </row>
    <row r="27">
      <c r="A27" s="14" t="s">
        <v>566</v>
      </c>
      <c r="B27" s="7" t="s">
        <v>523</v>
      </c>
      <c r="C27" s="15">
        <v>46048.0</v>
      </c>
      <c r="D27" s="1" t="b">
        <v>1</v>
      </c>
      <c r="E27" s="1" t="s">
        <v>154</v>
      </c>
      <c r="F27" s="7" t="s">
        <v>184</v>
      </c>
      <c r="G27" s="3"/>
      <c r="J27" s="4"/>
      <c r="M27" s="4"/>
      <c r="V27" s="8"/>
    </row>
    <row r="28">
      <c r="A28" s="14" t="s">
        <v>567</v>
      </c>
      <c r="B28" s="7" t="s">
        <v>523</v>
      </c>
      <c r="C28" s="15">
        <v>46049.0</v>
      </c>
      <c r="D28" s="1" t="b">
        <v>1</v>
      </c>
      <c r="E28" s="1" t="s">
        <v>154</v>
      </c>
      <c r="F28" s="7" t="s">
        <v>568</v>
      </c>
      <c r="G28" s="3"/>
      <c r="J28" s="4"/>
      <c r="V28" s="9"/>
      <c r="W28" s="9"/>
      <c r="X28" s="9"/>
      <c r="Y28" s="9"/>
      <c r="Z28" s="9"/>
      <c r="AA28" s="9"/>
      <c r="AB28" s="9"/>
    </row>
    <row r="29">
      <c r="A29" s="14" t="s">
        <v>569</v>
      </c>
      <c r="B29" s="7" t="s">
        <v>523</v>
      </c>
      <c r="C29" s="15">
        <v>46050.0</v>
      </c>
      <c r="D29" s="1" t="b">
        <v>1</v>
      </c>
      <c r="E29" s="1" t="s">
        <v>154</v>
      </c>
      <c r="F29" s="7" t="s">
        <v>570</v>
      </c>
      <c r="G29" s="3"/>
      <c r="J29" s="4"/>
      <c r="M29" s="4"/>
      <c r="V29" s="10"/>
      <c r="W29" s="10"/>
      <c r="X29" s="10"/>
      <c r="Y29" s="10"/>
      <c r="Z29" s="10"/>
      <c r="AA29" s="10"/>
      <c r="AB29" s="11"/>
    </row>
    <row r="30">
      <c r="A30" s="14" t="s">
        <v>571</v>
      </c>
      <c r="B30" s="7" t="s">
        <v>523</v>
      </c>
      <c r="C30" s="15">
        <v>46051.0</v>
      </c>
      <c r="D30" s="1" t="b">
        <v>1</v>
      </c>
      <c r="E30" s="1" t="s">
        <v>154</v>
      </c>
      <c r="F30" s="7" t="s">
        <v>544</v>
      </c>
      <c r="G30" s="3"/>
      <c r="J30" s="4"/>
      <c r="M30" s="4"/>
      <c r="V30" s="10"/>
      <c r="W30" s="10"/>
      <c r="X30" s="10"/>
      <c r="Y30" s="10"/>
      <c r="Z30" s="10"/>
      <c r="AA30" s="11"/>
      <c r="AB30" s="11"/>
    </row>
    <row r="31">
      <c r="A31" s="14" t="s">
        <v>572</v>
      </c>
      <c r="B31" s="7" t="s">
        <v>523</v>
      </c>
      <c r="C31" s="15">
        <v>46052.0</v>
      </c>
      <c r="D31" s="1" t="b">
        <v>1</v>
      </c>
      <c r="E31" s="1" t="s">
        <v>154</v>
      </c>
      <c r="F31" s="7" t="s">
        <v>573</v>
      </c>
      <c r="G31" s="3"/>
      <c r="J31" s="4"/>
      <c r="M31" s="4"/>
      <c r="V31" s="10"/>
      <c r="W31" s="10"/>
      <c r="X31" s="10"/>
      <c r="Y31" s="10"/>
      <c r="Z31" s="10"/>
      <c r="AA31" s="11"/>
      <c r="AB31" s="11"/>
    </row>
    <row r="32">
      <c r="A32" s="14" t="s">
        <v>574</v>
      </c>
      <c r="B32" s="7" t="s">
        <v>523</v>
      </c>
      <c r="C32" s="15">
        <v>46053.0</v>
      </c>
      <c r="D32" s="1" t="b">
        <v>1</v>
      </c>
      <c r="E32" s="1" t="s">
        <v>154</v>
      </c>
      <c r="F32" s="7" t="s">
        <v>524</v>
      </c>
      <c r="G32" s="3"/>
      <c r="J32" s="4"/>
      <c r="V32" s="10"/>
      <c r="W32" s="10"/>
      <c r="X32" s="10"/>
      <c r="Y32" s="10"/>
      <c r="Z32" s="10"/>
      <c r="AA32" s="11"/>
      <c r="AB32" s="11"/>
    </row>
    <row r="33">
      <c r="A33" s="14" t="s">
        <v>575</v>
      </c>
      <c r="B33" s="7" t="s">
        <v>523</v>
      </c>
      <c r="C33" s="15">
        <v>46054.0</v>
      </c>
      <c r="D33" s="1" t="b">
        <v>1</v>
      </c>
      <c r="E33" s="1" t="s">
        <v>154</v>
      </c>
      <c r="F33" s="7" t="s">
        <v>35</v>
      </c>
      <c r="G33" s="3"/>
      <c r="J33" s="4"/>
      <c r="M33" s="4"/>
      <c r="V33" s="10"/>
      <c r="W33" s="10"/>
      <c r="X33" s="10"/>
      <c r="Y33" s="10"/>
      <c r="Z33" s="10"/>
      <c r="AA33" s="11"/>
      <c r="AB33" s="11"/>
    </row>
    <row r="34">
      <c r="A34" s="14" t="s">
        <v>576</v>
      </c>
      <c r="B34" s="7" t="s">
        <v>523</v>
      </c>
      <c r="C34" s="15">
        <v>46055.0</v>
      </c>
      <c r="D34" s="1" t="b">
        <v>1</v>
      </c>
      <c r="E34" s="1" t="s">
        <v>154</v>
      </c>
      <c r="F34" s="7" t="s">
        <v>527</v>
      </c>
      <c r="G34" s="3"/>
      <c r="J34" s="4"/>
      <c r="M34" s="4"/>
      <c r="V34" s="10"/>
      <c r="W34" s="10"/>
      <c r="X34" s="10"/>
      <c r="Y34" s="10"/>
      <c r="Z34" s="10"/>
      <c r="AA34" s="10"/>
      <c r="AB34" s="10"/>
    </row>
    <row r="35">
      <c r="A35" s="14" t="s">
        <v>577</v>
      </c>
      <c r="B35" s="7" t="s">
        <v>523</v>
      </c>
      <c r="C35" s="15">
        <v>46056.0</v>
      </c>
      <c r="D35" s="1" t="b">
        <v>1</v>
      </c>
      <c r="E35" s="1" t="s">
        <v>154</v>
      </c>
      <c r="F35" s="7" t="s">
        <v>529</v>
      </c>
      <c r="G35" s="3"/>
      <c r="J35" s="4"/>
      <c r="M35" s="4"/>
    </row>
    <row r="36">
      <c r="A36" s="14" t="s">
        <v>578</v>
      </c>
      <c r="B36" s="7" t="s">
        <v>523</v>
      </c>
      <c r="C36" s="15">
        <v>46057.0</v>
      </c>
      <c r="D36" s="1" t="b">
        <v>1</v>
      </c>
      <c r="E36" s="1" t="s">
        <v>154</v>
      </c>
      <c r="F36" s="7" t="s">
        <v>531</v>
      </c>
      <c r="G36" s="3"/>
      <c r="J36" s="4"/>
      <c r="M36" s="4"/>
    </row>
    <row r="37">
      <c r="A37" s="14" t="s">
        <v>579</v>
      </c>
      <c r="B37" s="7" t="s">
        <v>523</v>
      </c>
      <c r="C37" s="15">
        <v>46058.0</v>
      </c>
      <c r="D37" s="1" t="b">
        <v>1</v>
      </c>
      <c r="E37" s="1" t="s">
        <v>154</v>
      </c>
      <c r="F37" s="7" t="s">
        <v>533</v>
      </c>
      <c r="G37" s="3"/>
      <c r="J37" s="4"/>
      <c r="M37" s="4"/>
    </row>
    <row r="38">
      <c r="A38" s="14" t="s">
        <v>580</v>
      </c>
      <c r="B38" s="7" t="s">
        <v>523</v>
      </c>
      <c r="C38" s="15">
        <v>46059.0</v>
      </c>
      <c r="D38" s="1" t="b">
        <v>1</v>
      </c>
      <c r="E38" s="1" t="s">
        <v>154</v>
      </c>
      <c r="F38" s="7" t="s">
        <v>535</v>
      </c>
      <c r="G38" s="3"/>
      <c r="J38" s="4"/>
      <c r="M38" s="4"/>
    </row>
    <row r="39">
      <c r="A39" s="14" t="s">
        <v>581</v>
      </c>
      <c r="B39" s="7" t="s">
        <v>523</v>
      </c>
      <c r="C39" s="15">
        <v>46060.0</v>
      </c>
      <c r="D39" s="1" t="b">
        <v>1</v>
      </c>
      <c r="E39" s="1" t="s">
        <v>154</v>
      </c>
      <c r="F39" s="7" t="s">
        <v>537</v>
      </c>
      <c r="G39" s="3"/>
      <c r="J39" s="4"/>
      <c r="M39" s="4"/>
      <c r="V39" s="8"/>
    </row>
    <row r="40">
      <c r="A40" s="14" t="s">
        <v>565</v>
      </c>
      <c r="B40" s="7" t="s">
        <v>523</v>
      </c>
      <c r="C40" s="15">
        <v>46061.0</v>
      </c>
      <c r="D40" s="1" t="b">
        <v>1</v>
      </c>
      <c r="E40" s="1" t="s">
        <v>154</v>
      </c>
      <c r="F40" s="1" t="s">
        <v>539</v>
      </c>
      <c r="G40" s="3"/>
      <c r="J40" s="4"/>
      <c r="M40" s="4"/>
      <c r="V40" s="9"/>
      <c r="W40" s="9"/>
      <c r="X40" s="9"/>
      <c r="Y40" s="9"/>
      <c r="Z40" s="9"/>
      <c r="AA40" s="9"/>
      <c r="AB40" s="9"/>
    </row>
    <row r="41">
      <c r="A41" s="14" t="s">
        <v>582</v>
      </c>
      <c r="B41" s="7" t="s">
        <v>523</v>
      </c>
      <c r="C41" s="15">
        <v>46062.0</v>
      </c>
      <c r="D41" s="1" t="b">
        <v>1</v>
      </c>
      <c r="E41" s="1" t="s">
        <v>154</v>
      </c>
      <c r="F41" s="7" t="s">
        <v>107</v>
      </c>
      <c r="G41" s="3"/>
      <c r="J41" s="4"/>
      <c r="M41" s="4"/>
      <c r="V41" s="10"/>
      <c r="W41" s="10"/>
      <c r="X41" s="10"/>
      <c r="Y41" s="10"/>
      <c r="Z41" s="10"/>
      <c r="AA41" s="11"/>
      <c r="AB41" s="11"/>
    </row>
    <row r="42">
      <c r="A42" s="14" t="s">
        <v>583</v>
      </c>
      <c r="B42" s="7" t="s">
        <v>523</v>
      </c>
      <c r="C42" s="15">
        <v>46063.0</v>
      </c>
      <c r="D42" s="1" t="b">
        <v>1</v>
      </c>
      <c r="E42" s="1" t="s">
        <v>154</v>
      </c>
      <c r="F42" s="7" t="s">
        <v>542</v>
      </c>
      <c r="G42" s="3"/>
      <c r="J42" s="4"/>
      <c r="V42" s="10"/>
      <c r="W42" s="10"/>
      <c r="X42" s="10"/>
      <c r="Y42" s="10"/>
      <c r="Z42" s="10"/>
      <c r="AA42" s="11"/>
      <c r="AB42" s="11"/>
    </row>
    <row r="43">
      <c r="A43" s="14" t="s">
        <v>571</v>
      </c>
      <c r="B43" s="7" t="s">
        <v>523</v>
      </c>
      <c r="C43" s="15">
        <v>46064.0</v>
      </c>
      <c r="D43" s="1" t="b">
        <v>1</v>
      </c>
      <c r="E43" s="1" t="s">
        <v>154</v>
      </c>
      <c r="F43" s="7" t="s">
        <v>544</v>
      </c>
      <c r="G43" s="3"/>
      <c r="J43" s="4"/>
      <c r="M43" s="4"/>
      <c r="V43" s="10"/>
      <c r="W43" s="10"/>
      <c r="X43" s="10"/>
      <c r="Y43" s="10"/>
      <c r="Z43" s="10"/>
      <c r="AA43" s="11"/>
      <c r="AB43" s="11"/>
    </row>
    <row r="44">
      <c r="A44" s="14" t="s">
        <v>572</v>
      </c>
      <c r="B44" s="7" t="s">
        <v>523</v>
      </c>
      <c r="C44" s="15">
        <v>46065.0</v>
      </c>
      <c r="D44" s="1" t="b">
        <v>1</v>
      </c>
      <c r="E44" s="1" t="s">
        <v>154</v>
      </c>
      <c r="F44" s="7" t="s">
        <v>573</v>
      </c>
      <c r="G44" s="3"/>
      <c r="J44" s="4"/>
      <c r="M44" s="4"/>
      <c r="V44" s="10"/>
      <c r="W44" s="10"/>
      <c r="X44" s="10"/>
      <c r="Y44" s="10"/>
      <c r="Z44" s="10"/>
      <c r="AA44" s="11"/>
      <c r="AB44" s="11"/>
    </row>
    <row r="45">
      <c r="A45" s="14" t="s">
        <v>574</v>
      </c>
      <c r="B45" s="7" t="s">
        <v>523</v>
      </c>
      <c r="C45" s="15">
        <v>46066.0</v>
      </c>
      <c r="D45" s="1" t="b">
        <v>1</v>
      </c>
      <c r="E45" s="1" t="s">
        <v>154</v>
      </c>
      <c r="F45" s="7" t="s">
        <v>524</v>
      </c>
      <c r="G45" s="3"/>
      <c r="J45" s="4"/>
      <c r="M45" s="4"/>
      <c r="V45" s="10"/>
      <c r="W45" s="10"/>
      <c r="X45" s="10"/>
      <c r="Y45" s="10"/>
      <c r="Z45" s="10"/>
      <c r="AA45" s="10"/>
      <c r="AB45" s="10"/>
    </row>
    <row r="46">
      <c r="A46" s="14" t="s">
        <v>562</v>
      </c>
      <c r="B46" s="7" t="s">
        <v>523</v>
      </c>
      <c r="C46" s="15">
        <v>46067.0</v>
      </c>
      <c r="D46" s="1" t="b">
        <v>1</v>
      </c>
      <c r="E46" s="1" t="s">
        <v>154</v>
      </c>
      <c r="F46" s="7" t="s">
        <v>548</v>
      </c>
      <c r="G46" s="3"/>
      <c r="J46" s="4"/>
      <c r="M46" s="4"/>
      <c r="V46" s="10"/>
      <c r="W46" s="10"/>
      <c r="X46" s="10"/>
      <c r="Y46" s="10"/>
      <c r="Z46" s="10"/>
      <c r="AA46" s="10"/>
      <c r="AB46" s="10"/>
    </row>
    <row r="47">
      <c r="A47" s="14" t="s">
        <v>584</v>
      </c>
      <c r="B47" s="7" t="s">
        <v>523</v>
      </c>
      <c r="C47" s="15">
        <v>46068.0</v>
      </c>
      <c r="D47" s="1" t="b">
        <v>1</v>
      </c>
      <c r="E47" s="1" t="s">
        <v>154</v>
      </c>
      <c r="F47" s="7" t="s">
        <v>550</v>
      </c>
      <c r="G47" s="3"/>
      <c r="J47" s="4"/>
    </row>
    <row r="48">
      <c r="A48" s="14" t="s">
        <v>585</v>
      </c>
      <c r="B48" s="7" t="s">
        <v>523</v>
      </c>
      <c r="C48" s="15">
        <v>46069.0</v>
      </c>
      <c r="D48" s="1" t="b">
        <v>1</v>
      </c>
      <c r="E48" s="1" t="s">
        <v>154</v>
      </c>
      <c r="F48" s="7" t="s">
        <v>586</v>
      </c>
      <c r="G48" s="3"/>
      <c r="J48" s="4"/>
      <c r="M48" s="4"/>
    </row>
    <row r="49">
      <c r="A49" s="14" t="s">
        <v>587</v>
      </c>
      <c r="B49" s="7" t="s">
        <v>523</v>
      </c>
      <c r="C49" s="15">
        <v>46070.0</v>
      </c>
      <c r="D49" s="1" t="b">
        <v>1</v>
      </c>
      <c r="E49" s="1" t="s">
        <v>258</v>
      </c>
      <c r="F49" s="7" t="s">
        <v>555</v>
      </c>
      <c r="G49" s="3"/>
      <c r="J49" s="4"/>
      <c r="M49" s="4"/>
    </row>
    <row r="50">
      <c r="A50" s="14" t="s">
        <v>588</v>
      </c>
      <c r="B50" s="7" t="s">
        <v>523</v>
      </c>
      <c r="C50" s="15">
        <v>46071.0</v>
      </c>
      <c r="D50" s="1" t="b">
        <v>1</v>
      </c>
      <c r="E50" s="1" t="s">
        <v>258</v>
      </c>
      <c r="F50" s="7" t="s">
        <v>557</v>
      </c>
      <c r="G50" s="7" t="s">
        <v>589</v>
      </c>
      <c r="J50" s="4"/>
      <c r="M50" s="4"/>
    </row>
    <row r="51">
      <c r="A51" s="14" t="s">
        <v>590</v>
      </c>
      <c r="B51" s="7" t="s">
        <v>523</v>
      </c>
      <c r="C51" s="15">
        <v>46072.0</v>
      </c>
      <c r="D51" s="1" t="b">
        <v>1</v>
      </c>
      <c r="E51" s="1" t="s">
        <v>258</v>
      </c>
      <c r="F51" s="7" t="s">
        <v>559</v>
      </c>
      <c r="G51" s="3"/>
      <c r="J51" s="4"/>
      <c r="M51" s="4"/>
      <c r="V51" s="8"/>
    </row>
    <row r="52">
      <c r="A52" s="14" t="s">
        <v>591</v>
      </c>
      <c r="B52" s="7" t="s">
        <v>523</v>
      </c>
      <c r="C52" s="15">
        <v>46073.0</v>
      </c>
      <c r="D52" s="1" t="b">
        <v>1</v>
      </c>
      <c r="E52" s="1" t="s">
        <v>258</v>
      </c>
      <c r="F52" s="7" t="s">
        <v>561</v>
      </c>
      <c r="G52" s="3"/>
      <c r="J52" s="4"/>
      <c r="M52" s="4"/>
      <c r="V52" s="9"/>
      <c r="W52" s="9"/>
      <c r="X52" s="9"/>
      <c r="Y52" s="9"/>
      <c r="Z52" s="9"/>
      <c r="AA52" s="9"/>
      <c r="AB52" s="9"/>
    </row>
    <row r="53">
      <c r="A53" s="14" t="s">
        <v>592</v>
      </c>
      <c r="B53" s="7" t="s">
        <v>523</v>
      </c>
      <c r="C53" s="15">
        <v>46074.0</v>
      </c>
      <c r="D53" s="1" t="b">
        <v>1</v>
      </c>
      <c r="E53" s="1" t="s">
        <v>258</v>
      </c>
      <c r="F53" s="7" t="s">
        <v>548</v>
      </c>
      <c r="G53" s="3"/>
      <c r="J53" s="4"/>
      <c r="M53" s="4"/>
      <c r="V53" s="10"/>
      <c r="W53" s="10"/>
      <c r="X53" s="10"/>
      <c r="Y53" s="10"/>
      <c r="Z53" s="10"/>
      <c r="AA53" s="11"/>
      <c r="AB53" s="11"/>
    </row>
    <row r="54">
      <c r="A54" s="14" t="s">
        <v>593</v>
      </c>
      <c r="B54" s="7" t="s">
        <v>523</v>
      </c>
      <c r="C54" s="15">
        <v>46075.0</v>
      </c>
      <c r="D54" s="1" t="b">
        <v>1</v>
      </c>
      <c r="E54" s="1" t="s">
        <v>258</v>
      </c>
      <c r="F54" s="7" t="s">
        <v>564</v>
      </c>
      <c r="G54" s="7" t="s">
        <v>594</v>
      </c>
      <c r="J54" s="4"/>
      <c r="M54" s="4"/>
      <c r="V54" s="10"/>
      <c r="W54" s="10"/>
      <c r="X54" s="10"/>
      <c r="Y54" s="10"/>
      <c r="Z54" s="10"/>
      <c r="AA54" s="11"/>
      <c r="AB54" s="11"/>
    </row>
    <row r="55">
      <c r="A55" s="14" t="s">
        <v>595</v>
      </c>
      <c r="B55" s="7" t="s">
        <v>523</v>
      </c>
      <c r="C55" s="15">
        <v>46076.0</v>
      </c>
      <c r="D55" s="1" t="b">
        <v>1</v>
      </c>
      <c r="E55" s="1" t="s">
        <v>258</v>
      </c>
      <c r="F55" s="1" t="s">
        <v>539</v>
      </c>
      <c r="G55" s="3"/>
      <c r="J55" s="4"/>
      <c r="M55" s="4"/>
      <c r="V55" s="10"/>
      <c r="W55" s="10"/>
      <c r="X55" s="10"/>
      <c r="Y55" s="10"/>
      <c r="Z55" s="10"/>
      <c r="AA55" s="11"/>
      <c r="AB55" s="11"/>
    </row>
    <row r="56">
      <c r="A56" s="14" t="s">
        <v>596</v>
      </c>
      <c r="B56" s="7" t="s">
        <v>523</v>
      </c>
      <c r="C56" s="15">
        <v>46077.0</v>
      </c>
      <c r="D56" s="1" t="b">
        <v>1</v>
      </c>
      <c r="E56" s="1" t="s">
        <v>258</v>
      </c>
      <c r="F56" s="7" t="s">
        <v>184</v>
      </c>
      <c r="G56" s="3"/>
      <c r="J56" s="4"/>
      <c r="M56" s="4"/>
      <c r="V56" s="10"/>
      <c r="W56" s="10"/>
      <c r="X56" s="10"/>
      <c r="Y56" s="10"/>
      <c r="Z56" s="10"/>
      <c r="AA56" s="11"/>
      <c r="AB56" s="11"/>
    </row>
    <row r="57">
      <c r="A57" s="14" t="s">
        <v>597</v>
      </c>
      <c r="B57" s="7" t="s">
        <v>523</v>
      </c>
      <c r="C57" s="15">
        <v>46078.0</v>
      </c>
      <c r="D57" s="1" t="b">
        <v>1</v>
      </c>
      <c r="E57" s="1" t="s">
        <v>258</v>
      </c>
      <c r="F57" s="7" t="s">
        <v>568</v>
      </c>
      <c r="G57" s="3"/>
      <c r="J57" s="4"/>
      <c r="V57" s="10"/>
      <c r="W57" s="10"/>
      <c r="X57" s="10"/>
      <c r="Y57" s="10"/>
      <c r="Z57" s="10"/>
      <c r="AA57" s="11"/>
      <c r="AB57" s="11"/>
    </row>
    <row r="58">
      <c r="A58" s="14" t="s">
        <v>598</v>
      </c>
      <c r="B58" s="7" t="s">
        <v>523</v>
      </c>
      <c r="C58" s="15">
        <v>46079.0</v>
      </c>
      <c r="D58" s="1" t="b">
        <v>1</v>
      </c>
      <c r="E58" s="1" t="s">
        <v>258</v>
      </c>
      <c r="F58" s="7" t="s">
        <v>570</v>
      </c>
      <c r="G58" s="3"/>
      <c r="J58" s="4"/>
      <c r="M58" s="4"/>
      <c r="V58" s="10"/>
      <c r="W58" s="10"/>
      <c r="X58" s="10"/>
      <c r="Y58" s="10"/>
      <c r="Z58" s="10"/>
      <c r="AA58" s="10"/>
      <c r="AB58" s="10"/>
    </row>
    <row r="59">
      <c r="A59" s="14" t="s">
        <v>599</v>
      </c>
      <c r="B59" s="7" t="s">
        <v>523</v>
      </c>
      <c r="C59" s="15">
        <v>46080.0</v>
      </c>
      <c r="D59" s="1" t="b">
        <v>1</v>
      </c>
      <c r="E59" s="1" t="s">
        <v>258</v>
      </c>
      <c r="F59" s="7" t="s">
        <v>544</v>
      </c>
      <c r="G59" s="3"/>
      <c r="J59" s="4"/>
      <c r="M59" s="4"/>
    </row>
    <row r="60">
      <c r="A60" s="14" t="s">
        <v>600</v>
      </c>
      <c r="B60" s="7" t="s">
        <v>523</v>
      </c>
      <c r="C60" s="15">
        <v>46081.0</v>
      </c>
      <c r="D60" s="1" t="b">
        <v>1</v>
      </c>
      <c r="E60" s="1" t="s">
        <v>258</v>
      </c>
      <c r="F60" s="7" t="s">
        <v>573</v>
      </c>
      <c r="G60" s="3"/>
      <c r="J60" s="4"/>
      <c r="M60" s="4"/>
    </row>
    <row r="61">
      <c r="A61" s="14" t="s">
        <v>601</v>
      </c>
      <c r="B61" s="7" t="s">
        <v>523</v>
      </c>
      <c r="C61" s="15">
        <v>46082.0</v>
      </c>
      <c r="D61" s="1" t="b">
        <v>1</v>
      </c>
      <c r="E61" s="1" t="s">
        <v>258</v>
      </c>
      <c r="F61" s="7" t="s">
        <v>524</v>
      </c>
      <c r="G61" s="7" t="s">
        <v>602</v>
      </c>
      <c r="J61" s="4"/>
      <c r="M61" s="4"/>
    </row>
    <row r="62">
      <c r="A62" s="14" t="s">
        <v>603</v>
      </c>
      <c r="B62" s="7" t="s">
        <v>523</v>
      </c>
      <c r="C62" s="15">
        <v>46083.0</v>
      </c>
      <c r="D62" s="1" t="b">
        <v>1</v>
      </c>
      <c r="E62" s="1" t="s">
        <v>258</v>
      </c>
      <c r="F62" s="7" t="s">
        <v>35</v>
      </c>
      <c r="G62" s="3"/>
      <c r="J62" s="4"/>
    </row>
    <row r="63">
      <c r="A63" s="14" t="s">
        <v>604</v>
      </c>
      <c r="B63" s="7" t="s">
        <v>523</v>
      </c>
      <c r="C63" s="15">
        <v>46084.0</v>
      </c>
      <c r="D63" s="1" t="b">
        <v>1</v>
      </c>
      <c r="E63" s="1" t="s">
        <v>258</v>
      </c>
      <c r="F63" s="7" t="s">
        <v>527</v>
      </c>
      <c r="G63" s="3"/>
      <c r="J63" s="4"/>
      <c r="M63" s="4"/>
      <c r="V63" s="8"/>
    </row>
    <row r="64">
      <c r="A64" s="14" t="s">
        <v>605</v>
      </c>
      <c r="B64" s="7" t="s">
        <v>523</v>
      </c>
      <c r="C64" s="15">
        <v>46085.0</v>
      </c>
      <c r="D64" s="1" t="b">
        <v>1</v>
      </c>
      <c r="E64" s="1" t="s">
        <v>258</v>
      </c>
      <c r="F64" s="7" t="s">
        <v>606</v>
      </c>
      <c r="G64" s="3"/>
      <c r="J64" s="4"/>
      <c r="M64" s="4"/>
      <c r="V64" s="9"/>
      <c r="W64" s="9"/>
      <c r="X64" s="9"/>
      <c r="Y64" s="9"/>
      <c r="Z64" s="9"/>
      <c r="AA64" s="9"/>
      <c r="AB64" s="9"/>
    </row>
    <row r="65">
      <c r="A65" s="14" t="s">
        <v>607</v>
      </c>
      <c r="B65" s="7" t="s">
        <v>523</v>
      </c>
      <c r="C65" s="15">
        <v>46086.0</v>
      </c>
      <c r="D65" s="1" t="b">
        <v>1</v>
      </c>
      <c r="E65" s="1" t="s">
        <v>258</v>
      </c>
      <c r="F65" s="7" t="s">
        <v>531</v>
      </c>
      <c r="G65" s="3"/>
      <c r="J65" s="4"/>
      <c r="M65" s="4"/>
      <c r="V65" s="10"/>
      <c r="W65" s="10"/>
      <c r="X65" s="10"/>
      <c r="Y65" s="10"/>
      <c r="Z65" s="10"/>
      <c r="AA65" s="11"/>
      <c r="AB65" s="11"/>
    </row>
    <row r="66">
      <c r="A66" s="14" t="s">
        <v>608</v>
      </c>
      <c r="B66" s="7" t="s">
        <v>523</v>
      </c>
      <c r="C66" s="15">
        <v>46087.0</v>
      </c>
      <c r="D66" s="1" t="b">
        <v>1</v>
      </c>
      <c r="E66" s="1" t="s">
        <v>258</v>
      </c>
      <c r="F66" s="7" t="s">
        <v>533</v>
      </c>
      <c r="G66" s="3"/>
      <c r="J66" s="4"/>
      <c r="M66" s="4"/>
      <c r="V66" s="10"/>
      <c r="W66" s="10"/>
      <c r="X66" s="10"/>
      <c r="Y66" s="10"/>
      <c r="Z66" s="10"/>
      <c r="AA66" s="11"/>
      <c r="AB66" s="11"/>
    </row>
    <row r="67">
      <c r="A67" s="14" t="s">
        <v>609</v>
      </c>
      <c r="B67" s="7" t="s">
        <v>523</v>
      </c>
      <c r="C67" s="15">
        <v>46088.0</v>
      </c>
      <c r="D67" s="1" t="b">
        <v>1</v>
      </c>
      <c r="E67" s="1" t="s">
        <v>258</v>
      </c>
      <c r="F67" s="7" t="s">
        <v>535</v>
      </c>
      <c r="G67" s="3"/>
      <c r="J67" s="4"/>
      <c r="M67" s="4"/>
      <c r="V67" s="10"/>
      <c r="W67" s="10"/>
      <c r="X67" s="10"/>
      <c r="Y67" s="10"/>
      <c r="Z67" s="10"/>
      <c r="AA67" s="11"/>
      <c r="AB67" s="11"/>
    </row>
    <row r="68">
      <c r="A68" s="14" t="s">
        <v>610</v>
      </c>
      <c r="B68" s="7" t="s">
        <v>523</v>
      </c>
      <c r="C68" s="15">
        <v>46089.0</v>
      </c>
      <c r="D68" s="1" t="b">
        <v>1</v>
      </c>
      <c r="E68" s="1" t="s">
        <v>258</v>
      </c>
      <c r="F68" s="7" t="s">
        <v>537</v>
      </c>
      <c r="G68" s="7" t="s">
        <v>611</v>
      </c>
      <c r="J68" s="4"/>
      <c r="M68" s="4"/>
      <c r="V68" s="10"/>
      <c r="W68" s="10"/>
      <c r="X68" s="10"/>
      <c r="Y68" s="10"/>
      <c r="Z68" s="10"/>
      <c r="AA68" s="11"/>
      <c r="AB68" s="11"/>
    </row>
    <row r="69">
      <c r="A69" s="14" t="s">
        <v>595</v>
      </c>
      <c r="B69" s="7" t="s">
        <v>523</v>
      </c>
      <c r="C69" s="15">
        <v>46090.0</v>
      </c>
      <c r="D69" s="1" t="b">
        <v>1</v>
      </c>
      <c r="E69" s="1" t="s">
        <v>258</v>
      </c>
      <c r="F69" s="1" t="s">
        <v>539</v>
      </c>
      <c r="G69" s="3"/>
      <c r="J69" s="4"/>
      <c r="M69" s="4"/>
      <c r="V69" s="10"/>
      <c r="W69" s="10"/>
      <c r="X69" s="10"/>
      <c r="Y69" s="10"/>
      <c r="Z69" s="10"/>
      <c r="AA69" s="10"/>
      <c r="AB69" s="10"/>
    </row>
    <row r="70">
      <c r="A70" s="14" t="s">
        <v>612</v>
      </c>
      <c r="B70" s="7" t="s">
        <v>523</v>
      </c>
      <c r="C70" s="15">
        <v>46091.0</v>
      </c>
      <c r="D70" s="1" t="b">
        <v>1</v>
      </c>
      <c r="E70" s="1" t="s">
        <v>258</v>
      </c>
      <c r="F70" s="7" t="s">
        <v>107</v>
      </c>
      <c r="G70" s="3"/>
      <c r="J70" s="4"/>
      <c r="M70" s="4"/>
      <c r="V70" s="10"/>
      <c r="W70" s="10"/>
      <c r="X70" s="10"/>
      <c r="Y70" s="10"/>
      <c r="Z70" s="10"/>
      <c r="AA70" s="10"/>
      <c r="AB70" s="10"/>
    </row>
    <row r="71">
      <c r="A71" s="14" t="s">
        <v>613</v>
      </c>
      <c r="B71" s="7" t="s">
        <v>523</v>
      </c>
      <c r="C71" s="15">
        <v>46092.0</v>
      </c>
      <c r="D71" s="1" t="b">
        <v>1</v>
      </c>
      <c r="E71" s="1" t="s">
        <v>258</v>
      </c>
      <c r="F71" s="7" t="s">
        <v>542</v>
      </c>
      <c r="G71" s="3"/>
      <c r="J71" s="4"/>
    </row>
    <row r="72">
      <c r="A72" s="14" t="s">
        <v>599</v>
      </c>
      <c r="B72" s="7" t="s">
        <v>523</v>
      </c>
      <c r="C72" s="15">
        <v>46093.0</v>
      </c>
      <c r="D72" s="1" t="b">
        <v>1</v>
      </c>
      <c r="E72" s="1" t="s">
        <v>258</v>
      </c>
      <c r="F72" s="7" t="s">
        <v>544</v>
      </c>
      <c r="G72" s="3"/>
      <c r="J72" s="4"/>
      <c r="M72" s="4"/>
    </row>
    <row r="73">
      <c r="A73" s="14" t="s">
        <v>600</v>
      </c>
      <c r="B73" s="7" t="s">
        <v>523</v>
      </c>
      <c r="C73" s="15">
        <v>46094.0</v>
      </c>
      <c r="D73" s="1" t="b">
        <v>1</v>
      </c>
      <c r="E73" s="1" t="s">
        <v>258</v>
      </c>
      <c r="F73" s="7" t="s">
        <v>573</v>
      </c>
      <c r="G73" s="3"/>
      <c r="J73" s="4"/>
      <c r="M73" s="4"/>
    </row>
    <row r="74">
      <c r="A74" s="14" t="s">
        <v>614</v>
      </c>
      <c r="B74" s="7" t="s">
        <v>523</v>
      </c>
      <c r="C74" s="15">
        <v>46095.0</v>
      </c>
      <c r="D74" s="1" t="b">
        <v>1</v>
      </c>
      <c r="E74" s="1" t="s">
        <v>258</v>
      </c>
      <c r="F74" s="7" t="s">
        <v>524</v>
      </c>
      <c r="G74" s="3"/>
      <c r="J74" s="4"/>
      <c r="M74" s="4"/>
    </row>
    <row r="75">
      <c r="A75" s="14" t="s">
        <v>615</v>
      </c>
      <c r="B75" s="7" t="s">
        <v>523</v>
      </c>
      <c r="C75" s="15">
        <v>46096.0</v>
      </c>
      <c r="D75" s="1" t="b">
        <v>1</v>
      </c>
      <c r="E75" s="1" t="s">
        <v>258</v>
      </c>
      <c r="F75" s="7" t="s">
        <v>548</v>
      </c>
      <c r="G75" s="7" t="s">
        <v>616</v>
      </c>
      <c r="J75" s="4"/>
      <c r="M75" s="4"/>
      <c r="V75" s="8"/>
    </row>
    <row r="76">
      <c r="A76" s="14" t="s">
        <v>617</v>
      </c>
      <c r="B76" s="7" t="s">
        <v>523</v>
      </c>
      <c r="C76" s="15">
        <v>46097.0</v>
      </c>
      <c r="D76" s="1" t="b">
        <v>1</v>
      </c>
      <c r="E76" s="1" t="s">
        <v>258</v>
      </c>
      <c r="F76" s="7" t="s">
        <v>550</v>
      </c>
      <c r="G76" s="3"/>
      <c r="J76" s="4"/>
      <c r="M76" s="4"/>
      <c r="V76" s="9"/>
      <c r="W76" s="9"/>
      <c r="X76" s="9"/>
      <c r="Y76" s="9"/>
      <c r="Z76" s="9"/>
      <c r="AA76" s="9"/>
      <c r="AB76" s="9"/>
    </row>
    <row r="77">
      <c r="A77" s="14" t="s">
        <v>618</v>
      </c>
      <c r="B77" s="7" t="s">
        <v>523</v>
      </c>
      <c r="C77" s="15">
        <v>46098.0</v>
      </c>
      <c r="D77" s="1" t="b">
        <v>1</v>
      </c>
      <c r="E77" s="1" t="s">
        <v>258</v>
      </c>
      <c r="F77" s="7" t="s">
        <v>552</v>
      </c>
      <c r="G77" s="3"/>
      <c r="J77" s="4"/>
      <c r="M77" s="4"/>
      <c r="V77" s="10"/>
      <c r="W77" s="10"/>
      <c r="X77" s="10"/>
      <c r="Y77" s="10"/>
      <c r="Z77" s="10"/>
      <c r="AA77" s="11"/>
      <c r="AB77" s="11"/>
    </row>
    <row r="78">
      <c r="A78" s="14" t="s">
        <v>619</v>
      </c>
      <c r="B78" s="7" t="s">
        <v>523</v>
      </c>
      <c r="C78" s="15">
        <v>46099.0</v>
      </c>
      <c r="D78" s="1" t="b">
        <v>1</v>
      </c>
      <c r="E78" s="1" t="s">
        <v>258</v>
      </c>
      <c r="F78" s="7" t="s">
        <v>143</v>
      </c>
      <c r="G78" s="3"/>
      <c r="J78" s="4"/>
      <c r="V78" s="10"/>
      <c r="W78" s="10"/>
      <c r="X78" s="10"/>
      <c r="Y78" s="10"/>
      <c r="Z78" s="10"/>
      <c r="AA78" s="11"/>
      <c r="AB78" s="11"/>
    </row>
    <row r="79">
      <c r="A79" s="14" t="s">
        <v>620</v>
      </c>
      <c r="B79" s="7" t="s">
        <v>523</v>
      </c>
      <c r="C79" s="15">
        <v>46100.0</v>
      </c>
      <c r="D79" s="1" t="b">
        <v>1</v>
      </c>
      <c r="E79" s="1" t="s">
        <v>345</v>
      </c>
      <c r="F79" s="7" t="s">
        <v>555</v>
      </c>
      <c r="G79" s="3"/>
      <c r="J79" s="4"/>
      <c r="M79" s="4"/>
      <c r="V79" s="10"/>
      <c r="W79" s="10"/>
      <c r="X79" s="10"/>
      <c r="Y79" s="10"/>
      <c r="Z79" s="10"/>
      <c r="AA79" s="11"/>
      <c r="AB79" s="11"/>
    </row>
    <row r="80">
      <c r="A80" s="14" t="s">
        <v>621</v>
      </c>
      <c r="B80" s="7" t="s">
        <v>523</v>
      </c>
      <c r="C80" s="15">
        <v>46101.0</v>
      </c>
      <c r="D80" s="1" t="b">
        <v>1</v>
      </c>
      <c r="E80" s="1" t="s">
        <v>345</v>
      </c>
      <c r="F80" s="7" t="s">
        <v>557</v>
      </c>
      <c r="G80" s="3"/>
      <c r="J80" s="4"/>
      <c r="M80" s="4"/>
      <c r="V80" s="10"/>
      <c r="W80" s="10"/>
      <c r="X80" s="10"/>
      <c r="Y80" s="10"/>
      <c r="Z80" s="10"/>
      <c r="AA80" s="11"/>
      <c r="AB80" s="11"/>
    </row>
    <row r="81">
      <c r="A81" s="14" t="s">
        <v>622</v>
      </c>
      <c r="B81" s="7" t="s">
        <v>523</v>
      </c>
      <c r="C81" s="15">
        <v>46102.0</v>
      </c>
      <c r="D81" s="1" t="b">
        <v>1</v>
      </c>
      <c r="E81" s="1" t="s">
        <v>345</v>
      </c>
      <c r="F81" s="7" t="s">
        <v>559</v>
      </c>
      <c r="G81" s="3"/>
      <c r="J81" s="4"/>
      <c r="M81" s="4"/>
      <c r="V81" s="10"/>
      <c r="W81" s="10"/>
      <c r="X81" s="10"/>
      <c r="Y81" s="10"/>
      <c r="Z81" s="10"/>
      <c r="AA81" s="10"/>
      <c r="AB81" s="10"/>
    </row>
    <row r="82">
      <c r="A82" s="14" t="s">
        <v>623</v>
      </c>
      <c r="B82" s="7" t="s">
        <v>523</v>
      </c>
      <c r="C82" s="15">
        <v>46103.0</v>
      </c>
      <c r="D82" s="1" t="b">
        <v>1</v>
      </c>
      <c r="E82" s="1" t="s">
        <v>345</v>
      </c>
      <c r="F82" s="7" t="s">
        <v>561</v>
      </c>
      <c r="G82" s="7" t="s">
        <v>624</v>
      </c>
      <c r="J82" s="4"/>
      <c r="M82" s="4"/>
      <c r="V82" s="10"/>
      <c r="W82" s="10"/>
      <c r="X82" s="10"/>
      <c r="Y82" s="10"/>
      <c r="Z82" s="10"/>
      <c r="AA82" s="10"/>
      <c r="AB82" s="10"/>
    </row>
    <row r="83">
      <c r="A83" s="14" t="s">
        <v>625</v>
      </c>
      <c r="B83" s="7" t="s">
        <v>523</v>
      </c>
      <c r="C83" s="15">
        <v>46104.0</v>
      </c>
      <c r="D83" s="1" t="b">
        <v>1</v>
      </c>
      <c r="E83" s="1" t="s">
        <v>345</v>
      </c>
      <c r="F83" s="7" t="s">
        <v>548</v>
      </c>
      <c r="G83" s="3"/>
      <c r="J83" s="4"/>
      <c r="M83" s="4"/>
    </row>
    <row r="84">
      <c r="A84" s="14" t="s">
        <v>626</v>
      </c>
      <c r="B84" s="7" t="s">
        <v>523</v>
      </c>
      <c r="C84" s="15">
        <v>46105.0</v>
      </c>
      <c r="D84" s="1" t="b">
        <v>1</v>
      </c>
      <c r="E84" s="1" t="s">
        <v>345</v>
      </c>
      <c r="F84" s="7" t="s">
        <v>564</v>
      </c>
      <c r="G84" s="3"/>
      <c r="J84" s="4"/>
      <c r="M84" s="4"/>
    </row>
    <row r="85">
      <c r="A85" s="14" t="s">
        <v>627</v>
      </c>
      <c r="B85" s="7" t="s">
        <v>523</v>
      </c>
      <c r="C85" s="15">
        <v>46106.0</v>
      </c>
      <c r="D85" s="1" t="b">
        <v>1</v>
      </c>
      <c r="E85" s="1" t="s">
        <v>345</v>
      </c>
      <c r="F85" s="1" t="s">
        <v>539</v>
      </c>
      <c r="G85" s="3"/>
      <c r="J85" s="4"/>
      <c r="M85" s="4"/>
    </row>
    <row r="86">
      <c r="A86" s="14" t="s">
        <v>628</v>
      </c>
      <c r="B86" s="7" t="s">
        <v>523</v>
      </c>
      <c r="C86" s="15">
        <v>46107.0</v>
      </c>
      <c r="D86" s="1" t="b">
        <v>1</v>
      </c>
      <c r="E86" s="1" t="s">
        <v>345</v>
      </c>
      <c r="F86" s="7" t="s">
        <v>184</v>
      </c>
      <c r="G86" s="3"/>
      <c r="J86" s="4"/>
    </row>
    <row r="87">
      <c r="A87" s="14" t="s">
        <v>629</v>
      </c>
      <c r="B87" s="7" t="s">
        <v>523</v>
      </c>
      <c r="C87" s="15">
        <v>46108.0</v>
      </c>
      <c r="D87" s="1" t="b">
        <v>1</v>
      </c>
      <c r="E87" s="1" t="s">
        <v>345</v>
      </c>
      <c r="F87" s="7" t="s">
        <v>568</v>
      </c>
      <c r="G87" s="3"/>
      <c r="J87" s="4"/>
      <c r="M87" s="4"/>
      <c r="V87" s="8"/>
    </row>
    <row r="88">
      <c r="A88" s="14" t="s">
        <v>630</v>
      </c>
      <c r="B88" s="7" t="s">
        <v>523</v>
      </c>
      <c r="C88" s="15">
        <v>46109.0</v>
      </c>
      <c r="D88" s="1" t="b">
        <v>1</v>
      </c>
      <c r="E88" s="1" t="s">
        <v>345</v>
      </c>
      <c r="F88" s="7" t="s">
        <v>570</v>
      </c>
      <c r="G88" s="3"/>
      <c r="J88" s="4"/>
      <c r="M88" s="4"/>
      <c r="V88" s="9"/>
      <c r="W88" s="9"/>
      <c r="X88" s="9"/>
      <c r="Y88" s="9"/>
      <c r="Z88" s="9"/>
      <c r="AA88" s="9"/>
      <c r="AB88" s="9"/>
    </row>
    <row r="89">
      <c r="A89" s="14" t="s">
        <v>631</v>
      </c>
      <c r="B89" s="7" t="s">
        <v>523</v>
      </c>
      <c r="C89" s="15">
        <v>46110.0</v>
      </c>
      <c r="D89" s="1" t="b">
        <v>1</v>
      </c>
      <c r="E89" s="1" t="s">
        <v>345</v>
      </c>
      <c r="F89" s="7" t="s">
        <v>544</v>
      </c>
      <c r="G89" s="7" t="s">
        <v>632</v>
      </c>
      <c r="J89" s="4"/>
      <c r="M89" s="4"/>
      <c r="V89" s="10"/>
      <c r="W89" s="10"/>
      <c r="X89" s="10"/>
      <c r="Y89" s="10"/>
      <c r="Z89" s="10"/>
      <c r="AA89" s="11"/>
      <c r="AB89" s="11"/>
    </row>
    <row r="90">
      <c r="A90" s="14" t="s">
        <v>633</v>
      </c>
      <c r="B90" s="7" t="s">
        <v>523</v>
      </c>
      <c r="C90" s="15">
        <v>46111.0</v>
      </c>
      <c r="D90" s="1" t="b">
        <v>1</v>
      </c>
      <c r="E90" s="1" t="s">
        <v>345</v>
      </c>
      <c r="F90" s="7" t="s">
        <v>573</v>
      </c>
      <c r="G90" s="3"/>
      <c r="J90" s="4"/>
      <c r="M90" s="4"/>
      <c r="V90" s="10"/>
      <c r="W90" s="10"/>
      <c r="X90" s="10"/>
      <c r="Y90" s="10"/>
      <c r="Z90" s="10"/>
      <c r="AA90" s="11"/>
      <c r="AB90" s="11"/>
    </row>
    <row r="91">
      <c r="A91" s="14" t="s">
        <v>634</v>
      </c>
      <c r="B91" s="7" t="s">
        <v>523</v>
      </c>
      <c r="C91" s="15">
        <v>46112.0</v>
      </c>
      <c r="D91" s="1" t="b">
        <v>1</v>
      </c>
      <c r="E91" s="1" t="s">
        <v>345</v>
      </c>
      <c r="F91" s="7" t="s">
        <v>524</v>
      </c>
      <c r="G91" s="3"/>
      <c r="J91" s="4"/>
      <c r="M91" s="4"/>
      <c r="V91" s="10"/>
      <c r="W91" s="10"/>
      <c r="X91" s="10"/>
      <c r="Y91" s="10"/>
      <c r="Z91" s="10"/>
      <c r="AA91" s="11"/>
      <c r="AB91" s="11"/>
    </row>
    <row r="92">
      <c r="A92" s="14" t="s">
        <v>635</v>
      </c>
      <c r="B92" s="7" t="s">
        <v>523</v>
      </c>
      <c r="C92" s="15">
        <v>46113.0</v>
      </c>
      <c r="D92" s="1" t="b">
        <v>1</v>
      </c>
      <c r="E92" s="1" t="s">
        <v>345</v>
      </c>
      <c r="F92" s="7" t="s">
        <v>35</v>
      </c>
      <c r="G92" s="3"/>
      <c r="J92" s="4"/>
      <c r="V92" s="10"/>
      <c r="W92" s="10"/>
      <c r="X92" s="10"/>
      <c r="Y92" s="10"/>
      <c r="Z92" s="10"/>
      <c r="AA92" s="11"/>
      <c r="AB92" s="11"/>
    </row>
    <row r="93">
      <c r="A93" s="14" t="s">
        <v>636</v>
      </c>
      <c r="B93" s="7" t="s">
        <v>523</v>
      </c>
      <c r="C93" s="15">
        <v>46114.0</v>
      </c>
      <c r="D93" s="1" t="b">
        <v>1</v>
      </c>
      <c r="E93" s="1" t="s">
        <v>345</v>
      </c>
      <c r="F93" s="7" t="s">
        <v>527</v>
      </c>
      <c r="G93" s="7" t="s">
        <v>637</v>
      </c>
      <c r="J93" s="4"/>
      <c r="M93" s="4"/>
      <c r="V93" s="10"/>
      <c r="W93" s="10"/>
      <c r="X93" s="10"/>
      <c r="Y93" s="10"/>
      <c r="Z93" s="10"/>
      <c r="AA93" s="11"/>
      <c r="AB93" s="11"/>
    </row>
    <row r="94">
      <c r="A94" s="14" t="s">
        <v>638</v>
      </c>
      <c r="B94" s="7" t="s">
        <v>523</v>
      </c>
      <c r="C94" s="15">
        <v>46115.0</v>
      </c>
      <c r="D94" s="1" t="b">
        <v>1</v>
      </c>
      <c r="E94" s="1" t="s">
        <v>345</v>
      </c>
      <c r="F94" s="7" t="s">
        <v>606</v>
      </c>
      <c r="G94" s="7" t="s">
        <v>639</v>
      </c>
      <c r="J94" s="4"/>
      <c r="M94" s="4"/>
      <c r="V94" s="10"/>
      <c r="W94" s="10"/>
      <c r="X94" s="10"/>
      <c r="Y94" s="10"/>
      <c r="Z94" s="10"/>
      <c r="AA94" s="10"/>
      <c r="AB94" s="10"/>
    </row>
    <row r="95">
      <c r="A95" s="14" t="s">
        <v>640</v>
      </c>
      <c r="B95" s="7" t="s">
        <v>523</v>
      </c>
      <c r="C95" s="15">
        <v>46116.0</v>
      </c>
      <c r="D95" s="1" t="b">
        <v>1</v>
      </c>
      <c r="E95" s="1" t="s">
        <v>345</v>
      </c>
      <c r="F95" s="7" t="s">
        <v>531</v>
      </c>
      <c r="G95" s="7" t="s">
        <v>641</v>
      </c>
      <c r="J95" s="4"/>
      <c r="M95" s="4"/>
    </row>
    <row r="96">
      <c r="A96" s="14" t="s">
        <v>642</v>
      </c>
      <c r="B96" s="7" t="s">
        <v>523</v>
      </c>
      <c r="C96" s="15">
        <v>46117.0</v>
      </c>
      <c r="D96" s="1" t="b">
        <v>1</v>
      </c>
      <c r="E96" s="1" t="s">
        <v>345</v>
      </c>
      <c r="F96" s="7" t="s">
        <v>533</v>
      </c>
      <c r="G96" s="7" t="s">
        <v>643</v>
      </c>
      <c r="J96" s="4"/>
      <c r="M96" s="4"/>
    </row>
    <row r="97">
      <c r="A97" s="14" t="s">
        <v>644</v>
      </c>
      <c r="B97" s="7" t="s">
        <v>523</v>
      </c>
      <c r="C97" s="15">
        <v>46118.0</v>
      </c>
      <c r="D97" s="1" t="b">
        <v>1</v>
      </c>
      <c r="E97" s="1" t="s">
        <v>345</v>
      </c>
      <c r="F97" s="7" t="s">
        <v>535</v>
      </c>
      <c r="G97" s="3"/>
      <c r="J97" s="4"/>
      <c r="M97" s="4"/>
    </row>
    <row r="98">
      <c r="A98" s="14" t="s">
        <v>645</v>
      </c>
      <c r="B98" s="7" t="s">
        <v>523</v>
      </c>
      <c r="C98" s="15">
        <v>46119.0</v>
      </c>
      <c r="D98" s="1" t="b">
        <v>1</v>
      </c>
      <c r="E98" s="1" t="s">
        <v>345</v>
      </c>
      <c r="F98" s="7" t="s">
        <v>537</v>
      </c>
      <c r="G98" s="3"/>
      <c r="J98" s="4"/>
      <c r="M98" s="4"/>
    </row>
    <row r="99">
      <c r="A99" s="14" t="s">
        <v>627</v>
      </c>
      <c r="B99" s="7" t="s">
        <v>523</v>
      </c>
      <c r="C99" s="15">
        <v>46120.0</v>
      </c>
      <c r="D99" s="1" t="b">
        <v>1</v>
      </c>
      <c r="E99" s="1" t="s">
        <v>345</v>
      </c>
      <c r="F99" s="1" t="s">
        <v>539</v>
      </c>
      <c r="G99" s="3"/>
      <c r="J99" s="4"/>
      <c r="M99" s="4"/>
      <c r="V99" s="8"/>
    </row>
    <row r="100">
      <c r="A100" s="14" t="s">
        <v>646</v>
      </c>
      <c r="B100" s="7" t="s">
        <v>523</v>
      </c>
      <c r="C100" s="15">
        <v>46121.0</v>
      </c>
      <c r="D100" s="1" t="b">
        <v>1</v>
      </c>
      <c r="E100" s="1" t="s">
        <v>345</v>
      </c>
      <c r="F100" s="7" t="s">
        <v>107</v>
      </c>
      <c r="G100" s="3"/>
      <c r="J100" s="4"/>
      <c r="M100" s="4"/>
      <c r="V100" s="9"/>
      <c r="W100" s="9"/>
      <c r="X100" s="9"/>
      <c r="Y100" s="9"/>
      <c r="Z100" s="9"/>
      <c r="AA100" s="9"/>
      <c r="AB100" s="9"/>
    </row>
    <row r="101">
      <c r="A101" s="14" t="s">
        <v>647</v>
      </c>
      <c r="B101" s="7" t="s">
        <v>523</v>
      </c>
      <c r="C101" s="15">
        <v>46122.0</v>
      </c>
      <c r="D101" s="1" t="b">
        <v>1</v>
      </c>
      <c r="E101" s="1" t="s">
        <v>345</v>
      </c>
      <c r="F101" s="7" t="s">
        <v>542</v>
      </c>
      <c r="G101" s="3"/>
      <c r="J101" s="4"/>
      <c r="V101" s="10"/>
      <c r="W101" s="10"/>
      <c r="X101" s="10"/>
      <c r="Y101" s="10"/>
      <c r="Z101" s="10"/>
      <c r="AA101" s="11"/>
      <c r="AB101" s="11"/>
    </row>
    <row r="102">
      <c r="A102" s="14" t="s">
        <v>648</v>
      </c>
      <c r="B102" s="7" t="s">
        <v>523</v>
      </c>
      <c r="C102" s="15">
        <v>46123.0</v>
      </c>
      <c r="D102" s="1" t="b">
        <v>1</v>
      </c>
      <c r="E102" s="1" t="s">
        <v>345</v>
      </c>
      <c r="F102" s="7" t="s">
        <v>544</v>
      </c>
      <c r="G102" s="3"/>
      <c r="J102" s="4"/>
      <c r="M102" s="4"/>
      <c r="V102" s="10"/>
      <c r="W102" s="10"/>
      <c r="X102" s="10"/>
      <c r="Y102" s="10"/>
      <c r="Z102" s="10"/>
      <c r="AA102" s="11"/>
      <c r="AB102" s="11"/>
    </row>
    <row r="103">
      <c r="A103" s="14" t="s">
        <v>633</v>
      </c>
      <c r="B103" s="7" t="s">
        <v>523</v>
      </c>
      <c r="C103" s="15">
        <v>46124.0</v>
      </c>
      <c r="D103" s="1" t="b">
        <v>1</v>
      </c>
      <c r="E103" s="1" t="s">
        <v>345</v>
      </c>
      <c r="F103" s="7" t="s">
        <v>573</v>
      </c>
      <c r="G103" s="3"/>
      <c r="J103" s="4"/>
      <c r="M103" s="4"/>
      <c r="V103" s="10"/>
      <c r="W103" s="10"/>
      <c r="X103" s="10"/>
      <c r="Y103" s="10"/>
      <c r="Z103" s="10"/>
      <c r="AA103" s="11"/>
      <c r="AB103" s="11"/>
    </row>
    <row r="104">
      <c r="A104" s="14" t="s">
        <v>634</v>
      </c>
      <c r="B104" s="7" t="s">
        <v>523</v>
      </c>
      <c r="C104" s="15">
        <v>46125.0</v>
      </c>
      <c r="D104" s="1" t="b">
        <v>1</v>
      </c>
      <c r="E104" s="1" t="s">
        <v>345</v>
      </c>
      <c r="F104" s="7" t="s">
        <v>524</v>
      </c>
      <c r="G104" s="3"/>
      <c r="J104" s="4"/>
      <c r="M104" s="4"/>
      <c r="V104" s="10"/>
      <c r="W104" s="10"/>
      <c r="X104" s="10"/>
      <c r="Y104" s="10"/>
      <c r="Z104" s="10"/>
      <c r="AA104" s="11"/>
      <c r="AB104" s="11"/>
    </row>
    <row r="105">
      <c r="A105" s="14" t="s">
        <v>625</v>
      </c>
      <c r="B105" s="7" t="s">
        <v>523</v>
      </c>
      <c r="C105" s="15">
        <v>46126.0</v>
      </c>
      <c r="D105" s="1" t="b">
        <v>1</v>
      </c>
      <c r="E105" s="1" t="s">
        <v>345</v>
      </c>
      <c r="F105" s="7" t="s">
        <v>548</v>
      </c>
      <c r="G105" s="3"/>
      <c r="J105" s="4"/>
      <c r="M105" s="4"/>
      <c r="V105" s="10"/>
      <c r="W105" s="10"/>
      <c r="X105" s="10"/>
      <c r="Y105" s="10"/>
      <c r="Z105" s="10"/>
      <c r="AA105" s="10"/>
      <c r="AB105" s="10"/>
    </row>
    <row r="106">
      <c r="A106" s="14" t="s">
        <v>649</v>
      </c>
      <c r="B106" s="7" t="s">
        <v>523</v>
      </c>
      <c r="C106" s="15">
        <v>46127.0</v>
      </c>
      <c r="D106" s="1" t="b">
        <v>1</v>
      </c>
      <c r="E106" s="1" t="s">
        <v>345</v>
      </c>
      <c r="F106" s="7" t="s">
        <v>550</v>
      </c>
      <c r="G106" s="3"/>
      <c r="J106" s="4"/>
      <c r="M106" s="4"/>
      <c r="V106" s="10"/>
      <c r="W106" s="10"/>
      <c r="X106" s="10"/>
      <c r="Y106" s="10"/>
      <c r="Z106" s="10"/>
      <c r="AA106" s="10"/>
      <c r="AB106" s="10"/>
    </row>
    <row r="107">
      <c r="A107" s="14" t="s">
        <v>650</v>
      </c>
      <c r="B107" s="7" t="s">
        <v>523</v>
      </c>
      <c r="C107" s="15">
        <v>46128.0</v>
      </c>
      <c r="D107" s="1" t="b">
        <v>1</v>
      </c>
      <c r="E107" s="1" t="s">
        <v>345</v>
      </c>
      <c r="F107" s="7" t="s">
        <v>651</v>
      </c>
      <c r="G107" s="3"/>
      <c r="J107" s="4"/>
      <c r="M107" s="4"/>
    </row>
    <row r="108">
      <c r="A108" s="14" t="s">
        <v>652</v>
      </c>
      <c r="B108" s="7" t="s">
        <v>523</v>
      </c>
      <c r="C108" s="15">
        <v>46129.0</v>
      </c>
      <c r="D108" s="1" t="b">
        <v>1</v>
      </c>
      <c r="E108" s="1" t="s">
        <v>413</v>
      </c>
      <c r="F108" s="7" t="s">
        <v>555</v>
      </c>
      <c r="G108" s="3"/>
      <c r="J108" s="4"/>
    </row>
    <row r="109">
      <c r="A109" s="14" t="s">
        <v>653</v>
      </c>
      <c r="B109" s="7" t="s">
        <v>523</v>
      </c>
      <c r="C109" s="15">
        <v>46130.0</v>
      </c>
      <c r="D109" s="1" t="b">
        <v>1</v>
      </c>
      <c r="E109" s="1" t="s">
        <v>413</v>
      </c>
      <c r="F109" s="7" t="s">
        <v>557</v>
      </c>
      <c r="G109" s="3"/>
      <c r="J109" s="4"/>
      <c r="M109" s="4"/>
    </row>
    <row r="110">
      <c r="A110" s="14" t="s">
        <v>654</v>
      </c>
      <c r="B110" s="7" t="s">
        <v>523</v>
      </c>
      <c r="C110" s="15">
        <v>46131.0</v>
      </c>
      <c r="D110" s="1" t="b">
        <v>1</v>
      </c>
      <c r="E110" s="1" t="s">
        <v>413</v>
      </c>
      <c r="F110" s="7" t="s">
        <v>559</v>
      </c>
      <c r="G110" s="3"/>
      <c r="J110" s="4"/>
      <c r="M110" s="4"/>
    </row>
    <row r="111">
      <c r="A111" s="14" t="s">
        <v>655</v>
      </c>
      <c r="B111" s="7" t="s">
        <v>523</v>
      </c>
      <c r="C111" s="15">
        <v>46132.0</v>
      </c>
      <c r="D111" s="1" t="b">
        <v>1</v>
      </c>
      <c r="E111" s="1" t="s">
        <v>413</v>
      </c>
      <c r="F111" s="7" t="s">
        <v>561</v>
      </c>
      <c r="G111" s="3"/>
      <c r="J111" s="4"/>
      <c r="M111" s="4"/>
      <c r="V111" s="8"/>
    </row>
    <row r="112">
      <c r="A112" s="14" t="s">
        <v>656</v>
      </c>
      <c r="B112" s="7" t="s">
        <v>523</v>
      </c>
      <c r="C112" s="15">
        <v>46133.0</v>
      </c>
      <c r="D112" s="1" t="b">
        <v>1</v>
      </c>
      <c r="E112" s="1" t="s">
        <v>413</v>
      </c>
      <c r="F112" s="7" t="s">
        <v>548</v>
      </c>
      <c r="G112" s="3"/>
      <c r="J112" s="4"/>
      <c r="M112" s="4"/>
      <c r="V112" s="9"/>
      <c r="W112" s="9"/>
      <c r="X112" s="9"/>
      <c r="Y112" s="9"/>
      <c r="Z112" s="9"/>
      <c r="AA112" s="9"/>
      <c r="AB112" s="9"/>
    </row>
    <row r="113">
      <c r="A113" s="14" t="s">
        <v>657</v>
      </c>
      <c r="B113" s="7" t="s">
        <v>523</v>
      </c>
      <c r="C113" s="15">
        <v>46134.0</v>
      </c>
      <c r="D113" s="1" t="b">
        <v>1</v>
      </c>
      <c r="E113" s="1" t="s">
        <v>413</v>
      </c>
      <c r="F113" s="7" t="s">
        <v>564</v>
      </c>
      <c r="G113" s="3"/>
      <c r="J113" s="4"/>
      <c r="M113" s="4"/>
      <c r="V113" s="10"/>
      <c r="W113" s="10"/>
      <c r="X113" s="10"/>
      <c r="Y113" s="10"/>
      <c r="Z113" s="10"/>
      <c r="AA113" s="11"/>
      <c r="AB113" s="11"/>
    </row>
    <row r="114">
      <c r="A114" s="14" t="s">
        <v>658</v>
      </c>
      <c r="B114" s="7" t="s">
        <v>523</v>
      </c>
      <c r="C114" s="15">
        <v>46135.0</v>
      </c>
      <c r="D114" s="1" t="b">
        <v>1</v>
      </c>
      <c r="E114" s="1" t="s">
        <v>413</v>
      </c>
      <c r="F114" s="1" t="s">
        <v>539</v>
      </c>
      <c r="G114" s="3"/>
      <c r="J114" s="4"/>
      <c r="V114" s="10"/>
      <c r="W114" s="10"/>
      <c r="X114" s="10"/>
      <c r="Y114" s="10"/>
      <c r="Z114" s="10"/>
      <c r="AA114" s="11"/>
      <c r="AB114" s="11"/>
    </row>
    <row r="115">
      <c r="A115" s="14" t="s">
        <v>659</v>
      </c>
      <c r="B115" s="7" t="s">
        <v>523</v>
      </c>
      <c r="C115" s="15">
        <v>46136.0</v>
      </c>
      <c r="D115" s="1" t="b">
        <v>1</v>
      </c>
      <c r="E115" s="1" t="s">
        <v>413</v>
      </c>
      <c r="F115" s="7" t="s">
        <v>184</v>
      </c>
      <c r="G115" s="3"/>
      <c r="J115" s="4"/>
      <c r="M115" s="4"/>
      <c r="V115" s="10"/>
      <c r="W115" s="10"/>
      <c r="X115" s="10"/>
      <c r="Y115" s="10"/>
      <c r="Z115" s="10"/>
      <c r="AA115" s="11"/>
      <c r="AB115" s="11"/>
    </row>
    <row r="116">
      <c r="A116" s="14" t="s">
        <v>660</v>
      </c>
      <c r="B116" s="7" t="s">
        <v>523</v>
      </c>
      <c r="C116" s="15">
        <v>46137.0</v>
      </c>
      <c r="D116" s="1" t="b">
        <v>1</v>
      </c>
      <c r="E116" s="1" t="s">
        <v>413</v>
      </c>
      <c r="F116" s="7" t="s">
        <v>568</v>
      </c>
      <c r="G116" s="3"/>
      <c r="J116" s="4"/>
      <c r="M116" s="4"/>
      <c r="V116" s="10"/>
      <c r="W116" s="10"/>
      <c r="X116" s="10"/>
      <c r="Y116" s="10"/>
      <c r="Z116" s="10"/>
      <c r="AA116" s="11"/>
      <c r="AB116" s="11"/>
    </row>
    <row r="117">
      <c r="A117" s="14" t="s">
        <v>661</v>
      </c>
      <c r="B117" s="7" t="s">
        <v>523</v>
      </c>
      <c r="C117" s="15">
        <v>46138.0</v>
      </c>
      <c r="D117" s="1" t="b">
        <v>1</v>
      </c>
      <c r="E117" s="1" t="s">
        <v>413</v>
      </c>
      <c r="F117" s="7" t="s">
        <v>570</v>
      </c>
      <c r="G117" s="3"/>
      <c r="J117" s="4"/>
      <c r="M117" s="4"/>
      <c r="V117" s="10"/>
      <c r="W117" s="10"/>
      <c r="X117" s="10"/>
      <c r="Y117" s="10"/>
      <c r="Z117" s="10"/>
      <c r="AA117" s="11"/>
      <c r="AB117" s="10"/>
    </row>
    <row r="118">
      <c r="A118" s="14" t="s">
        <v>662</v>
      </c>
      <c r="B118" s="7" t="s">
        <v>523</v>
      </c>
      <c r="C118" s="15">
        <v>46139.0</v>
      </c>
      <c r="D118" s="1" t="b">
        <v>1</v>
      </c>
      <c r="E118" s="1" t="s">
        <v>413</v>
      </c>
      <c r="F118" s="7" t="s">
        <v>544</v>
      </c>
      <c r="G118" s="3"/>
      <c r="J118" s="4"/>
      <c r="M118" s="4"/>
      <c r="V118" s="10"/>
      <c r="W118" s="10"/>
      <c r="X118" s="10"/>
      <c r="Y118" s="10"/>
      <c r="Z118" s="10"/>
      <c r="AA118" s="10"/>
      <c r="AB118" s="10"/>
    </row>
    <row r="119">
      <c r="A119" s="14" t="s">
        <v>663</v>
      </c>
      <c r="B119" s="7" t="s">
        <v>523</v>
      </c>
      <c r="C119" s="15">
        <v>46140.0</v>
      </c>
      <c r="D119" s="1" t="b">
        <v>1</v>
      </c>
      <c r="E119" s="1" t="s">
        <v>413</v>
      </c>
      <c r="F119" s="7" t="s">
        <v>573</v>
      </c>
      <c r="G119" s="3"/>
      <c r="J119" s="4"/>
      <c r="M119" s="4"/>
    </row>
    <row r="120">
      <c r="A120" s="14" t="s">
        <v>664</v>
      </c>
      <c r="B120" s="7" t="s">
        <v>523</v>
      </c>
      <c r="C120" s="15">
        <v>46141.0</v>
      </c>
      <c r="D120" s="1" t="b">
        <v>1</v>
      </c>
      <c r="E120" s="1" t="s">
        <v>413</v>
      </c>
      <c r="F120" s="7" t="s">
        <v>524</v>
      </c>
      <c r="G120" s="3"/>
      <c r="J120" s="4"/>
      <c r="M120" s="4"/>
    </row>
    <row r="121">
      <c r="A121" s="14" t="s">
        <v>665</v>
      </c>
      <c r="B121" s="7" t="s">
        <v>523</v>
      </c>
      <c r="C121" s="15">
        <v>46142.0</v>
      </c>
      <c r="D121" s="1" t="b">
        <v>1</v>
      </c>
      <c r="E121" s="1" t="s">
        <v>413</v>
      </c>
      <c r="F121" s="7" t="s">
        <v>35</v>
      </c>
      <c r="G121" s="3"/>
      <c r="J121" s="4"/>
      <c r="M121" s="4"/>
    </row>
    <row r="122">
      <c r="A122" s="14" t="s">
        <v>666</v>
      </c>
      <c r="B122" s="7" t="s">
        <v>523</v>
      </c>
      <c r="C122" s="15">
        <v>46143.0</v>
      </c>
      <c r="D122" s="1" t="b">
        <v>1</v>
      </c>
      <c r="E122" s="1" t="s">
        <v>413</v>
      </c>
      <c r="F122" s="7" t="s">
        <v>527</v>
      </c>
      <c r="G122" s="3"/>
      <c r="J122" s="4"/>
    </row>
    <row r="123">
      <c r="A123" s="14" t="s">
        <v>667</v>
      </c>
      <c r="B123" s="7" t="s">
        <v>523</v>
      </c>
      <c r="C123" s="15">
        <v>46144.0</v>
      </c>
      <c r="D123" s="1" t="b">
        <v>1</v>
      </c>
      <c r="E123" s="1" t="s">
        <v>413</v>
      </c>
      <c r="F123" s="7" t="s">
        <v>606</v>
      </c>
      <c r="G123" s="3"/>
      <c r="J123" s="4"/>
      <c r="M123" s="4"/>
      <c r="V123" s="8"/>
    </row>
    <row r="124">
      <c r="A124" s="14" t="s">
        <v>668</v>
      </c>
      <c r="B124" s="7" t="s">
        <v>523</v>
      </c>
      <c r="C124" s="15">
        <v>46145.0</v>
      </c>
      <c r="D124" s="1" t="b">
        <v>1</v>
      </c>
      <c r="E124" s="1" t="s">
        <v>413</v>
      </c>
      <c r="F124" s="7" t="s">
        <v>531</v>
      </c>
      <c r="G124" s="3"/>
      <c r="J124" s="4"/>
      <c r="M124" s="4"/>
      <c r="V124" s="9"/>
      <c r="W124" s="9"/>
      <c r="X124" s="9"/>
      <c r="Y124" s="9"/>
      <c r="Z124" s="9"/>
      <c r="AA124" s="9"/>
      <c r="AB124" s="9"/>
    </row>
    <row r="125">
      <c r="A125" s="14" t="s">
        <v>669</v>
      </c>
      <c r="B125" s="7" t="s">
        <v>523</v>
      </c>
      <c r="C125" s="15">
        <v>46146.0</v>
      </c>
      <c r="D125" s="1" t="b">
        <v>1</v>
      </c>
      <c r="E125" s="1" t="s">
        <v>413</v>
      </c>
      <c r="F125" s="7" t="s">
        <v>533</v>
      </c>
      <c r="G125" s="3"/>
      <c r="J125" s="4"/>
      <c r="M125" s="4"/>
      <c r="V125" s="10"/>
      <c r="W125" s="10"/>
      <c r="X125" s="10"/>
      <c r="Y125" s="10"/>
      <c r="Z125" s="10"/>
      <c r="AA125" s="10"/>
      <c r="AB125" s="11"/>
    </row>
    <row r="126">
      <c r="A126" s="14" t="s">
        <v>670</v>
      </c>
      <c r="B126" s="7" t="s">
        <v>523</v>
      </c>
      <c r="C126" s="15">
        <v>46147.0</v>
      </c>
      <c r="D126" s="1" t="b">
        <v>1</v>
      </c>
      <c r="E126" s="1" t="s">
        <v>413</v>
      </c>
      <c r="F126" s="7" t="s">
        <v>535</v>
      </c>
      <c r="G126" s="3"/>
      <c r="J126" s="4"/>
      <c r="M126" s="4"/>
      <c r="V126" s="10"/>
      <c r="W126" s="10"/>
      <c r="X126" s="10"/>
      <c r="Y126" s="10"/>
      <c r="Z126" s="10"/>
      <c r="AA126" s="11"/>
      <c r="AB126" s="11"/>
    </row>
    <row r="127">
      <c r="A127" s="14" t="s">
        <v>671</v>
      </c>
      <c r="B127" s="7" t="s">
        <v>523</v>
      </c>
      <c r="C127" s="15">
        <v>46148.0</v>
      </c>
      <c r="D127" s="1" t="b">
        <v>1</v>
      </c>
      <c r="E127" s="1" t="s">
        <v>413</v>
      </c>
      <c r="F127" s="7" t="s">
        <v>537</v>
      </c>
      <c r="G127" s="3"/>
      <c r="J127" s="4"/>
      <c r="M127" s="4"/>
      <c r="V127" s="10"/>
      <c r="W127" s="10"/>
      <c r="X127" s="10"/>
      <c r="Y127" s="10"/>
      <c r="Z127" s="10"/>
      <c r="AA127" s="11"/>
      <c r="AB127" s="11"/>
    </row>
    <row r="128">
      <c r="A128" s="14" t="s">
        <v>658</v>
      </c>
      <c r="B128" s="7" t="s">
        <v>523</v>
      </c>
      <c r="C128" s="15">
        <v>46149.0</v>
      </c>
      <c r="D128" s="1" t="b">
        <v>1</v>
      </c>
      <c r="E128" s="1" t="s">
        <v>413</v>
      </c>
      <c r="F128" s="1" t="s">
        <v>539</v>
      </c>
      <c r="G128" s="3"/>
      <c r="J128" s="4"/>
      <c r="M128" s="4"/>
      <c r="V128" s="10"/>
      <c r="W128" s="10"/>
      <c r="X128" s="10"/>
      <c r="Y128" s="10"/>
      <c r="Z128" s="10"/>
      <c r="AA128" s="11"/>
      <c r="AB128" s="11"/>
    </row>
    <row r="129">
      <c r="A129" s="14" t="s">
        <v>672</v>
      </c>
      <c r="B129" s="7" t="s">
        <v>523</v>
      </c>
      <c r="C129" s="15">
        <v>46150.0</v>
      </c>
      <c r="D129" s="1" t="b">
        <v>1</v>
      </c>
      <c r="E129" s="1" t="s">
        <v>413</v>
      </c>
      <c r="F129" s="7" t="s">
        <v>107</v>
      </c>
      <c r="G129" s="3"/>
      <c r="J129" s="4"/>
      <c r="M129" s="4"/>
      <c r="V129" s="10"/>
      <c r="W129" s="10"/>
      <c r="X129" s="10"/>
      <c r="Y129" s="10"/>
      <c r="Z129" s="10"/>
      <c r="AA129" s="11"/>
      <c r="AB129" s="11"/>
    </row>
    <row r="130">
      <c r="A130" s="14" t="s">
        <v>673</v>
      </c>
      <c r="B130" s="7" t="s">
        <v>523</v>
      </c>
      <c r="C130" s="15">
        <v>46151.0</v>
      </c>
      <c r="D130" s="1" t="b">
        <v>1</v>
      </c>
      <c r="E130" s="1" t="s">
        <v>413</v>
      </c>
      <c r="F130" s="7" t="s">
        <v>542</v>
      </c>
      <c r="G130" s="3"/>
      <c r="J130" s="4"/>
      <c r="V130" s="10"/>
      <c r="W130" s="10"/>
      <c r="X130" s="10"/>
      <c r="Y130" s="10"/>
      <c r="Z130" s="10"/>
      <c r="AA130" s="10"/>
      <c r="AB130" s="10"/>
    </row>
    <row r="131">
      <c r="A131" s="14" t="s">
        <v>662</v>
      </c>
      <c r="B131" s="7" t="s">
        <v>523</v>
      </c>
      <c r="C131" s="15">
        <v>46152.0</v>
      </c>
      <c r="D131" s="1" t="b">
        <v>1</v>
      </c>
      <c r="E131" s="1" t="s">
        <v>413</v>
      </c>
      <c r="F131" s="7" t="s">
        <v>544</v>
      </c>
      <c r="G131" s="3"/>
      <c r="J131" s="4"/>
      <c r="M131" s="4"/>
    </row>
    <row r="132">
      <c r="A132" s="14" t="s">
        <v>663</v>
      </c>
      <c r="B132" s="7" t="s">
        <v>523</v>
      </c>
      <c r="C132" s="15">
        <v>46153.0</v>
      </c>
      <c r="D132" s="1" t="b">
        <v>1</v>
      </c>
      <c r="E132" s="1" t="s">
        <v>413</v>
      </c>
      <c r="F132" s="7" t="s">
        <v>573</v>
      </c>
      <c r="G132" s="3"/>
      <c r="J132" s="4"/>
      <c r="M132" s="4"/>
    </row>
    <row r="133">
      <c r="A133" s="14" t="s">
        <v>664</v>
      </c>
      <c r="B133" s="7" t="s">
        <v>523</v>
      </c>
      <c r="C133" s="15">
        <v>46154.0</v>
      </c>
      <c r="D133" s="1" t="b">
        <v>1</v>
      </c>
      <c r="E133" s="1" t="s">
        <v>413</v>
      </c>
      <c r="F133" s="7" t="s">
        <v>524</v>
      </c>
      <c r="G133" s="3"/>
      <c r="J133" s="4"/>
      <c r="M133" s="4"/>
    </row>
    <row r="134">
      <c r="A134" s="14" t="s">
        <v>656</v>
      </c>
      <c r="B134" s="7" t="s">
        <v>523</v>
      </c>
      <c r="C134" s="15">
        <v>46155.0</v>
      </c>
      <c r="D134" s="1" t="b">
        <v>1</v>
      </c>
      <c r="E134" s="1" t="s">
        <v>413</v>
      </c>
      <c r="F134" s="7" t="s">
        <v>548</v>
      </c>
      <c r="G134" s="3"/>
      <c r="J134" s="4"/>
      <c r="M134" s="4"/>
    </row>
    <row r="135">
      <c r="A135" s="14" t="s">
        <v>674</v>
      </c>
      <c r="B135" s="7" t="s">
        <v>523</v>
      </c>
      <c r="C135" s="15">
        <v>46156.0</v>
      </c>
      <c r="D135" s="1" t="b">
        <v>1</v>
      </c>
      <c r="E135" s="1" t="s">
        <v>413</v>
      </c>
      <c r="F135" s="7" t="s">
        <v>550</v>
      </c>
      <c r="G135" s="7" t="s">
        <v>675</v>
      </c>
      <c r="J135" s="4"/>
      <c r="M135" s="4"/>
      <c r="V135" s="8"/>
    </row>
    <row r="136">
      <c r="A136" s="14" t="s">
        <v>676</v>
      </c>
      <c r="B136" s="7" t="s">
        <v>523</v>
      </c>
      <c r="C136" s="15">
        <v>46157.0</v>
      </c>
      <c r="D136" s="1" t="b">
        <v>1</v>
      </c>
      <c r="E136" s="1" t="s">
        <v>413</v>
      </c>
      <c r="F136" s="7" t="s">
        <v>552</v>
      </c>
      <c r="G136" s="3"/>
      <c r="J136" s="4"/>
      <c r="M136" s="4"/>
      <c r="V136" s="9"/>
      <c r="W136" s="9"/>
      <c r="X136" s="9"/>
      <c r="Y136" s="9"/>
      <c r="Z136" s="9"/>
      <c r="AA136" s="9"/>
      <c r="AB136" s="9"/>
    </row>
    <row r="137">
      <c r="A137" s="14" t="s">
        <v>677</v>
      </c>
      <c r="B137" s="7" t="s">
        <v>523</v>
      </c>
      <c r="C137" s="15">
        <v>46158.0</v>
      </c>
      <c r="D137" s="1" t="b">
        <v>1</v>
      </c>
      <c r="E137" s="1" t="s">
        <v>413</v>
      </c>
      <c r="F137" s="7" t="s">
        <v>143</v>
      </c>
      <c r="G137" s="3"/>
      <c r="J137" s="4"/>
      <c r="M137" s="4"/>
      <c r="V137" s="10"/>
      <c r="W137" s="10"/>
      <c r="X137" s="10"/>
      <c r="Y137" s="10"/>
      <c r="Z137" s="10"/>
      <c r="AA137" s="11"/>
      <c r="AB137" s="11"/>
    </row>
    <row r="138">
      <c r="A138" s="14" t="s">
        <v>678</v>
      </c>
      <c r="B138" s="7" t="s">
        <v>523</v>
      </c>
      <c r="C138" s="15">
        <v>46159.0</v>
      </c>
      <c r="D138" s="1" t="b">
        <v>1</v>
      </c>
      <c r="E138" s="1" t="s">
        <v>454</v>
      </c>
      <c r="F138" s="7" t="s">
        <v>555</v>
      </c>
      <c r="G138" s="3"/>
      <c r="J138" s="4"/>
      <c r="V138" s="10"/>
      <c r="W138" s="10"/>
      <c r="X138" s="10"/>
      <c r="Y138" s="10"/>
      <c r="Z138" s="10"/>
      <c r="AA138" s="11"/>
      <c r="AB138" s="11"/>
    </row>
    <row r="139">
      <c r="A139" s="14" t="s">
        <v>679</v>
      </c>
      <c r="B139" s="7" t="s">
        <v>523</v>
      </c>
      <c r="C139" s="15">
        <v>46160.0</v>
      </c>
      <c r="D139" s="1" t="b">
        <v>1</v>
      </c>
      <c r="E139" s="1" t="s">
        <v>454</v>
      </c>
      <c r="F139" s="7" t="s">
        <v>557</v>
      </c>
      <c r="G139" s="3"/>
      <c r="J139" s="4"/>
      <c r="M139" s="4"/>
      <c r="V139" s="10"/>
      <c r="W139" s="10"/>
      <c r="X139" s="10"/>
      <c r="Y139" s="10"/>
      <c r="Z139" s="10"/>
      <c r="AA139" s="11"/>
      <c r="AB139" s="11"/>
    </row>
    <row r="140">
      <c r="A140" s="14" t="s">
        <v>680</v>
      </c>
      <c r="B140" s="7" t="s">
        <v>523</v>
      </c>
      <c r="C140" s="15">
        <v>46161.0</v>
      </c>
      <c r="D140" s="1" t="b">
        <v>1</v>
      </c>
      <c r="E140" s="1" t="s">
        <v>454</v>
      </c>
      <c r="F140" s="7" t="s">
        <v>559</v>
      </c>
      <c r="G140" s="3"/>
      <c r="J140" s="4"/>
      <c r="M140" s="4"/>
      <c r="V140" s="10"/>
      <c r="W140" s="10"/>
      <c r="X140" s="10"/>
      <c r="Y140" s="10"/>
      <c r="Z140" s="10"/>
      <c r="AA140" s="11"/>
      <c r="AB140" s="11"/>
    </row>
    <row r="141">
      <c r="A141" s="14" t="s">
        <v>681</v>
      </c>
      <c r="B141" s="7" t="s">
        <v>523</v>
      </c>
      <c r="C141" s="15">
        <v>46162.0</v>
      </c>
      <c r="D141" s="1" t="b">
        <v>1</v>
      </c>
      <c r="E141" s="1" t="s">
        <v>454</v>
      </c>
      <c r="F141" s="7" t="s">
        <v>561</v>
      </c>
      <c r="G141" s="3"/>
      <c r="J141" s="4"/>
      <c r="M141" s="4"/>
      <c r="V141" s="10"/>
      <c r="W141" s="10"/>
      <c r="X141" s="10"/>
      <c r="Y141" s="10"/>
      <c r="Z141" s="10"/>
      <c r="AA141" s="10"/>
      <c r="AB141" s="10"/>
    </row>
    <row r="142">
      <c r="A142" s="14" t="s">
        <v>682</v>
      </c>
      <c r="B142" s="7" t="s">
        <v>523</v>
      </c>
      <c r="C142" s="15">
        <v>46163.0</v>
      </c>
      <c r="D142" s="1" t="b">
        <v>1</v>
      </c>
      <c r="E142" s="1" t="s">
        <v>454</v>
      </c>
      <c r="F142" s="7" t="s">
        <v>548</v>
      </c>
      <c r="G142" s="3"/>
      <c r="J142" s="4"/>
      <c r="M142" s="4"/>
      <c r="V142" s="10"/>
      <c r="W142" s="10"/>
      <c r="X142" s="10"/>
      <c r="Y142" s="10"/>
      <c r="Z142" s="10"/>
      <c r="AA142" s="10"/>
      <c r="AB142" s="10"/>
    </row>
    <row r="143">
      <c r="A143" s="14" t="s">
        <v>683</v>
      </c>
      <c r="B143" s="7" t="s">
        <v>523</v>
      </c>
      <c r="C143" s="15">
        <v>46164.0</v>
      </c>
      <c r="D143" s="1" t="b">
        <v>1</v>
      </c>
      <c r="E143" s="1" t="s">
        <v>454</v>
      </c>
      <c r="F143" s="7" t="s">
        <v>564</v>
      </c>
      <c r="G143" s="3"/>
      <c r="J143" s="4"/>
      <c r="M143" s="4"/>
    </row>
    <row r="144">
      <c r="A144" s="14" t="s">
        <v>684</v>
      </c>
      <c r="B144" s="7" t="s">
        <v>523</v>
      </c>
      <c r="C144" s="15">
        <v>46165.0</v>
      </c>
      <c r="D144" s="1" t="b">
        <v>1</v>
      </c>
      <c r="E144" s="1" t="s">
        <v>454</v>
      </c>
      <c r="F144" s="1" t="s">
        <v>539</v>
      </c>
      <c r="G144" s="3"/>
      <c r="J144" s="4"/>
    </row>
    <row r="145">
      <c r="A145" s="14" t="s">
        <v>685</v>
      </c>
      <c r="B145" s="7" t="s">
        <v>523</v>
      </c>
      <c r="C145" s="15">
        <v>46166.0</v>
      </c>
      <c r="D145" s="1" t="b">
        <v>1</v>
      </c>
      <c r="E145" s="1" t="s">
        <v>454</v>
      </c>
      <c r="F145" s="7" t="s">
        <v>184</v>
      </c>
      <c r="G145" s="3"/>
      <c r="J145" s="4"/>
      <c r="M145" s="4"/>
    </row>
    <row r="146">
      <c r="A146" s="14" t="s">
        <v>686</v>
      </c>
      <c r="B146" s="7" t="s">
        <v>523</v>
      </c>
      <c r="C146" s="15">
        <v>46167.0</v>
      </c>
      <c r="D146" s="1" t="b">
        <v>1</v>
      </c>
      <c r="E146" s="1" t="s">
        <v>454</v>
      </c>
      <c r="F146" s="7" t="s">
        <v>568</v>
      </c>
      <c r="G146" s="3"/>
      <c r="J146" s="4"/>
      <c r="M146" s="4"/>
    </row>
    <row r="147">
      <c r="A147" s="14" t="s">
        <v>687</v>
      </c>
      <c r="B147" s="7" t="s">
        <v>523</v>
      </c>
      <c r="C147" s="15">
        <v>46168.0</v>
      </c>
      <c r="D147" s="1" t="b">
        <v>1</v>
      </c>
      <c r="E147" s="1" t="s">
        <v>454</v>
      </c>
      <c r="F147" s="7" t="s">
        <v>570</v>
      </c>
      <c r="G147" s="3"/>
      <c r="J147" s="4"/>
      <c r="M147" s="4"/>
    </row>
    <row r="148">
      <c r="A148" s="14" t="s">
        <v>688</v>
      </c>
      <c r="B148" s="7" t="s">
        <v>523</v>
      </c>
      <c r="C148" s="15">
        <v>46169.0</v>
      </c>
      <c r="D148" s="1" t="b">
        <v>1</v>
      </c>
      <c r="E148" s="1" t="s">
        <v>454</v>
      </c>
      <c r="F148" s="7" t="s">
        <v>544</v>
      </c>
      <c r="G148" s="3"/>
      <c r="J148" s="4"/>
      <c r="M148" s="4"/>
    </row>
    <row r="149">
      <c r="A149" s="14" t="s">
        <v>689</v>
      </c>
      <c r="B149" s="7" t="s">
        <v>523</v>
      </c>
      <c r="C149" s="15">
        <v>46170.0</v>
      </c>
      <c r="D149" s="1" t="b">
        <v>1</v>
      </c>
      <c r="E149" s="1" t="s">
        <v>454</v>
      </c>
      <c r="F149" s="7" t="s">
        <v>573</v>
      </c>
      <c r="G149" s="3"/>
      <c r="J149" s="4"/>
      <c r="M149" s="4"/>
    </row>
    <row r="150">
      <c r="A150" s="14" t="s">
        <v>690</v>
      </c>
      <c r="B150" s="7" t="s">
        <v>523</v>
      </c>
      <c r="C150" s="15">
        <v>46171.0</v>
      </c>
      <c r="D150" s="1" t="b">
        <v>1</v>
      </c>
      <c r="E150" s="1" t="s">
        <v>454</v>
      </c>
      <c r="F150" s="7" t="s">
        <v>524</v>
      </c>
      <c r="G150" s="3"/>
      <c r="J150" s="4"/>
      <c r="M150" s="4"/>
    </row>
    <row r="151">
      <c r="A151" s="14" t="s">
        <v>691</v>
      </c>
      <c r="B151" s="7" t="s">
        <v>523</v>
      </c>
      <c r="C151" s="15">
        <v>46172.0</v>
      </c>
      <c r="D151" s="1" t="b">
        <v>1</v>
      </c>
      <c r="E151" s="1" t="s">
        <v>454</v>
      </c>
      <c r="F151" s="7" t="s">
        <v>35</v>
      </c>
      <c r="G151" s="3"/>
      <c r="J151" s="4"/>
      <c r="M151" s="4"/>
    </row>
    <row r="152">
      <c r="A152" s="14" t="s">
        <v>692</v>
      </c>
      <c r="B152" s="7" t="s">
        <v>523</v>
      </c>
      <c r="C152" s="15">
        <v>46173.0</v>
      </c>
      <c r="D152" s="1" t="b">
        <v>1</v>
      </c>
      <c r="E152" s="1" t="s">
        <v>454</v>
      </c>
      <c r="F152" s="7" t="s">
        <v>527</v>
      </c>
      <c r="G152" s="3"/>
      <c r="J152" s="4"/>
    </row>
    <row r="153">
      <c r="A153" s="14" t="s">
        <v>693</v>
      </c>
      <c r="B153" s="7" t="s">
        <v>523</v>
      </c>
      <c r="C153" s="15">
        <v>46174.0</v>
      </c>
      <c r="D153" s="1" t="b">
        <v>1</v>
      </c>
      <c r="E153" s="1" t="s">
        <v>454</v>
      </c>
      <c r="F153" s="7" t="s">
        <v>606</v>
      </c>
      <c r="G153" s="3"/>
      <c r="J153" s="4"/>
      <c r="M153" s="4"/>
    </row>
    <row r="154">
      <c r="A154" s="14" t="s">
        <v>694</v>
      </c>
      <c r="B154" s="7" t="s">
        <v>523</v>
      </c>
      <c r="C154" s="15">
        <v>46175.0</v>
      </c>
      <c r="D154" s="1" t="b">
        <v>1</v>
      </c>
      <c r="E154" s="1" t="s">
        <v>454</v>
      </c>
      <c r="F154" s="7" t="s">
        <v>531</v>
      </c>
      <c r="G154" s="3"/>
      <c r="J154" s="4"/>
      <c r="M154" s="4"/>
    </row>
    <row r="155">
      <c r="A155" s="14" t="s">
        <v>695</v>
      </c>
      <c r="B155" s="7" t="s">
        <v>523</v>
      </c>
      <c r="C155" s="15">
        <v>46176.0</v>
      </c>
      <c r="D155" s="1" t="b">
        <v>1</v>
      </c>
      <c r="E155" s="1" t="s">
        <v>454</v>
      </c>
      <c r="F155" s="7" t="s">
        <v>533</v>
      </c>
      <c r="G155" s="3"/>
      <c r="J155" s="4"/>
      <c r="M155" s="4"/>
    </row>
    <row r="156">
      <c r="A156" s="14" t="s">
        <v>696</v>
      </c>
      <c r="B156" s="7" t="s">
        <v>523</v>
      </c>
      <c r="C156" s="15">
        <v>46177.0</v>
      </c>
      <c r="D156" s="1" t="b">
        <v>1</v>
      </c>
      <c r="E156" s="1" t="s">
        <v>454</v>
      </c>
      <c r="F156" s="7" t="s">
        <v>535</v>
      </c>
      <c r="G156" s="3"/>
      <c r="J156" s="4"/>
      <c r="M156" s="4"/>
    </row>
    <row r="157">
      <c r="A157" s="14" t="s">
        <v>697</v>
      </c>
      <c r="B157" s="7" t="s">
        <v>523</v>
      </c>
      <c r="C157" s="15">
        <v>46178.0</v>
      </c>
      <c r="D157" s="1" t="b">
        <v>1</v>
      </c>
      <c r="E157" s="1" t="s">
        <v>454</v>
      </c>
      <c r="F157" s="7" t="s">
        <v>537</v>
      </c>
      <c r="G157" s="3"/>
      <c r="J157" s="4"/>
      <c r="M157" s="4"/>
    </row>
    <row r="158">
      <c r="A158" s="14" t="s">
        <v>684</v>
      </c>
      <c r="B158" s="7" t="s">
        <v>523</v>
      </c>
      <c r="C158" s="15">
        <v>46179.0</v>
      </c>
      <c r="D158" s="1" t="b">
        <v>1</v>
      </c>
      <c r="E158" s="1" t="s">
        <v>454</v>
      </c>
      <c r="F158" s="1" t="s">
        <v>539</v>
      </c>
      <c r="G158" s="3"/>
      <c r="J158" s="4"/>
      <c r="M158" s="4"/>
    </row>
    <row r="159">
      <c r="A159" s="14" t="s">
        <v>698</v>
      </c>
      <c r="B159" s="7" t="s">
        <v>523</v>
      </c>
      <c r="C159" s="15">
        <v>46180.0</v>
      </c>
      <c r="D159" s="1" t="b">
        <v>1</v>
      </c>
      <c r="E159" s="1" t="s">
        <v>454</v>
      </c>
      <c r="F159" s="7" t="s">
        <v>107</v>
      </c>
      <c r="G159" s="3"/>
      <c r="J159" s="4"/>
      <c r="M159" s="4"/>
    </row>
    <row r="160">
      <c r="A160" s="14" t="s">
        <v>699</v>
      </c>
      <c r="B160" s="7" t="s">
        <v>523</v>
      </c>
      <c r="C160" s="15">
        <v>46181.0</v>
      </c>
      <c r="D160" s="1" t="b">
        <v>1</v>
      </c>
      <c r="E160" s="1" t="s">
        <v>454</v>
      </c>
      <c r="F160" s="7" t="s">
        <v>542</v>
      </c>
      <c r="G160" s="3"/>
      <c r="J160" s="4"/>
    </row>
    <row r="161">
      <c r="A161" s="14" t="s">
        <v>688</v>
      </c>
      <c r="B161" s="7" t="s">
        <v>523</v>
      </c>
      <c r="C161" s="15">
        <v>46182.0</v>
      </c>
      <c r="D161" s="1" t="b">
        <v>1</v>
      </c>
      <c r="E161" s="1" t="s">
        <v>454</v>
      </c>
      <c r="F161" s="7" t="s">
        <v>544</v>
      </c>
      <c r="G161" s="3"/>
      <c r="J161" s="4"/>
      <c r="M161" s="4"/>
    </row>
    <row r="162">
      <c r="A162" s="14" t="s">
        <v>689</v>
      </c>
      <c r="B162" s="7" t="s">
        <v>523</v>
      </c>
      <c r="C162" s="15">
        <v>46183.0</v>
      </c>
      <c r="D162" s="1" t="b">
        <v>1</v>
      </c>
      <c r="E162" s="1" t="s">
        <v>454</v>
      </c>
      <c r="F162" s="7" t="s">
        <v>573</v>
      </c>
      <c r="G162" s="3"/>
      <c r="J162" s="4"/>
      <c r="M162" s="4"/>
    </row>
    <row r="163">
      <c r="A163" s="14" t="s">
        <v>690</v>
      </c>
      <c r="B163" s="7" t="s">
        <v>523</v>
      </c>
      <c r="C163" s="15">
        <v>46184.0</v>
      </c>
      <c r="D163" s="1" t="b">
        <v>1</v>
      </c>
      <c r="E163" s="1" t="s">
        <v>454</v>
      </c>
      <c r="F163" s="7" t="s">
        <v>524</v>
      </c>
      <c r="G163" s="3"/>
      <c r="J163" s="4"/>
      <c r="M163" s="4"/>
    </row>
    <row r="164">
      <c r="A164" s="14" t="s">
        <v>682</v>
      </c>
      <c r="B164" s="7" t="s">
        <v>523</v>
      </c>
      <c r="C164" s="15">
        <v>46185.0</v>
      </c>
      <c r="D164" s="1" t="b">
        <v>1</v>
      </c>
      <c r="E164" s="1" t="s">
        <v>454</v>
      </c>
      <c r="F164" s="7" t="s">
        <v>548</v>
      </c>
      <c r="G164" s="3"/>
      <c r="J164" s="4"/>
      <c r="M164" s="4"/>
    </row>
    <row r="165">
      <c r="A165" s="14" t="s">
        <v>700</v>
      </c>
      <c r="B165" s="7" t="s">
        <v>523</v>
      </c>
      <c r="C165" s="15">
        <v>46186.0</v>
      </c>
      <c r="D165" s="1" t="b">
        <v>1</v>
      </c>
      <c r="E165" s="1" t="s">
        <v>454</v>
      </c>
      <c r="F165" s="7" t="s">
        <v>550</v>
      </c>
      <c r="G165" s="3"/>
      <c r="J165" s="4"/>
      <c r="M165" s="4"/>
    </row>
    <row r="166">
      <c r="A166" s="14" t="s">
        <v>701</v>
      </c>
      <c r="B166" s="7" t="s">
        <v>523</v>
      </c>
      <c r="C166" s="15">
        <v>46187.0</v>
      </c>
      <c r="D166" s="1" t="b">
        <v>1</v>
      </c>
      <c r="E166" s="1" t="s">
        <v>454</v>
      </c>
      <c r="F166" s="7" t="s">
        <v>586</v>
      </c>
      <c r="G166" s="3"/>
      <c r="J166" s="4"/>
      <c r="M166" s="4"/>
    </row>
    <row r="167">
      <c r="A167" s="14" t="s">
        <v>702</v>
      </c>
      <c r="B167" s="7" t="s">
        <v>523</v>
      </c>
      <c r="C167" s="15">
        <v>46188.0</v>
      </c>
      <c r="D167" s="1" t="b">
        <v>1</v>
      </c>
      <c r="E167" s="1" t="s">
        <v>474</v>
      </c>
      <c r="F167" s="7" t="s">
        <v>555</v>
      </c>
      <c r="G167" s="3"/>
      <c r="J167" s="4"/>
    </row>
    <row r="168">
      <c r="A168" s="14" t="s">
        <v>703</v>
      </c>
      <c r="B168" s="7" t="s">
        <v>523</v>
      </c>
      <c r="C168" s="15">
        <v>46189.0</v>
      </c>
      <c r="D168" s="1" t="b">
        <v>1</v>
      </c>
      <c r="E168" s="1" t="s">
        <v>474</v>
      </c>
      <c r="F168" s="7" t="s">
        <v>557</v>
      </c>
      <c r="G168" s="3"/>
      <c r="J168" s="4"/>
      <c r="M168" s="4"/>
    </row>
    <row r="169">
      <c r="A169" s="14" t="s">
        <v>704</v>
      </c>
      <c r="B169" s="7" t="s">
        <v>523</v>
      </c>
      <c r="C169" s="15">
        <v>46190.0</v>
      </c>
      <c r="D169" s="1" t="b">
        <v>1</v>
      </c>
      <c r="E169" s="1" t="s">
        <v>474</v>
      </c>
      <c r="F169" s="7" t="s">
        <v>559</v>
      </c>
      <c r="G169" s="3"/>
      <c r="J169" s="4"/>
      <c r="M169" s="4"/>
    </row>
    <row r="170">
      <c r="A170" s="14" t="s">
        <v>705</v>
      </c>
      <c r="B170" s="7" t="s">
        <v>523</v>
      </c>
      <c r="C170" s="15">
        <v>46191.0</v>
      </c>
      <c r="D170" s="1" t="b">
        <v>1</v>
      </c>
      <c r="E170" s="1" t="s">
        <v>474</v>
      </c>
      <c r="F170" s="7" t="s">
        <v>561</v>
      </c>
      <c r="G170" s="3"/>
      <c r="J170" s="4"/>
      <c r="M170" s="4"/>
    </row>
    <row r="171">
      <c r="A171" s="14" t="s">
        <v>706</v>
      </c>
      <c r="B171" s="7" t="s">
        <v>523</v>
      </c>
      <c r="C171" s="15">
        <v>46192.0</v>
      </c>
      <c r="D171" s="1" t="b">
        <v>1</v>
      </c>
      <c r="E171" s="1" t="s">
        <v>474</v>
      </c>
      <c r="F171" s="7" t="s">
        <v>548</v>
      </c>
      <c r="G171" s="3"/>
      <c r="J171" s="4"/>
      <c r="M171" s="4"/>
    </row>
    <row r="172">
      <c r="A172" s="14" t="s">
        <v>707</v>
      </c>
      <c r="B172" s="7" t="s">
        <v>523</v>
      </c>
      <c r="C172" s="15">
        <v>46193.0</v>
      </c>
      <c r="D172" s="1" t="b">
        <v>1</v>
      </c>
      <c r="E172" s="1" t="s">
        <v>474</v>
      </c>
      <c r="F172" s="7" t="s">
        <v>564</v>
      </c>
      <c r="G172" s="3"/>
      <c r="J172" s="4"/>
      <c r="M172" s="4"/>
    </row>
    <row r="173">
      <c r="A173" s="14" t="s">
        <v>708</v>
      </c>
      <c r="B173" s="7" t="s">
        <v>523</v>
      </c>
      <c r="C173" s="15">
        <v>46194.0</v>
      </c>
      <c r="D173" s="1" t="b">
        <v>1</v>
      </c>
      <c r="E173" s="1" t="s">
        <v>474</v>
      </c>
      <c r="F173" s="1" t="s">
        <v>539</v>
      </c>
      <c r="G173" s="3"/>
      <c r="J173" s="4"/>
      <c r="M173" s="4"/>
    </row>
    <row r="174">
      <c r="A174" s="14" t="s">
        <v>709</v>
      </c>
      <c r="B174" s="7" t="s">
        <v>523</v>
      </c>
      <c r="C174" s="15">
        <v>46195.0</v>
      </c>
      <c r="D174" s="1" t="b">
        <v>1</v>
      </c>
      <c r="E174" s="1" t="s">
        <v>474</v>
      </c>
      <c r="F174" s="7" t="s">
        <v>184</v>
      </c>
      <c r="G174" s="3"/>
      <c r="J174" s="4"/>
    </row>
    <row r="175">
      <c r="A175" s="14" t="s">
        <v>710</v>
      </c>
      <c r="B175" s="7" t="s">
        <v>523</v>
      </c>
      <c r="C175" s="15">
        <v>46196.0</v>
      </c>
      <c r="D175" s="1" t="b">
        <v>1</v>
      </c>
      <c r="E175" s="1" t="s">
        <v>474</v>
      </c>
      <c r="F175" s="7" t="s">
        <v>568</v>
      </c>
      <c r="G175" s="3"/>
      <c r="J175" s="4"/>
      <c r="M175" s="4"/>
    </row>
    <row r="176">
      <c r="A176" s="14" t="s">
        <v>711</v>
      </c>
      <c r="B176" s="7" t="s">
        <v>523</v>
      </c>
      <c r="C176" s="15">
        <v>46197.0</v>
      </c>
      <c r="D176" s="1" t="b">
        <v>1</v>
      </c>
      <c r="E176" s="1" t="s">
        <v>474</v>
      </c>
      <c r="F176" s="7" t="s">
        <v>570</v>
      </c>
      <c r="G176" s="3"/>
      <c r="J176" s="4"/>
      <c r="M176" s="4"/>
    </row>
    <row r="177">
      <c r="A177" s="14" t="s">
        <v>712</v>
      </c>
      <c r="B177" s="7" t="s">
        <v>523</v>
      </c>
      <c r="C177" s="15">
        <v>46198.0</v>
      </c>
      <c r="D177" s="1" t="b">
        <v>1</v>
      </c>
      <c r="E177" s="1" t="s">
        <v>474</v>
      </c>
      <c r="F177" s="7" t="s">
        <v>544</v>
      </c>
      <c r="G177" s="3"/>
      <c r="J177" s="4"/>
      <c r="M177" s="4"/>
    </row>
    <row r="178">
      <c r="A178" s="14" t="s">
        <v>713</v>
      </c>
      <c r="B178" s="7" t="s">
        <v>523</v>
      </c>
      <c r="C178" s="15">
        <v>46199.0</v>
      </c>
      <c r="D178" s="1" t="b">
        <v>1</v>
      </c>
      <c r="E178" s="1" t="s">
        <v>474</v>
      </c>
      <c r="F178" s="7" t="s">
        <v>573</v>
      </c>
      <c r="G178" s="3"/>
      <c r="J178" s="4"/>
      <c r="M178" s="4"/>
    </row>
    <row r="179">
      <c r="A179" s="14" t="s">
        <v>714</v>
      </c>
      <c r="B179" s="7" t="s">
        <v>523</v>
      </c>
      <c r="C179" s="15">
        <v>46200.0</v>
      </c>
      <c r="D179" s="1" t="b">
        <v>1</v>
      </c>
      <c r="E179" s="1" t="s">
        <v>474</v>
      </c>
      <c r="F179" s="7" t="s">
        <v>524</v>
      </c>
      <c r="G179" s="3"/>
      <c r="J179" s="4"/>
      <c r="M179" s="4"/>
    </row>
    <row r="180">
      <c r="A180" s="14" t="s">
        <v>715</v>
      </c>
      <c r="B180" s="7" t="s">
        <v>523</v>
      </c>
      <c r="C180" s="15">
        <v>46201.0</v>
      </c>
      <c r="D180" s="1" t="b">
        <v>1</v>
      </c>
      <c r="E180" s="1" t="s">
        <v>474</v>
      </c>
      <c r="F180" s="7" t="s">
        <v>35</v>
      </c>
      <c r="G180" s="3"/>
      <c r="J180" s="4"/>
      <c r="M180" s="4"/>
    </row>
    <row r="181">
      <c r="A181" s="14" t="s">
        <v>716</v>
      </c>
      <c r="B181" s="7" t="s">
        <v>523</v>
      </c>
      <c r="C181" s="15">
        <v>46202.0</v>
      </c>
      <c r="D181" s="1" t="b">
        <v>1</v>
      </c>
      <c r="E181" s="1" t="s">
        <v>474</v>
      </c>
      <c r="F181" s="7" t="s">
        <v>527</v>
      </c>
      <c r="G181" s="3"/>
      <c r="J181" s="4"/>
      <c r="M181" s="4"/>
    </row>
    <row r="182">
      <c r="A182" s="14" t="s">
        <v>717</v>
      </c>
      <c r="B182" s="7" t="s">
        <v>523</v>
      </c>
      <c r="C182" s="15">
        <v>46203.0</v>
      </c>
      <c r="D182" s="1" t="b">
        <v>1</v>
      </c>
      <c r="E182" s="1" t="s">
        <v>474</v>
      </c>
      <c r="F182" s="7" t="s">
        <v>606</v>
      </c>
      <c r="G182" s="3"/>
      <c r="J182" s="4"/>
    </row>
    <row r="183">
      <c r="A183" s="14" t="s">
        <v>718</v>
      </c>
      <c r="B183" s="7" t="s">
        <v>523</v>
      </c>
      <c r="C183" s="15">
        <v>46204.0</v>
      </c>
      <c r="D183" s="1" t="b">
        <v>1</v>
      </c>
      <c r="E183" s="1" t="s">
        <v>474</v>
      </c>
      <c r="F183" s="7" t="s">
        <v>531</v>
      </c>
      <c r="G183" s="3"/>
      <c r="J183" s="4"/>
      <c r="M183" s="4"/>
    </row>
    <row r="184">
      <c r="A184" s="14" t="s">
        <v>719</v>
      </c>
      <c r="B184" s="7" t="s">
        <v>523</v>
      </c>
      <c r="C184" s="15">
        <v>46205.0</v>
      </c>
      <c r="D184" s="1" t="b">
        <v>1</v>
      </c>
      <c r="E184" s="1" t="s">
        <v>474</v>
      </c>
      <c r="F184" s="7" t="s">
        <v>533</v>
      </c>
      <c r="G184" s="3"/>
      <c r="J184" s="4"/>
      <c r="M184" s="4"/>
    </row>
    <row r="185">
      <c r="A185" s="14" t="s">
        <v>720</v>
      </c>
      <c r="B185" s="7" t="s">
        <v>523</v>
      </c>
      <c r="C185" s="15">
        <v>46206.0</v>
      </c>
      <c r="D185" s="1" t="b">
        <v>1</v>
      </c>
      <c r="E185" s="1" t="s">
        <v>474</v>
      </c>
      <c r="F185" s="7" t="s">
        <v>535</v>
      </c>
      <c r="G185" s="3"/>
      <c r="J185" s="4"/>
      <c r="M185" s="4"/>
    </row>
    <row r="186">
      <c r="A186" s="14" t="s">
        <v>721</v>
      </c>
      <c r="B186" s="7" t="s">
        <v>523</v>
      </c>
      <c r="C186" s="15">
        <v>46207.0</v>
      </c>
      <c r="D186" s="1" t="b">
        <v>1</v>
      </c>
      <c r="E186" s="1" t="s">
        <v>474</v>
      </c>
      <c r="F186" s="7" t="s">
        <v>537</v>
      </c>
      <c r="G186" s="3"/>
      <c r="J186" s="4"/>
      <c r="M186" s="4"/>
    </row>
    <row r="187">
      <c r="A187" s="14" t="s">
        <v>708</v>
      </c>
      <c r="B187" s="7" t="s">
        <v>523</v>
      </c>
      <c r="C187" s="15">
        <v>46208.0</v>
      </c>
      <c r="D187" s="1" t="b">
        <v>1</v>
      </c>
      <c r="E187" s="1" t="s">
        <v>474</v>
      </c>
      <c r="F187" s="1" t="s">
        <v>539</v>
      </c>
      <c r="G187" s="3"/>
      <c r="J187" s="4"/>
      <c r="M187" s="4"/>
    </row>
    <row r="188">
      <c r="A188" s="14" t="s">
        <v>722</v>
      </c>
      <c r="B188" s="7" t="s">
        <v>523</v>
      </c>
      <c r="C188" s="15">
        <v>46209.0</v>
      </c>
      <c r="D188" s="1" t="b">
        <v>1</v>
      </c>
      <c r="E188" s="1" t="s">
        <v>474</v>
      </c>
      <c r="F188" s="7" t="s">
        <v>107</v>
      </c>
      <c r="G188" s="3"/>
      <c r="J188" s="4"/>
      <c r="M188" s="4"/>
    </row>
    <row r="189">
      <c r="A189" s="14" t="s">
        <v>723</v>
      </c>
      <c r="B189" s="7" t="s">
        <v>523</v>
      </c>
      <c r="C189" s="15">
        <v>46210.0</v>
      </c>
      <c r="D189" s="1" t="b">
        <v>1</v>
      </c>
      <c r="E189" s="1" t="s">
        <v>474</v>
      </c>
      <c r="F189" s="7" t="s">
        <v>542</v>
      </c>
      <c r="G189" s="3"/>
      <c r="J189" s="4"/>
      <c r="M189" s="4"/>
    </row>
    <row r="190">
      <c r="A190" s="14" t="s">
        <v>712</v>
      </c>
      <c r="B190" s="7" t="s">
        <v>523</v>
      </c>
      <c r="C190" s="15">
        <v>46211.0</v>
      </c>
      <c r="D190" s="1" t="b">
        <v>1</v>
      </c>
      <c r="E190" s="1" t="s">
        <v>474</v>
      </c>
      <c r="F190" s="7" t="s">
        <v>544</v>
      </c>
      <c r="G190" s="3"/>
      <c r="J190" s="4"/>
    </row>
    <row r="191">
      <c r="A191" s="14" t="s">
        <v>713</v>
      </c>
      <c r="B191" s="7" t="s">
        <v>523</v>
      </c>
      <c r="C191" s="15">
        <v>46212.0</v>
      </c>
      <c r="D191" s="1" t="b">
        <v>1</v>
      </c>
      <c r="E191" s="1" t="s">
        <v>474</v>
      </c>
      <c r="F191" s="7" t="s">
        <v>573</v>
      </c>
      <c r="G191" s="3"/>
      <c r="J191" s="4"/>
      <c r="M191" s="4"/>
    </row>
    <row r="192">
      <c r="A192" s="14" t="s">
        <v>714</v>
      </c>
      <c r="B192" s="7" t="s">
        <v>523</v>
      </c>
      <c r="C192" s="15">
        <v>46213.0</v>
      </c>
      <c r="D192" s="1" t="b">
        <v>1</v>
      </c>
      <c r="E192" s="1" t="s">
        <v>474</v>
      </c>
      <c r="F192" s="7" t="s">
        <v>524</v>
      </c>
      <c r="G192" s="3"/>
      <c r="J192" s="4"/>
      <c r="M192" s="4"/>
    </row>
    <row r="193">
      <c r="A193" s="14" t="s">
        <v>706</v>
      </c>
      <c r="B193" s="7" t="s">
        <v>523</v>
      </c>
      <c r="C193" s="15">
        <v>46214.0</v>
      </c>
      <c r="D193" s="1" t="b">
        <v>1</v>
      </c>
      <c r="E193" s="1" t="s">
        <v>474</v>
      </c>
      <c r="F193" s="7" t="s">
        <v>548</v>
      </c>
      <c r="G193" s="3"/>
      <c r="J193" s="4"/>
      <c r="M193" s="4"/>
    </row>
    <row r="194">
      <c r="A194" s="14" t="s">
        <v>724</v>
      </c>
      <c r="B194" s="7" t="s">
        <v>523</v>
      </c>
      <c r="C194" s="15">
        <v>46215.0</v>
      </c>
      <c r="D194" s="1" t="b">
        <v>1</v>
      </c>
      <c r="E194" s="1" t="s">
        <v>474</v>
      </c>
      <c r="F194" s="7" t="s">
        <v>550</v>
      </c>
      <c r="G194" s="3"/>
      <c r="J194" s="4"/>
      <c r="M194" s="4"/>
    </row>
    <row r="195">
      <c r="A195" s="14" t="s">
        <v>725</v>
      </c>
      <c r="B195" s="7" t="s">
        <v>523</v>
      </c>
      <c r="C195" s="15">
        <v>46216.0</v>
      </c>
      <c r="D195" s="1" t="b">
        <v>1</v>
      </c>
      <c r="E195" s="1" t="s">
        <v>474</v>
      </c>
      <c r="F195" s="7" t="s">
        <v>586</v>
      </c>
      <c r="G195" s="3"/>
      <c r="J195" s="4"/>
      <c r="M195" s="4"/>
    </row>
    <row r="196">
      <c r="A196" s="14" t="s">
        <v>726</v>
      </c>
      <c r="B196" s="7" t="s">
        <v>523</v>
      </c>
      <c r="C196" s="15">
        <v>46217.0</v>
      </c>
      <c r="D196" s="1" t="b">
        <v>1</v>
      </c>
      <c r="E196" s="1" t="s">
        <v>485</v>
      </c>
      <c r="F196" s="7" t="s">
        <v>555</v>
      </c>
      <c r="G196" s="3"/>
      <c r="J196" s="4"/>
    </row>
    <row r="197">
      <c r="A197" s="14" t="s">
        <v>727</v>
      </c>
      <c r="B197" s="7" t="s">
        <v>523</v>
      </c>
      <c r="C197" s="15">
        <v>46218.0</v>
      </c>
      <c r="D197" s="1" t="b">
        <v>1</v>
      </c>
      <c r="E197" s="1" t="s">
        <v>485</v>
      </c>
      <c r="F197" s="7" t="s">
        <v>557</v>
      </c>
      <c r="G197" s="3"/>
      <c r="J197" s="4"/>
      <c r="M197" s="4"/>
    </row>
    <row r="198">
      <c r="A198" s="14" t="s">
        <v>728</v>
      </c>
      <c r="B198" s="7" t="s">
        <v>523</v>
      </c>
      <c r="C198" s="15">
        <v>46219.0</v>
      </c>
      <c r="D198" s="1" t="b">
        <v>1</v>
      </c>
      <c r="E198" s="1" t="s">
        <v>485</v>
      </c>
      <c r="F198" s="7" t="s">
        <v>559</v>
      </c>
      <c r="G198" s="3"/>
      <c r="J198" s="4"/>
      <c r="M198" s="4"/>
    </row>
    <row r="199">
      <c r="A199" s="14" t="s">
        <v>729</v>
      </c>
      <c r="B199" s="7" t="s">
        <v>523</v>
      </c>
      <c r="C199" s="15">
        <v>46220.0</v>
      </c>
      <c r="D199" s="1" t="b">
        <v>1</v>
      </c>
      <c r="E199" s="1" t="s">
        <v>485</v>
      </c>
      <c r="F199" s="7" t="s">
        <v>561</v>
      </c>
      <c r="G199" s="3"/>
      <c r="J199" s="4"/>
      <c r="M199" s="4"/>
    </row>
    <row r="200">
      <c r="A200" s="14" t="s">
        <v>730</v>
      </c>
      <c r="B200" s="7" t="s">
        <v>523</v>
      </c>
      <c r="C200" s="15">
        <v>46221.0</v>
      </c>
      <c r="D200" s="1" t="b">
        <v>1</v>
      </c>
      <c r="E200" s="1" t="s">
        <v>485</v>
      </c>
      <c r="F200" s="7" t="s">
        <v>548</v>
      </c>
      <c r="G200" s="3"/>
      <c r="J200" s="4"/>
      <c r="M200" s="4"/>
    </row>
    <row r="201">
      <c r="A201" s="14" t="s">
        <v>731</v>
      </c>
      <c r="B201" s="7" t="s">
        <v>523</v>
      </c>
      <c r="C201" s="15">
        <v>46222.0</v>
      </c>
      <c r="D201" s="1" t="b">
        <v>1</v>
      </c>
      <c r="E201" s="1" t="s">
        <v>485</v>
      </c>
      <c r="F201" s="7" t="s">
        <v>564</v>
      </c>
      <c r="G201" s="3"/>
      <c r="J201" s="4"/>
      <c r="M201" s="4"/>
    </row>
    <row r="202">
      <c r="A202" s="14" t="s">
        <v>732</v>
      </c>
      <c r="B202" s="7" t="s">
        <v>523</v>
      </c>
      <c r="C202" s="15">
        <v>46223.0</v>
      </c>
      <c r="D202" s="1" t="b">
        <v>1</v>
      </c>
      <c r="E202" s="1" t="s">
        <v>485</v>
      </c>
      <c r="F202" s="1" t="s">
        <v>539</v>
      </c>
      <c r="G202" s="3"/>
      <c r="J202" s="4"/>
      <c r="M202" s="4"/>
    </row>
    <row r="203">
      <c r="A203" s="14" t="s">
        <v>733</v>
      </c>
      <c r="B203" s="7" t="s">
        <v>523</v>
      </c>
      <c r="C203" s="15">
        <v>46224.0</v>
      </c>
      <c r="D203" s="1" t="b">
        <v>1</v>
      </c>
      <c r="E203" s="1" t="s">
        <v>485</v>
      </c>
      <c r="F203" s="7" t="s">
        <v>184</v>
      </c>
      <c r="G203" s="3"/>
      <c r="J203" s="4"/>
      <c r="M203" s="4"/>
    </row>
    <row r="204">
      <c r="A204" s="14" t="s">
        <v>734</v>
      </c>
      <c r="B204" s="7" t="s">
        <v>523</v>
      </c>
      <c r="C204" s="15">
        <v>46225.0</v>
      </c>
      <c r="D204" s="1" t="b">
        <v>1</v>
      </c>
      <c r="E204" s="1" t="s">
        <v>485</v>
      </c>
      <c r="F204" s="7" t="s">
        <v>568</v>
      </c>
      <c r="G204" s="3"/>
      <c r="J204" s="4"/>
    </row>
    <row r="205">
      <c r="A205" s="14" t="s">
        <v>735</v>
      </c>
      <c r="B205" s="7" t="s">
        <v>523</v>
      </c>
      <c r="C205" s="15">
        <v>46226.0</v>
      </c>
      <c r="D205" s="1" t="b">
        <v>1</v>
      </c>
      <c r="E205" s="1" t="s">
        <v>485</v>
      </c>
      <c r="F205" s="7" t="s">
        <v>570</v>
      </c>
      <c r="G205" s="3"/>
      <c r="J205" s="4"/>
      <c r="M205" s="4"/>
    </row>
    <row r="206">
      <c r="A206" s="14" t="s">
        <v>736</v>
      </c>
      <c r="B206" s="7" t="s">
        <v>523</v>
      </c>
      <c r="C206" s="15">
        <v>46227.0</v>
      </c>
      <c r="D206" s="1" t="b">
        <v>1</v>
      </c>
      <c r="E206" s="1" t="s">
        <v>485</v>
      </c>
      <c r="F206" s="7" t="s">
        <v>544</v>
      </c>
      <c r="G206" s="3"/>
      <c r="J206" s="4"/>
      <c r="M206" s="4"/>
    </row>
    <row r="207">
      <c r="A207" s="14" t="s">
        <v>737</v>
      </c>
      <c r="B207" s="7" t="s">
        <v>523</v>
      </c>
      <c r="C207" s="15">
        <v>46228.0</v>
      </c>
      <c r="D207" s="1" t="b">
        <v>1</v>
      </c>
      <c r="E207" s="1" t="s">
        <v>485</v>
      </c>
      <c r="F207" s="7" t="s">
        <v>573</v>
      </c>
      <c r="G207" s="3"/>
      <c r="J207" s="4"/>
      <c r="M207" s="4"/>
    </row>
    <row r="208">
      <c r="A208" s="14" t="s">
        <v>738</v>
      </c>
      <c r="B208" s="7" t="s">
        <v>523</v>
      </c>
      <c r="C208" s="15">
        <v>46229.0</v>
      </c>
      <c r="D208" s="1" t="b">
        <v>1</v>
      </c>
      <c r="E208" s="1" t="s">
        <v>485</v>
      </c>
      <c r="F208" s="7" t="s">
        <v>524</v>
      </c>
      <c r="G208" s="3"/>
      <c r="J208" s="4"/>
      <c r="M208" s="4"/>
    </row>
    <row r="209">
      <c r="A209" s="14" t="s">
        <v>739</v>
      </c>
      <c r="B209" s="7" t="s">
        <v>523</v>
      </c>
      <c r="C209" s="15">
        <v>46230.0</v>
      </c>
      <c r="D209" s="1" t="b">
        <v>1</v>
      </c>
      <c r="E209" s="1" t="s">
        <v>485</v>
      </c>
      <c r="F209" s="7" t="s">
        <v>35</v>
      </c>
      <c r="G209" s="3"/>
      <c r="J209" s="4"/>
      <c r="M209" s="4"/>
    </row>
    <row r="210">
      <c r="A210" s="14" t="s">
        <v>740</v>
      </c>
      <c r="B210" s="7" t="s">
        <v>523</v>
      </c>
      <c r="C210" s="15">
        <v>46231.0</v>
      </c>
      <c r="D210" s="1" t="b">
        <v>1</v>
      </c>
      <c r="E210" s="1" t="s">
        <v>485</v>
      </c>
      <c r="F210" s="7" t="s">
        <v>527</v>
      </c>
      <c r="G210" s="3"/>
      <c r="J210" s="4"/>
      <c r="M210" s="4"/>
    </row>
    <row r="211">
      <c r="A211" s="14" t="s">
        <v>741</v>
      </c>
      <c r="B211" s="7" t="s">
        <v>523</v>
      </c>
      <c r="C211" s="15">
        <v>46232.0</v>
      </c>
      <c r="D211" s="1" t="b">
        <v>1</v>
      </c>
      <c r="E211" s="1" t="s">
        <v>485</v>
      </c>
      <c r="F211" s="7" t="s">
        <v>606</v>
      </c>
      <c r="G211" s="3"/>
      <c r="J211" s="4"/>
    </row>
    <row r="212">
      <c r="A212" s="14" t="s">
        <v>742</v>
      </c>
      <c r="B212" s="7" t="s">
        <v>523</v>
      </c>
      <c r="C212" s="15">
        <v>46233.0</v>
      </c>
      <c r="D212" s="1" t="b">
        <v>1</v>
      </c>
      <c r="E212" s="1" t="s">
        <v>485</v>
      </c>
      <c r="F212" s="7" t="s">
        <v>531</v>
      </c>
      <c r="G212" s="3"/>
      <c r="J212" s="4"/>
      <c r="M212" s="4"/>
    </row>
    <row r="213">
      <c r="A213" s="14" t="s">
        <v>743</v>
      </c>
      <c r="B213" s="7" t="s">
        <v>523</v>
      </c>
      <c r="C213" s="15">
        <v>46234.0</v>
      </c>
      <c r="D213" s="1" t="b">
        <v>1</v>
      </c>
      <c r="E213" s="1" t="s">
        <v>485</v>
      </c>
      <c r="F213" s="7" t="s">
        <v>533</v>
      </c>
      <c r="G213" s="3"/>
      <c r="J213" s="4"/>
      <c r="M213" s="4"/>
    </row>
    <row r="214">
      <c r="A214" s="14" t="s">
        <v>744</v>
      </c>
      <c r="B214" s="7" t="s">
        <v>523</v>
      </c>
      <c r="C214" s="15">
        <v>46235.0</v>
      </c>
      <c r="D214" s="1" t="b">
        <v>1</v>
      </c>
      <c r="E214" s="1" t="s">
        <v>485</v>
      </c>
      <c r="F214" s="7" t="s">
        <v>535</v>
      </c>
      <c r="G214" s="3"/>
      <c r="J214" s="4"/>
      <c r="M214" s="4"/>
    </row>
    <row r="215">
      <c r="A215" s="14" t="s">
        <v>745</v>
      </c>
      <c r="B215" s="7" t="s">
        <v>523</v>
      </c>
      <c r="C215" s="15">
        <v>46236.0</v>
      </c>
      <c r="D215" s="1" t="b">
        <v>1</v>
      </c>
      <c r="E215" s="1" t="s">
        <v>485</v>
      </c>
      <c r="F215" s="7" t="s">
        <v>537</v>
      </c>
      <c r="G215" s="3"/>
      <c r="J215" s="4"/>
      <c r="M215" s="4"/>
    </row>
    <row r="216">
      <c r="A216" s="14" t="s">
        <v>732</v>
      </c>
      <c r="B216" s="7" t="s">
        <v>523</v>
      </c>
      <c r="C216" s="15">
        <v>46237.0</v>
      </c>
      <c r="D216" s="1" t="b">
        <v>1</v>
      </c>
      <c r="E216" s="1" t="s">
        <v>485</v>
      </c>
      <c r="F216" s="1" t="s">
        <v>539</v>
      </c>
      <c r="G216" s="3"/>
      <c r="J216" s="4"/>
      <c r="M216" s="4"/>
    </row>
    <row r="217">
      <c r="A217" s="14" t="s">
        <v>746</v>
      </c>
      <c r="B217" s="7" t="s">
        <v>523</v>
      </c>
      <c r="C217" s="15">
        <v>46238.0</v>
      </c>
      <c r="D217" s="1" t="b">
        <v>1</v>
      </c>
      <c r="E217" s="1" t="s">
        <v>485</v>
      </c>
      <c r="F217" s="7" t="s">
        <v>107</v>
      </c>
      <c r="G217" s="3"/>
      <c r="J217" s="4"/>
      <c r="M217" s="4"/>
    </row>
    <row r="218">
      <c r="A218" s="14" t="s">
        <v>747</v>
      </c>
      <c r="B218" s="7" t="s">
        <v>523</v>
      </c>
      <c r="C218" s="15">
        <v>46239.0</v>
      </c>
      <c r="D218" s="1" t="b">
        <v>1</v>
      </c>
      <c r="E218" s="1" t="s">
        <v>485</v>
      </c>
      <c r="F218" s="7" t="s">
        <v>542</v>
      </c>
      <c r="G218" s="3"/>
      <c r="J218" s="4"/>
      <c r="M218" s="4"/>
    </row>
    <row r="219">
      <c r="A219" s="14" t="s">
        <v>736</v>
      </c>
      <c r="B219" s="7" t="s">
        <v>523</v>
      </c>
      <c r="C219" s="15">
        <v>46240.0</v>
      </c>
      <c r="D219" s="1" t="b">
        <v>1</v>
      </c>
      <c r="E219" s="1" t="s">
        <v>485</v>
      </c>
      <c r="F219" s="7" t="s">
        <v>544</v>
      </c>
      <c r="G219" s="3"/>
      <c r="J219" s="4"/>
      <c r="M219" s="4"/>
    </row>
    <row r="220">
      <c r="A220" s="14" t="s">
        <v>737</v>
      </c>
      <c r="B220" s="7" t="s">
        <v>523</v>
      </c>
      <c r="C220" s="15">
        <v>46241.0</v>
      </c>
      <c r="D220" s="1" t="b">
        <v>1</v>
      </c>
      <c r="E220" s="1" t="s">
        <v>485</v>
      </c>
      <c r="F220" s="7" t="s">
        <v>573</v>
      </c>
      <c r="G220" s="3"/>
      <c r="J220" s="4"/>
    </row>
    <row r="221">
      <c r="A221" s="14" t="s">
        <v>738</v>
      </c>
      <c r="B221" s="7" t="s">
        <v>523</v>
      </c>
      <c r="C221" s="15">
        <v>46242.0</v>
      </c>
      <c r="D221" s="1" t="b">
        <v>1</v>
      </c>
      <c r="E221" s="1" t="s">
        <v>485</v>
      </c>
      <c r="F221" s="7" t="s">
        <v>524</v>
      </c>
      <c r="G221" s="3"/>
      <c r="J221" s="4"/>
      <c r="M221" s="4"/>
    </row>
    <row r="222">
      <c r="A222" s="14" t="s">
        <v>730</v>
      </c>
      <c r="B222" s="7" t="s">
        <v>523</v>
      </c>
      <c r="C222" s="15">
        <v>46243.0</v>
      </c>
      <c r="D222" s="1" t="b">
        <v>1</v>
      </c>
      <c r="E222" s="1" t="s">
        <v>485</v>
      </c>
      <c r="F222" s="7" t="s">
        <v>548</v>
      </c>
      <c r="G222" s="3"/>
      <c r="J222" s="4"/>
      <c r="M222" s="4"/>
    </row>
    <row r="223">
      <c r="A223" s="14" t="s">
        <v>748</v>
      </c>
      <c r="B223" s="7" t="s">
        <v>523</v>
      </c>
      <c r="C223" s="15">
        <v>46244.0</v>
      </c>
      <c r="D223" s="1" t="b">
        <v>1</v>
      </c>
      <c r="E223" s="1" t="s">
        <v>485</v>
      </c>
      <c r="F223" s="7" t="s">
        <v>550</v>
      </c>
      <c r="G223" s="3"/>
      <c r="J223" s="4"/>
      <c r="M223" s="4"/>
    </row>
    <row r="224">
      <c r="A224" s="14" t="s">
        <v>749</v>
      </c>
      <c r="B224" s="7" t="s">
        <v>523</v>
      </c>
      <c r="C224" s="15">
        <v>46245.0</v>
      </c>
      <c r="D224" s="1" t="b">
        <v>1</v>
      </c>
      <c r="E224" s="1" t="s">
        <v>485</v>
      </c>
      <c r="F224" s="7" t="s">
        <v>552</v>
      </c>
      <c r="G224" s="3"/>
      <c r="J224" s="4"/>
      <c r="M224" s="4"/>
    </row>
    <row r="225">
      <c r="A225" s="14" t="s">
        <v>750</v>
      </c>
      <c r="B225" s="7" t="s">
        <v>523</v>
      </c>
      <c r="C225" s="15">
        <v>46246.0</v>
      </c>
      <c r="D225" s="1" t="b">
        <v>1</v>
      </c>
      <c r="E225" s="1" t="s">
        <v>485</v>
      </c>
      <c r="F225" s="7" t="s">
        <v>143</v>
      </c>
      <c r="G225" s="3"/>
      <c r="J225" s="4"/>
    </row>
    <row r="226">
      <c r="A226" s="14" t="s">
        <v>751</v>
      </c>
      <c r="B226" s="7" t="s">
        <v>523</v>
      </c>
      <c r="C226" s="15">
        <v>46247.0</v>
      </c>
      <c r="D226" s="1" t="b">
        <v>1</v>
      </c>
      <c r="E226" s="1" t="s">
        <v>490</v>
      </c>
      <c r="F226" s="7" t="s">
        <v>555</v>
      </c>
      <c r="G226" s="3"/>
      <c r="J226" s="4"/>
      <c r="M226" s="4"/>
    </row>
    <row r="227">
      <c r="A227" s="14" t="s">
        <v>752</v>
      </c>
      <c r="B227" s="7" t="s">
        <v>523</v>
      </c>
      <c r="C227" s="15">
        <v>46248.0</v>
      </c>
      <c r="D227" s="1" t="b">
        <v>1</v>
      </c>
      <c r="E227" s="1" t="s">
        <v>490</v>
      </c>
      <c r="F227" s="7" t="s">
        <v>557</v>
      </c>
      <c r="G227" s="3"/>
      <c r="J227" s="4"/>
      <c r="M227" s="4"/>
    </row>
    <row r="228">
      <c r="A228" s="14" t="s">
        <v>753</v>
      </c>
      <c r="B228" s="7" t="s">
        <v>523</v>
      </c>
      <c r="C228" s="15">
        <v>46249.0</v>
      </c>
      <c r="D228" s="1" t="b">
        <v>1</v>
      </c>
      <c r="E228" s="1" t="s">
        <v>490</v>
      </c>
      <c r="F228" s="7" t="s">
        <v>559</v>
      </c>
      <c r="G228" s="7" t="s">
        <v>754</v>
      </c>
      <c r="J228" s="4"/>
      <c r="M228" s="4"/>
    </row>
    <row r="229">
      <c r="A229" s="14" t="s">
        <v>755</v>
      </c>
      <c r="B229" s="7" t="s">
        <v>523</v>
      </c>
      <c r="C229" s="15">
        <v>46250.0</v>
      </c>
      <c r="D229" s="1" t="b">
        <v>1</v>
      </c>
      <c r="E229" s="1" t="s">
        <v>490</v>
      </c>
      <c r="F229" s="7" t="s">
        <v>561</v>
      </c>
      <c r="G229" s="3"/>
      <c r="J229" s="4"/>
      <c r="M229" s="4"/>
    </row>
    <row r="230">
      <c r="A230" s="14" t="s">
        <v>756</v>
      </c>
      <c r="B230" s="7" t="s">
        <v>523</v>
      </c>
      <c r="C230" s="15">
        <v>46251.0</v>
      </c>
      <c r="D230" s="1" t="b">
        <v>1</v>
      </c>
      <c r="E230" s="1" t="s">
        <v>490</v>
      </c>
      <c r="F230" s="7" t="s">
        <v>548</v>
      </c>
      <c r="G230" s="3"/>
      <c r="J230" s="4"/>
      <c r="M230" s="4"/>
    </row>
    <row r="231">
      <c r="A231" s="14" t="s">
        <v>757</v>
      </c>
      <c r="B231" s="7" t="s">
        <v>523</v>
      </c>
      <c r="C231" s="15">
        <v>46252.0</v>
      </c>
      <c r="D231" s="1" t="b">
        <v>1</v>
      </c>
      <c r="E231" s="1" t="s">
        <v>490</v>
      </c>
      <c r="F231" s="7" t="s">
        <v>564</v>
      </c>
      <c r="G231" s="3"/>
      <c r="J231" s="4"/>
      <c r="M231" s="4"/>
    </row>
    <row r="232">
      <c r="A232" s="14" t="s">
        <v>758</v>
      </c>
      <c r="B232" s="7" t="s">
        <v>523</v>
      </c>
      <c r="C232" s="15">
        <v>46253.0</v>
      </c>
      <c r="D232" s="1" t="b">
        <v>1</v>
      </c>
      <c r="E232" s="1" t="s">
        <v>490</v>
      </c>
      <c r="F232" s="1" t="s">
        <v>539</v>
      </c>
      <c r="G232" s="3"/>
      <c r="J232" s="4"/>
      <c r="M232" s="4"/>
    </row>
    <row r="233">
      <c r="A233" s="14" t="s">
        <v>759</v>
      </c>
      <c r="B233" s="7" t="s">
        <v>523</v>
      </c>
      <c r="C233" s="15">
        <v>46254.0</v>
      </c>
      <c r="D233" s="1" t="b">
        <v>1</v>
      </c>
      <c r="E233" s="1" t="s">
        <v>490</v>
      </c>
      <c r="F233" s="7" t="s">
        <v>184</v>
      </c>
      <c r="G233" s="3"/>
      <c r="J233" s="4"/>
      <c r="M233" s="4"/>
    </row>
    <row r="234">
      <c r="A234" s="14" t="s">
        <v>760</v>
      </c>
      <c r="B234" s="7" t="s">
        <v>523</v>
      </c>
      <c r="C234" s="15">
        <v>46255.0</v>
      </c>
      <c r="D234" s="1" t="b">
        <v>1</v>
      </c>
      <c r="E234" s="1" t="s">
        <v>490</v>
      </c>
      <c r="F234" s="7" t="s">
        <v>568</v>
      </c>
      <c r="G234" s="3"/>
      <c r="J234" s="4"/>
    </row>
    <row r="235">
      <c r="A235" s="14" t="s">
        <v>761</v>
      </c>
      <c r="B235" s="7" t="s">
        <v>523</v>
      </c>
      <c r="C235" s="15">
        <v>46256.0</v>
      </c>
      <c r="D235" s="1" t="b">
        <v>1</v>
      </c>
      <c r="E235" s="1" t="s">
        <v>490</v>
      </c>
      <c r="F235" s="7" t="s">
        <v>570</v>
      </c>
      <c r="G235" s="3"/>
      <c r="J235" s="4"/>
      <c r="M235" s="4"/>
    </row>
    <row r="236">
      <c r="A236" s="14" t="s">
        <v>762</v>
      </c>
      <c r="B236" s="7" t="s">
        <v>523</v>
      </c>
      <c r="C236" s="15">
        <v>46257.0</v>
      </c>
      <c r="D236" s="1" t="b">
        <v>1</v>
      </c>
      <c r="E236" s="1" t="s">
        <v>490</v>
      </c>
      <c r="F236" s="7" t="s">
        <v>544</v>
      </c>
      <c r="G236" s="3"/>
      <c r="J236" s="4"/>
      <c r="M236" s="4"/>
    </row>
    <row r="237">
      <c r="A237" s="14" t="s">
        <v>763</v>
      </c>
      <c r="B237" s="7" t="s">
        <v>523</v>
      </c>
      <c r="C237" s="15">
        <v>46258.0</v>
      </c>
      <c r="D237" s="1" t="b">
        <v>1</v>
      </c>
      <c r="E237" s="1" t="s">
        <v>490</v>
      </c>
      <c r="F237" s="7" t="s">
        <v>573</v>
      </c>
      <c r="G237" s="3"/>
      <c r="J237" s="4"/>
      <c r="M237" s="4"/>
    </row>
    <row r="238">
      <c r="A238" s="14" t="s">
        <v>764</v>
      </c>
      <c r="B238" s="7" t="s">
        <v>523</v>
      </c>
      <c r="C238" s="15">
        <v>46259.0</v>
      </c>
      <c r="D238" s="1" t="b">
        <v>1</v>
      </c>
      <c r="E238" s="1" t="s">
        <v>490</v>
      </c>
      <c r="F238" s="7" t="s">
        <v>524</v>
      </c>
      <c r="G238" s="3"/>
      <c r="J238" s="4"/>
      <c r="M238" s="4"/>
    </row>
    <row r="239">
      <c r="A239" s="14" t="s">
        <v>765</v>
      </c>
      <c r="B239" s="7" t="s">
        <v>523</v>
      </c>
      <c r="C239" s="15">
        <v>46260.0</v>
      </c>
      <c r="D239" s="1" t="b">
        <v>1</v>
      </c>
      <c r="E239" s="1" t="s">
        <v>490</v>
      </c>
      <c r="F239" s="7" t="s">
        <v>35</v>
      </c>
      <c r="G239" s="3"/>
      <c r="J239" s="4"/>
      <c r="M239" s="4"/>
    </row>
    <row r="240">
      <c r="A240" s="14" t="s">
        <v>766</v>
      </c>
      <c r="B240" s="7" t="s">
        <v>523</v>
      </c>
      <c r="C240" s="15">
        <v>46261.0</v>
      </c>
      <c r="D240" s="1" t="b">
        <v>1</v>
      </c>
      <c r="E240" s="1" t="s">
        <v>490</v>
      </c>
      <c r="F240" s="7" t="s">
        <v>527</v>
      </c>
      <c r="G240" s="3"/>
      <c r="J240" s="4"/>
      <c r="M240" s="4"/>
    </row>
    <row r="241">
      <c r="A241" s="14" t="s">
        <v>767</v>
      </c>
      <c r="B241" s="7" t="s">
        <v>523</v>
      </c>
      <c r="C241" s="15">
        <v>46262.0</v>
      </c>
      <c r="D241" s="1" t="b">
        <v>1</v>
      </c>
      <c r="E241" s="1" t="s">
        <v>490</v>
      </c>
      <c r="F241" s="7" t="s">
        <v>606</v>
      </c>
      <c r="G241" s="3"/>
      <c r="J241" s="4"/>
    </row>
    <row r="242">
      <c r="A242" s="14" t="s">
        <v>768</v>
      </c>
      <c r="B242" s="7" t="s">
        <v>523</v>
      </c>
      <c r="C242" s="15">
        <v>46263.0</v>
      </c>
      <c r="D242" s="1" t="b">
        <v>1</v>
      </c>
      <c r="E242" s="1" t="s">
        <v>490</v>
      </c>
      <c r="F242" s="7" t="s">
        <v>531</v>
      </c>
      <c r="G242" s="3"/>
      <c r="J242" s="4"/>
      <c r="M242" s="4"/>
    </row>
    <row r="243">
      <c r="A243" s="14" t="s">
        <v>769</v>
      </c>
      <c r="B243" s="7" t="s">
        <v>523</v>
      </c>
      <c r="C243" s="15">
        <v>46264.0</v>
      </c>
      <c r="D243" s="1" t="b">
        <v>1</v>
      </c>
      <c r="E243" s="1" t="s">
        <v>490</v>
      </c>
      <c r="F243" s="7" t="s">
        <v>533</v>
      </c>
      <c r="G243" s="3"/>
      <c r="J243" s="4"/>
      <c r="M243" s="4"/>
    </row>
    <row r="244">
      <c r="A244" s="14" t="s">
        <v>770</v>
      </c>
      <c r="B244" s="7" t="s">
        <v>523</v>
      </c>
      <c r="C244" s="15">
        <v>46265.0</v>
      </c>
      <c r="D244" s="1" t="b">
        <v>1</v>
      </c>
      <c r="E244" s="1" t="s">
        <v>490</v>
      </c>
      <c r="F244" s="7" t="s">
        <v>535</v>
      </c>
      <c r="G244" s="3"/>
      <c r="J244" s="4"/>
      <c r="M244" s="4"/>
    </row>
    <row r="245">
      <c r="A245" s="14" t="s">
        <v>771</v>
      </c>
      <c r="B245" s="7" t="s">
        <v>523</v>
      </c>
      <c r="C245" s="15">
        <v>46266.0</v>
      </c>
      <c r="D245" s="1" t="b">
        <v>1</v>
      </c>
      <c r="E245" s="1" t="s">
        <v>490</v>
      </c>
      <c r="F245" s="7" t="s">
        <v>537</v>
      </c>
      <c r="G245" s="3"/>
      <c r="J245" s="4"/>
      <c r="M245" s="4"/>
    </row>
    <row r="246">
      <c r="A246" s="14" t="s">
        <v>758</v>
      </c>
      <c r="B246" s="7" t="s">
        <v>523</v>
      </c>
      <c r="C246" s="15">
        <v>46267.0</v>
      </c>
      <c r="D246" s="1" t="b">
        <v>1</v>
      </c>
      <c r="E246" s="1" t="s">
        <v>490</v>
      </c>
      <c r="F246" s="1" t="s">
        <v>539</v>
      </c>
      <c r="G246" s="3"/>
      <c r="J246" s="4"/>
      <c r="M246" s="4"/>
    </row>
    <row r="247">
      <c r="A247" s="14" t="s">
        <v>772</v>
      </c>
      <c r="B247" s="7" t="s">
        <v>523</v>
      </c>
      <c r="C247" s="15">
        <v>46268.0</v>
      </c>
      <c r="D247" s="1" t="b">
        <v>1</v>
      </c>
      <c r="E247" s="1" t="s">
        <v>490</v>
      </c>
      <c r="F247" s="7" t="s">
        <v>107</v>
      </c>
      <c r="G247" s="3"/>
      <c r="J247" s="4"/>
      <c r="M247" s="4"/>
    </row>
    <row r="248">
      <c r="A248" s="14" t="s">
        <v>773</v>
      </c>
      <c r="B248" s="7" t="s">
        <v>523</v>
      </c>
      <c r="C248" s="15">
        <v>46269.0</v>
      </c>
      <c r="D248" s="1" t="b">
        <v>1</v>
      </c>
      <c r="E248" s="1" t="s">
        <v>490</v>
      </c>
      <c r="F248" s="7" t="s">
        <v>542</v>
      </c>
      <c r="G248" s="3"/>
      <c r="J248" s="4"/>
      <c r="M248" s="4"/>
    </row>
    <row r="249">
      <c r="A249" s="14" t="s">
        <v>762</v>
      </c>
      <c r="B249" s="7" t="s">
        <v>523</v>
      </c>
      <c r="C249" s="15">
        <v>46270.0</v>
      </c>
      <c r="D249" s="1" t="b">
        <v>1</v>
      </c>
      <c r="E249" s="1" t="s">
        <v>490</v>
      </c>
      <c r="F249" s="7" t="s">
        <v>544</v>
      </c>
      <c r="G249" s="3"/>
      <c r="J249" s="4"/>
    </row>
    <row r="250">
      <c r="A250" s="14" t="s">
        <v>763</v>
      </c>
      <c r="B250" s="7" t="s">
        <v>523</v>
      </c>
      <c r="C250" s="15">
        <v>46271.0</v>
      </c>
      <c r="D250" s="1" t="b">
        <v>1</v>
      </c>
      <c r="E250" s="1" t="s">
        <v>490</v>
      </c>
      <c r="F250" s="7" t="s">
        <v>573</v>
      </c>
      <c r="G250" s="3"/>
      <c r="J250" s="4"/>
      <c r="M250" s="4"/>
    </row>
    <row r="251">
      <c r="A251" s="14" t="s">
        <v>764</v>
      </c>
      <c r="B251" s="7" t="s">
        <v>523</v>
      </c>
      <c r="C251" s="15">
        <v>46272.0</v>
      </c>
      <c r="D251" s="1" t="b">
        <v>1</v>
      </c>
      <c r="E251" s="1" t="s">
        <v>490</v>
      </c>
      <c r="F251" s="7" t="s">
        <v>524</v>
      </c>
      <c r="G251" s="3"/>
      <c r="J251" s="4"/>
      <c r="M251" s="4"/>
    </row>
    <row r="252">
      <c r="A252" s="14" t="s">
        <v>756</v>
      </c>
      <c r="B252" s="7" t="s">
        <v>523</v>
      </c>
      <c r="C252" s="15">
        <v>46273.0</v>
      </c>
      <c r="D252" s="1" t="b">
        <v>1</v>
      </c>
      <c r="E252" s="1" t="s">
        <v>490</v>
      </c>
      <c r="F252" s="7" t="s">
        <v>548</v>
      </c>
      <c r="G252" s="3"/>
      <c r="J252" s="4"/>
      <c r="M252" s="4"/>
    </row>
    <row r="253">
      <c r="A253" s="14" t="s">
        <v>774</v>
      </c>
      <c r="B253" s="7" t="s">
        <v>523</v>
      </c>
      <c r="C253" s="15">
        <v>46274.0</v>
      </c>
      <c r="D253" s="1" t="b">
        <v>1</v>
      </c>
      <c r="E253" s="1" t="s">
        <v>490</v>
      </c>
      <c r="F253" s="7" t="s">
        <v>550</v>
      </c>
      <c r="G253" s="3"/>
      <c r="J253" s="4"/>
      <c r="M253" s="4"/>
    </row>
    <row r="254">
      <c r="A254" s="14" t="s">
        <v>775</v>
      </c>
      <c r="B254" s="7" t="s">
        <v>523</v>
      </c>
      <c r="C254" s="15">
        <v>46275.0</v>
      </c>
      <c r="D254" s="1" t="b">
        <v>1</v>
      </c>
      <c r="E254" s="1" t="s">
        <v>490</v>
      </c>
      <c r="F254" s="7" t="s">
        <v>586</v>
      </c>
      <c r="G254" s="3"/>
      <c r="J254" s="4"/>
      <c r="M254" s="4"/>
    </row>
    <row r="255">
      <c r="A255" s="14" t="s">
        <v>776</v>
      </c>
      <c r="B255" s="7" t="s">
        <v>523</v>
      </c>
      <c r="C255" s="15">
        <v>46276.0</v>
      </c>
      <c r="D255" s="1" t="b">
        <v>1</v>
      </c>
      <c r="E255" s="1" t="s">
        <v>498</v>
      </c>
      <c r="F255" s="7" t="s">
        <v>555</v>
      </c>
      <c r="G255" s="3"/>
      <c r="J255" s="4"/>
    </row>
    <row r="256">
      <c r="A256" s="14" t="s">
        <v>777</v>
      </c>
      <c r="B256" s="7" t="s">
        <v>523</v>
      </c>
      <c r="C256" s="15">
        <v>46277.0</v>
      </c>
      <c r="D256" s="1" t="b">
        <v>1</v>
      </c>
      <c r="E256" s="1" t="s">
        <v>498</v>
      </c>
      <c r="F256" s="7" t="s">
        <v>557</v>
      </c>
      <c r="G256" s="3"/>
      <c r="J256" s="4"/>
      <c r="M256" s="4"/>
    </row>
    <row r="257">
      <c r="A257" s="14" t="s">
        <v>778</v>
      </c>
      <c r="B257" s="7" t="s">
        <v>523</v>
      </c>
      <c r="C257" s="15">
        <v>46278.0</v>
      </c>
      <c r="D257" s="1" t="b">
        <v>1</v>
      </c>
      <c r="E257" s="1" t="s">
        <v>498</v>
      </c>
      <c r="F257" s="7" t="s">
        <v>559</v>
      </c>
      <c r="G257" s="3"/>
      <c r="J257" s="4"/>
      <c r="M257" s="4"/>
    </row>
    <row r="258">
      <c r="A258" s="14" t="s">
        <v>779</v>
      </c>
      <c r="B258" s="7" t="s">
        <v>523</v>
      </c>
      <c r="C258" s="15">
        <v>46279.0</v>
      </c>
      <c r="D258" s="1" t="b">
        <v>1</v>
      </c>
      <c r="E258" s="1" t="s">
        <v>498</v>
      </c>
      <c r="F258" s="7" t="s">
        <v>561</v>
      </c>
      <c r="G258" s="3"/>
      <c r="J258" s="4"/>
      <c r="M258" s="4"/>
    </row>
    <row r="259">
      <c r="A259" s="14" t="s">
        <v>780</v>
      </c>
      <c r="B259" s="7" t="s">
        <v>523</v>
      </c>
      <c r="C259" s="15">
        <v>46280.0</v>
      </c>
      <c r="D259" s="1" t="b">
        <v>1</v>
      </c>
      <c r="E259" s="1" t="s">
        <v>498</v>
      </c>
      <c r="F259" s="7" t="s">
        <v>548</v>
      </c>
      <c r="G259" s="3"/>
      <c r="J259" s="4"/>
      <c r="M259" s="4"/>
    </row>
    <row r="260">
      <c r="A260" s="14" t="s">
        <v>781</v>
      </c>
      <c r="B260" s="7" t="s">
        <v>523</v>
      </c>
      <c r="C260" s="15">
        <v>46281.0</v>
      </c>
      <c r="D260" s="1" t="b">
        <v>1</v>
      </c>
      <c r="E260" s="1" t="s">
        <v>498</v>
      </c>
      <c r="F260" s="7" t="s">
        <v>564</v>
      </c>
      <c r="G260" s="3"/>
      <c r="J260" s="4"/>
      <c r="M260" s="4"/>
    </row>
    <row r="261">
      <c r="A261" s="14" t="s">
        <v>782</v>
      </c>
      <c r="B261" s="7" t="s">
        <v>523</v>
      </c>
      <c r="C261" s="15">
        <v>46282.0</v>
      </c>
      <c r="D261" s="1" t="b">
        <v>1</v>
      </c>
      <c r="E261" s="1" t="s">
        <v>498</v>
      </c>
      <c r="F261" s="1" t="s">
        <v>539</v>
      </c>
      <c r="G261" s="3"/>
      <c r="J261" s="4"/>
      <c r="M261" s="4"/>
    </row>
    <row r="262">
      <c r="A262" s="14" t="s">
        <v>783</v>
      </c>
      <c r="B262" s="7" t="s">
        <v>523</v>
      </c>
      <c r="C262" s="15">
        <v>46283.0</v>
      </c>
      <c r="D262" s="1" t="b">
        <v>1</v>
      </c>
      <c r="E262" s="1" t="s">
        <v>498</v>
      </c>
      <c r="F262" s="7" t="s">
        <v>184</v>
      </c>
      <c r="G262" s="3"/>
      <c r="J262" s="4"/>
      <c r="M262" s="4"/>
    </row>
    <row r="263">
      <c r="A263" s="14" t="s">
        <v>784</v>
      </c>
      <c r="B263" s="7" t="s">
        <v>523</v>
      </c>
      <c r="C263" s="15">
        <v>46284.0</v>
      </c>
      <c r="D263" s="1" t="b">
        <v>1</v>
      </c>
      <c r="E263" s="1" t="s">
        <v>498</v>
      </c>
      <c r="F263" s="7" t="s">
        <v>568</v>
      </c>
      <c r="G263" s="3"/>
      <c r="J263" s="4"/>
      <c r="M263" s="4"/>
    </row>
    <row r="264">
      <c r="A264" s="14" t="s">
        <v>785</v>
      </c>
      <c r="B264" s="7" t="s">
        <v>523</v>
      </c>
      <c r="C264" s="15">
        <v>46285.0</v>
      </c>
      <c r="D264" s="1" t="b">
        <v>1</v>
      </c>
      <c r="E264" s="1" t="s">
        <v>498</v>
      </c>
      <c r="F264" s="7" t="s">
        <v>570</v>
      </c>
      <c r="G264" s="3"/>
      <c r="J264" s="4"/>
    </row>
    <row r="265">
      <c r="A265" s="14" t="s">
        <v>786</v>
      </c>
      <c r="B265" s="7" t="s">
        <v>523</v>
      </c>
      <c r="C265" s="15">
        <v>46286.0</v>
      </c>
      <c r="D265" s="1" t="b">
        <v>1</v>
      </c>
      <c r="E265" s="1" t="s">
        <v>498</v>
      </c>
      <c r="F265" s="7" t="s">
        <v>544</v>
      </c>
      <c r="G265" s="3"/>
      <c r="J265" s="4"/>
      <c r="M265" s="4"/>
    </row>
    <row r="266">
      <c r="A266" s="14" t="s">
        <v>787</v>
      </c>
      <c r="B266" s="7" t="s">
        <v>523</v>
      </c>
      <c r="C266" s="15">
        <v>46287.0</v>
      </c>
      <c r="D266" s="1" t="b">
        <v>1</v>
      </c>
      <c r="E266" s="1" t="s">
        <v>498</v>
      </c>
      <c r="F266" s="7" t="s">
        <v>573</v>
      </c>
      <c r="G266" s="3"/>
      <c r="J266" s="4"/>
      <c r="M266" s="4"/>
    </row>
    <row r="267">
      <c r="A267" s="14" t="s">
        <v>788</v>
      </c>
      <c r="B267" s="7" t="s">
        <v>523</v>
      </c>
      <c r="C267" s="15">
        <v>46288.0</v>
      </c>
      <c r="D267" s="1" t="b">
        <v>1</v>
      </c>
      <c r="E267" s="1" t="s">
        <v>498</v>
      </c>
      <c r="F267" s="7" t="s">
        <v>524</v>
      </c>
      <c r="G267" s="3"/>
      <c r="J267" s="4"/>
      <c r="M267" s="4"/>
    </row>
    <row r="268">
      <c r="A268" s="14" t="s">
        <v>789</v>
      </c>
      <c r="B268" s="7" t="s">
        <v>523</v>
      </c>
      <c r="C268" s="15">
        <v>46289.0</v>
      </c>
      <c r="D268" s="1" t="b">
        <v>1</v>
      </c>
      <c r="E268" s="1" t="s">
        <v>498</v>
      </c>
      <c r="F268" s="7" t="s">
        <v>35</v>
      </c>
      <c r="G268" s="3"/>
      <c r="J268" s="4"/>
      <c r="M268" s="4"/>
    </row>
    <row r="269">
      <c r="A269" s="14" t="s">
        <v>790</v>
      </c>
      <c r="B269" s="7" t="s">
        <v>523</v>
      </c>
      <c r="C269" s="15">
        <v>46290.0</v>
      </c>
      <c r="D269" s="1" t="b">
        <v>1</v>
      </c>
      <c r="E269" s="1" t="s">
        <v>498</v>
      </c>
      <c r="F269" s="7" t="s">
        <v>527</v>
      </c>
      <c r="G269" s="3"/>
      <c r="J269" s="4"/>
      <c r="M269" s="4"/>
    </row>
    <row r="270">
      <c r="A270" s="14" t="s">
        <v>791</v>
      </c>
      <c r="B270" s="7" t="s">
        <v>523</v>
      </c>
      <c r="C270" s="15">
        <v>46291.0</v>
      </c>
      <c r="D270" s="1" t="b">
        <v>1</v>
      </c>
      <c r="E270" s="1" t="s">
        <v>498</v>
      </c>
      <c r="F270" s="7" t="s">
        <v>606</v>
      </c>
      <c r="G270" s="3"/>
      <c r="J270" s="4"/>
    </row>
    <row r="271">
      <c r="A271" s="14" t="s">
        <v>792</v>
      </c>
      <c r="B271" s="7" t="s">
        <v>523</v>
      </c>
      <c r="C271" s="15">
        <v>46292.0</v>
      </c>
      <c r="D271" s="1" t="b">
        <v>1</v>
      </c>
      <c r="E271" s="1" t="s">
        <v>498</v>
      </c>
      <c r="F271" s="7" t="s">
        <v>531</v>
      </c>
      <c r="G271" s="3"/>
      <c r="J271" s="4"/>
      <c r="M271" s="4"/>
    </row>
    <row r="272">
      <c r="A272" s="14" t="s">
        <v>793</v>
      </c>
      <c r="B272" s="7" t="s">
        <v>523</v>
      </c>
      <c r="C272" s="15">
        <v>46293.0</v>
      </c>
      <c r="D272" s="1" t="b">
        <v>1</v>
      </c>
      <c r="E272" s="1" t="s">
        <v>498</v>
      </c>
      <c r="F272" s="7" t="s">
        <v>533</v>
      </c>
      <c r="G272" s="3"/>
      <c r="J272" s="4"/>
      <c r="M272" s="4"/>
    </row>
    <row r="273">
      <c r="A273" s="14" t="s">
        <v>794</v>
      </c>
      <c r="B273" s="7" t="s">
        <v>523</v>
      </c>
      <c r="C273" s="15">
        <v>46294.0</v>
      </c>
      <c r="D273" s="1" t="b">
        <v>1</v>
      </c>
      <c r="E273" s="1" t="s">
        <v>498</v>
      </c>
      <c r="F273" s="7" t="s">
        <v>535</v>
      </c>
      <c r="G273" s="3"/>
      <c r="J273" s="4"/>
      <c r="M273" s="4"/>
    </row>
    <row r="274">
      <c r="A274" s="14" t="s">
        <v>795</v>
      </c>
      <c r="B274" s="7" t="s">
        <v>523</v>
      </c>
      <c r="C274" s="15">
        <v>46295.0</v>
      </c>
      <c r="D274" s="1" t="b">
        <v>1</v>
      </c>
      <c r="E274" s="1" t="s">
        <v>498</v>
      </c>
      <c r="F274" s="7" t="s">
        <v>537</v>
      </c>
      <c r="G274" s="3"/>
      <c r="J274" s="4"/>
      <c r="M274" s="4"/>
    </row>
    <row r="275">
      <c r="A275" s="14" t="s">
        <v>782</v>
      </c>
      <c r="B275" s="7" t="s">
        <v>523</v>
      </c>
      <c r="C275" s="15">
        <v>46296.0</v>
      </c>
      <c r="D275" s="1" t="b">
        <v>1</v>
      </c>
      <c r="E275" s="1" t="s">
        <v>498</v>
      </c>
      <c r="F275" s="1" t="s">
        <v>539</v>
      </c>
      <c r="G275" s="3"/>
      <c r="J275" s="4"/>
      <c r="M275" s="4"/>
    </row>
    <row r="276">
      <c r="A276" s="14" t="s">
        <v>796</v>
      </c>
      <c r="B276" s="7" t="s">
        <v>523</v>
      </c>
      <c r="C276" s="15">
        <v>46297.0</v>
      </c>
      <c r="D276" s="1" t="b">
        <v>1</v>
      </c>
      <c r="E276" s="1" t="s">
        <v>498</v>
      </c>
      <c r="F276" s="7" t="s">
        <v>107</v>
      </c>
      <c r="G276" s="3"/>
      <c r="J276" s="4"/>
      <c r="M276" s="4"/>
    </row>
    <row r="277">
      <c r="A277" s="14" t="s">
        <v>797</v>
      </c>
      <c r="B277" s="7" t="s">
        <v>523</v>
      </c>
      <c r="C277" s="15">
        <v>46298.0</v>
      </c>
      <c r="D277" s="1" t="b">
        <v>1</v>
      </c>
      <c r="E277" s="1" t="s">
        <v>498</v>
      </c>
      <c r="F277" s="7" t="s">
        <v>542</v>
      </c>
      <c r="G277" s="3"/>
      <c r="J277" s="4"/>
      <c r="M277" s="4"/>
    </row>
    <row r="278">
      <c r="A278" s="14" t="s">
        <v>786</v>
      </c>
      <c r="B278" s="7" t="s">
        <v>523</v>
      </c>
      <c r="C278" s="15">
        <v>46299.0</v>
      </c>
      <c r="D278" s="1" t="b">
        <v>1</v>
      </c>
      <c r="E278" s="1" t="s">
        <v>498</v>
      </c>
      <c r="F278" s="7" t="s">
        <v>544</v>
      </c>
      <c r="G278" s="3"/>
      <c r="J278" s="4"/>
    </row>
    <row r="279">
      <c r="A279" s="14" t="s">
        <v>787</v>
      </c>
      <c r="B279" s="7" t="s">
        <v>523</v>
      </c>
      <c r="C279" s="15">
        <v>46300.0</v>
      </c>
      <c r="D279" s="1" t="b">
        <v>1</v>
      </c>
      <c r="E279" s="1" t="s">
        <v>498</v>
      </c>
      <c r="F279" s="7" t="s">
        <v>573</v>
      </c>
      <c r="G279" s="3"/>
      <c r="J279" s="4"/>
      <c r="M279" s="4"/>
    </row>
    <row r="280">
      <c r="A280" s="14" t="s">
        <v>788</v>
      </c>
      <c r="B280" s="7" t="s">
        <v>523</v>
      </c>
      <c r="C280" s="15">
        <v>46301.0</v>
      </c>
      <c r="D280" s="1" t="b">
        <v>1</v>
      </c>
      <c r="E280" s="1" t="s">
        <v>498</v>
      </c>
      <c r="F280" s="7" t="s">
        <v>524</v>
      </c>
      <c r="G280" s="3"/>
      <c r="J280" s="4"/>
      <c r="M280" s="4"/>
    </row>
    <row r="281">
      <c r="A281" s="14" t="s">
        <v>780</v>
      </c>
      <c r="B281" s="7" t="s">
        <v>523</v>
      </c>
      <c r="C281" s="15">
        <v>46302.0</v>
      </c>
      <c r="D281" s="1" t="b">
        <v>1</v>
      </c>
      <c r="E281" s="1" t="s">
        <v>498</v>
      </c>
      <c r="F281" s="7" t="s">
        <v>548</v>
      </c>
      <c r="G281" s="3"/>
      <c r="J281" s="4"/>
      <c r="M281" s="4"/>
    </row>
    <row r="282">
      <c r="A282" s="14" t="s">
        <v>798</v>
      </c>
      <c r="B282" s="7" t="s">
        <v>523</v>
      </c>
      <c r="C282" s="15">
        <v>46303.0</v>
      </c>
      <c r="D282" s="1" t="b">
        <v>1</v>
      </c>
      <c r="E282" s="1" t="s">
        <v>498</v>
      </c>
      <c r="F282" s="7" t="s">
        <v>550</v>
      </c>
      <c r="G282" s="3"/>
      <c r="J282" s="4"/>
      <c r="M282" s="4"/>
    </row>
    <row r="283">
      <c r="A283" s="14" t="s">
        <v>799</v>
      </c>
      <c r="B283" s="7" t="s">
        <v>523</v>
      </c>
      <c r="C283" s="15">
        <v>46304.0</v>
      </c>
      <c r="D283" s="1" t="b">
        <v>1</v>
      </c>
      <c r="E283" s="1" t="s">
        <v>498</v>
      </c>
      <c r="F283" s="7" t="s">
        <v>586</v>
      </c>
      <c r="G283" s="3"/>
      <c r="J283" s="4"/>
      <c r="M283" s="4"/>
    </row>
    <row r="284">
      <c r="A284" s="14" t="s">
        <v>800</v>
      </c>
      <c r="B284" s="7" t="s">
        <v>523</v>
      </c>
      <c r="C284" s="15">
        <v>46305.0</v>
      </c>
      <c r="D284" s="1" t="b">
        <v>1</v>
      </c>
      <c r="E284" s="1" t="s">
        <v>502</v>
      </c>
      <c r="F284" s="7" t="s">
        <v>555</v>
      </c>
      <c r="G284" s="3"/>
      <c r="J284" s="4"/>
    </row>
    <row r="285">
      <c r="A285" s="14" t="s">
        <v>801</v>
      </c>
      <c r="B285" s="7" t="s">
        <v>523</v>
      </c>
      <c r="C285" s="15">
        <v>46306.0</v>
      </c>
      <c r="D285" s="1" t="b">
        <v>1</v>
      </c>
      <c r="E285" s="1" t="s">
        <v>502</v>
      </c>
      <c r="F285" s="7" t="s">
        <v>557</v>
      </c>
      <c r="G285" s="3"/>
      <c r="J285" s="4"/>
      <c r="M285" s="4"/>
    </row>
    <row r="286">
      <c r="A286" s="14" t="s">
        <v>802</v>
      </c>
      <c r="B286" s="7" t="s">
        <v>523</v>
      </c>
      <c r="C286" s="15">
        <v>46307.0</v>
      </c>
      <c r="D286" s="1" t="b">
        <v>1</v>
      </c>
      <c r="E286" s="1" t="s">
        <v>502</v>
      </c>
      <c r="F286" s="7" t="s">
        <v>559</v>
      </c>
      <c r="G286" s="3"/>
      <c r="J286" s="4"/>
      <c r="M286" s="4"/>
    </row>
    <row r="287">
      <c r="A287" s="14" t="s">
        <v>803</v>
      </c>
      <c r="B287" s="7" t="s">
        <v>523</v>
      </c>
      <c r="C287" s="15">
        <v>46308.0</v>
      </c>
      <c r="D287" s="1" t="b">
        <v>1</v>
      </c>
      <c r="E287" s="1" t="s">
        <v>502</v>
      </c>
      <c r="F287" s="7" t="s">
        <v>561</v>
      </c>
      <c r="G287" s="3"/>
      <c r="J287" s="4"/>
      <c r="M287" s="4"/>
    </row>
    <row r="288">
      <c r="A288" s="14" t="s">
        <v>804</v>
      </c>
      <c r="B288" s="7" t="s">
        <v>523</v>
      </c>
      <c r="C288" s="15">
        <v>46309.0</v>
      </c>
      <c r="D288" s="1" t="b">
        <v>1</v>
      </c>
      <c r="E288" s="1" t="s">
        <v>502</v>
      </c>
      <c r="F288" s="7" t="s">
        <v>548</v>
      </c>
      <c r="G288" s="3"/>
      <c r="J288" s="4"/>
      <c r="M288" s="4"/>
    </row>
    <row r="289">
      <c r="A289" s="14" t="s">
        <v>805</v>
      </c>
      <c r="B289" s="7" t="s">
        <v>523</v>
      </c>
      <c r="C289" s="15">
        <v>46310.0</v>
      </c>
      <c r="D289" s="1" t="b">
        <v>1</v>
      </c>
      <c r="E289" s="1" t="s">
        <v>502</v>
      </c>
      <c r="F289" s="7" t="s">
        <v>564</v>
      </c>
      <c r="G289" s="3"/>
      <c r="J289" s="4"/>
      <c r="M289" s="4"/>
    </row>
    <row r="290">
      <c r="A290" s="14" t="s">
        <v>806</v>
      </c>
      <c r="B290" s="7" t="s">
        <v>523</v>
      </c>
      <c r="C290" s="15">
        <v>46311.0</v>
      </c>
      <c r="D290" s="1" t="b">
        <v>1</v>
      </c>
      <c r="E290" s="1" t="s">
        <v>502</v>
      </c>
      <c r="F290" s="1" t="s">
        <v>539</v>
      </c>
      <c r="G290" s="3"/>
      <c r="J290" s="4"/>
      <c r="M290" s="4"/>
    </row>
    <row r="291">
      <c r="A291" s="14" t="s">
        <v>807</v>
      </c>
      <c r="B291" s="7" t="s">
        <v>523</v>
      </c>
      <c r="C291" s="15">
        <v>46312.0</v>
      </c>
      <c r="D291" s="1" t="b">
        <v>1</v>
      </c>
      <c r="E291" s="1" t="s">
        <v>502</v>
      </c>
      <c r="F291" s="7" t="s">
        <v>184</v>
      </c>
      <c r="G291" s="3"/>
      <c r="J291" s="4"/>
      <c r="M291" s="4"/>
    </row>
    <row r="292">
      <c r="A292" s="14" t="s">
        <v>808</v>
      </c>
      <c r="B292" s="7" t="s">
        <v>523</v>
      </c>
      <c r="C292" s="15">
        <v>46313.0</v>
      </c>
      <c r="D292" s="1" t="b">
        <v>1</v>
      </c>
      <c r="E292" s="1" t="s">
        <v>502</v>
      </c>
      <c r="F292" s="7" t="s">
        <v>568</v>
      </c>
      <c r="G292" s="3"/>
      <c r="J292" s="4"/>
      <c r="M292" s="4"/>
    </row>
    <row r="293">
      <c r="A293" s="14" t="s">
        <v>809</v>
      </c>
      <c r="B293" s="7" t="s">
        <v>523</v>
      </c>
      <c r="C293" s="15">
        <v>46314.0</v>
      </c>
      <c r="D293" s="1" t="b">
        <v>1</v>
      </c>
      <c r="E293" s="1" t="s">
        <v>502</v>
      </c>
      <c r="F293" s="7" t="s">
        <v>570</v>
      </c>
      <c r="G293" s="3"/>
      <c r="J293" s="4"/>
    </row>
    <row r="294">
      <c r="A294" s="14" t="s">
        <v>810</v>
      </c>
      <c r="B294" s="7" t="s">
        <v>523</v>
      </c>
      <c r="C294" s="15">
        <v>46315.0</v>
      </c>
      <c r="D294" s="1" t="b">
        <v>1</v>
      </c>
      <c r="E294" s="1" t="s">
        <v>502</v>
      </c>
      <c r="F294" s="7" t="s">
        <v>544</v>
      </c>
      <c r="G294" s="3"/>
      <c r="J294" s="4"/>
      <c r="M294" s="4"/>
    </row>
    <row r="295">
      <c r="A295" s="14" t="s">
        <v>811</v>
      </c>
      <c r="B295" s="7" t="s">
        <v>523</v>
      </c>
      <c r="C295" s="15">
        <v>46316.0</v>
      </c>
      <c r="D295" s="1" t="b">
        <v>1</v>
      </c>
      <c r="E295" s="1" t="s">
        <v>502</v>
      </c>
      <c r="F295" s="7" t="s">
        <v>573</v>
      </c>
      <c r="G295" s="3"/>
      <c r="J295" s="4"/>
      <c r="M295" s="4"/>
    </row>
    <row r="296">
      <c r="A296" s="14" t="s">
        <v>812</v>
      </c>
      <c r="B296" s="7" t="s">
        <v>523</v>
      </c>
      <c r="C296" s="15">
        <v>46317.0</v>
      </c>
      <c r="D296" s="1" t="b">
        <v>1</v>
      </c>
      <c r="E296" s="1" t="s">
        <v>502</v>
      </c>
      <c r="F296" s="7" t="s">
        <v>524</v>
      </c>
      <c r="G296" s="3"/>
      <c r="J296" s="4"/>
      <c r="M296" s="4"/>
    </row>
    <row r="297">
      <c r="A297" s="14" t="s">
        <v>813</v>
      </c>
      <c r="B297" s="7" t="s">
        <v>523</v>
      </c>
      <c r="C297" s="15">
        <v>46318.0</v>
      </c>
      <c r="D297" s="1" t="b">
        <v>1</v>
      </c>
      <c r="E297" s="1" t="s">
        <v>502</v>
      </c>
      <c r="F297" s="7" t="s">
        <v>35</v>
      </c>
      <c r="G297" s="3"/>
      <c r="J297" s="4"/>
      <c r="M297" s="4"/>
    </row>
    <row r="298">
      <c r="A298" s="14" t="s">
        <v>814</v>
      </c>
      <c r="B298" s="7" t="s">
        <v>523</v>
      </c>
      <c r="C298" s="15">
        <v>46319.0</v>
      </c>
      <c r="D298" s="1" t="b">
        <v>1</v>
      </c>
      <c r="E298" s="1" t="s">
        <v>502</v>
      </c>
      <c r="F298" s="7" t="s">
        <v>527</v>
      </c>
      <c r="G298" s="3"/>
      <c r="J298" s="4"/>
      <c r="M298" s="4"/>
    </row>
    <row r="299">
      <c r="A299" s="14" t="s">
        <v>815</v>
      </c>
      <c r="B299" s="7" t="s">
        <v>523</v>
      </c>
      <c r="C299" s="15">
        <v>46320.0</v>
      </c>
      <c r="D299" s="1" t="b">
        <v>1</v>
      </c>
      <c r="E299" s="1" t="s">
        <v>502</v>
      </c>
      <c r="F299" s="7" t="s">
        <v>606</v>
      </c>
      <c r="G299" s="3"/>
      <c r="J299" s="4"/>
      <c r="M299" s="4"/>
    </row>
    <row r="300">
      <c r="A300" s="14" t="s">
        <v>816</v>
      </c>
      <c r="B300" s="7" t="s">
        <v>523</v>
      </c>
      <c r="C300" s="15">
        <v>46321.0</v>
      </c>
      <c r="D300" s="1" t="b">
        <v>1</v>
      </c>
      <c r="E300" s="1" t="s">
        <v>502</v>
      </c>
      <c r="F300" s="7" t="s">
        <v>531</v>
      </c>
      <c r="G300" s="3"/>
      <c r="J300" s="4"/>
    </row>
    <row r="301">
      <c r="A301" s="14" t="s">
        <v>817</v>
      </c>
      <c r="B301" s="7" t="s">
        <v>523</v>
      </c>
      <c r="C301" s="15">
        <v>46322.0</v>
      </c>
      <c r="D301" s="1" t="b">
        <v>1</v>
      </c>
      <c r="E301" s="1" t="s">
        <v>502</v>
      </c>
      <c r="F301" s="7" t="s">
        <v>533</v>
      </c>
      <c r="G301" s="3"/>
      <c r="J301" s="4"/>
      <c r="M301" s="4"/>
    </row>
    <row r="302">
      <c r="A302" s="14" t="s">
        <v>818</v>
      </c>
      <c r="B302" s="7" t="s">
        <v>523</v>
      </c>
      <c r="C302" s="15">
        <v>46323.0</v>
      </c>
      <c r="D302" s="1" t="b">
        <v>1</v>
      </c>
      <c r="E302" s="1" t="s">
        <v>502</v>
      </c>
      <c r="F302" s="7" t="s">
        <v>535</v>
      </c>
      <c r="G302" s="3"/>
      <c r="J302" s="4"/>
      <c r="M302" s="4"/>
    </row>
    <row r="303">
      <c r="A303" s="14" t="s">
        <v>819</v>
      </c>
      <c r="B303" s="7" t="s">
        <v>523</v>
      </c>
      <c r="C303" s="15">
        <v>46324.0</v>
      </c>
      <c r="D303" s="1" t="b">
        <v>1</v>
      </c>
      <c r="E303" s="1" t="s">
        <v>502</v>
      </c>
      <c r="F303" s="7" t="s">
        <v>537</v>
      </c>
      <c r="G303" s="3"/>
      <c r="J303" s="4"/>
      <c r="M303" s="4"/>
    </row>
    <row r="304">
      <c r="A304" s="14" t="s">
        <v>806</v>
      </c>
      <c r="B304" s="7" t="s">
        <v>523</v>
      </c>
      <c r="C304" s="15">
        <v>46325.0</v>
      </c>
      <c r="D304" s="1" t="b">
        <v>1</v>
      </c>
      <c r="E304" s="1" t="s">
        <v>502</v>
      </c>
      <c r="F304" s="1" t="s">
        <v>539</v>
      </c>
      <c r="G304" s="3"/>
      <c r="J304" s="4"/>
      <c r="M304" s="4"/>
    </row>
    <row r="305">
      <c r="A305" s="14" t="s">
        <v>820</v>
      </c>
      <c r="B305" s="7" t="s">
        <v>523</v>
      </c>
      <c r="C305" s="15">
        <v>46326.0</v>
      </c>
      <c r="D305" s="1" t="b">
        <v>1</v>
      </c>
      <c r="E305" s="1" t="s">
        <v>502</v>
      </c>
      <c r="F305" s="7" t="s">
        <v>107</v>
      </c>
      <c r="G305" s="3"/>
      <c r="J305" s="4"/>
      <c r="M305" s="4"/>
    </row>
    <row r="306">
      <c r="A306" s="14" t="s">
        <v>821</v>
      </c>
      <c r="B306" s="7" t="s">
        <v>523</v>
      </c>
      <c r="C306" s="15">
        <v>46327.0</v>
      </c>
      <c r="D306" s="1" t="b">
        <v>1</v>
      </c>
      <c r="E306" s="1" t="s">
        <v>502</v>
      </c>
      <c r="F306" s="7" t="s">
        <v>542</v>
      </c>
      <c r="G306" s="7" t="s">
        <v>822</v>
      </c>
      <c r="J306" s="4"/>
      <c r="M306" s="4"/>
    </row>
    <row r="307">
      <c r="A307" s="14" t="s">
        <v>810</v>
      </c>
      <c r="B307" s="7" t="s">
        <v>523</v>
      </c>
      <c r="C307" s="15">
        <v>46328.0</v>
      </c>
      <c r="D307" s="1" t="b">
        <v>1</v>
      </c>
      <c r="E307" s="1" t="s">
        <v>502</v>
      </c>
      <c r="F307" s="7" t="s">
        <v>544</v>
      </c>
      <c r="G307" s="3"/>
      <c r="J307" s="4"/>
    </row>
    <row r="308">
      <c r="A308" s="14" t="s">
        <v>811</v>
      </c>
      <c r="B308" s="7" t="s">
        <v>523</v>
      </c>
      <c r="C308" s="15">
        <v>46329.0</v>
      </c>
      <c r="D308" s="1" t="b">
        <v>1</v>
      </c>
      <c r="E308" s="1" t="s">
        <v>502</v>
      </c>
      <c r="F308" s="7" t="s">
        <v>573</v>
      </c>
      <c r="G308" s="3"/>
      <c r="J308" s="4"/>
      <c r="M308" s="4"/>
    </row>
    <row r="309">
      <c r="A309" s="14" t="s">
        <v>812</v>
      </c>
      <c r="B309" s="7" t="s">
        <v>523</v>
      </c>
      <c r="C309" s="15">
        <v>46330.0</v>
      </c>
      <c r="D309" s="1" t="b">
        <v>1</v>
      </c>
      <c r="E309" s="1" t="s">
        <v>502</v>
      </c>
      <c r="F309" s="7" t="s">
        <v>524</v>
      </c>
      <c r="G309" s="3"/>
      <c r="J309" s="4"/>
      <c r="M309" s="4"/>
    </row>
    <row r="310">
      <c r="A310" s="14" t="s">
        <v>804</v>
      </c>
      <c r="B310" s="7" t="s">
        <v>523</v>
      </c>
      <c r="C310" s="15">
        <v>46331.0</v>
      </c>
      <c r="D310" s="1" t="b">
        <v>1</v>
      </c>
      <c r="E310" s="1" t="s">
        <v>502</v>
      </c>
      <c r="F310" s="7" t="s">
        <v>548</v>
      </c>
      <c r="G310" s="3"/>
      <c r="J310" s="4"/>
      <c r="M310" s="4"/>
    </row>
    <row r="311">
      <c r="A311" s="14" t="s">
        <v>823</v>
      </c>
      <c r="B311" s="7" t="s">
        <v>523</v>
      </c>
      <c r="C311" s="15">
        <v>46332.0</v>
      </c>
      <c r="D311" s="1" t="b">
        <v>1</v>
      </c>
      <c r="E311" s="1" t="s">
        <v>502</v>
      </c>
      <c r="F311" s="7" t="s">
        <v>550</v>
      </c>
      <c r="G311" s="3"/>
      <c r="J311" s="4"/>
      <c r="M311" s="4"/>
    </row>
    <row r="312">
      <c r="A312" s="14" t="s">
        <v>824</v>
      </c>
      <c r="B312" s="7" t="s">
        <v>523</v>
      </c>
      <c r="C312" s="15">
        <v>46333.0</v>
      </c>
      <c r="D312" s="1" t="b">
        <v>1</v>
      </c>
      <c r="E312" s="1" t="s">
        <v>502</v>
      </c>
      <c r="F312" s="7" t="s">
        <v>552</v>
      </c>
      <c r="G312" s="3"/>
      <c r="J312" s="4"/>
      <c r="M312" s="4"/>
    </row>
    <row r="313">
      <c r="A313" s="14" t="s">
        <v>825</v>
      </c>
      <c r="B313" s="7" t="s">
        <v>523</v>
      </c>
      <c r="C313" s="15">
        <v>46334.0</v>
      </c>
      <c r="D313" s="1" t="b">
        <v>1</v>
      </c>
      <c r="E313" s="1" t="s">
        <v>502</v>
      </c>
      <c r="F313" s="7" t="s">
        <v>143</v>
      </c>
      <c r="G313" s="3"/>
      <c r="J313" s="4"/>
      <c r="M313" s="4"/>
    </row>
    <row r="314">
      <c r="A314" s="14" t="s">
        <v>826</v>
      </c>
      <c r="B314" s="7" t="s">
        <v>523</v>
      </c>
      <c r="C314" s="15">
        <v>46335.0</v>
      </c>
      <c r="D314" s="1" t="b">
        <v>1</v>
      </c>
      <c r="E314" s="1" t="s">
        <v>507</v>
      </c>
      <c r="F314" s="7" t="s">
        <v>555</v>
      </c>
      <c r="G314" s="3"/>
      <c r="J314" s="4"/>
    </row>
    <row r="315">
      <c r="A315" s="14" t="s">
        <v>827</v>
      </c>
      <c r="B315" s="7" t="s">
        <v>523</v>
      </c>
      <c r="C315" s="15">
        <v>46336.0</v>
      </c>
      <c r="D315" s="1" t="b">
        <v>1</v>
      </c>
      <c r="E315" s="1" t="s">
        <v>507</v>
      </c>
      <c r="F315" s="7" t="s">
        <v>557</v>
      </c>
      <c r="G315" s="3"/>
      <c r="J315" s="4"/>
      <c r="M315" s="4"/>
    </row>
    <row r="316">
      <c r="A316" s="14" t="s">
        <v>828</v>
      </c>
      <c r="B316" s="7" t="s">
        <v>523</v>
      </c>
      <c r="C316" s="15">
        <v>46337.0</v>
      </c>
      <c r="D316" s="1" t="b">
        <v>1</v>
      </c>
      <c r="E316" s="1" t="s">
        <v>507</v>
      </c>
      <c r="F316" s="7" t="s">
        <v>559</v>
      </c>
      <c r="G316" s="3"/>
      <c r="J316" s="4"/>
      <c r="M316" s="4"/>
    </row>
    <row r="317">
      <c r="A317" s="14" t="s">
        <v>829</v>
      </c>
      <c r="B317" s="7" t="s">
        <v>523</v>
      </c>
      <c r="C317" s="15">
        <v>46338.0</v>
      </c>
      <c r="D317" s="1" t="b">
        <v>1</v>
      </c>
      <c r="E317" s="1" t="s">
        <v>507</v>
      </c>
      <c r="F317" s="7" t="s">
        <v>561</v>
      </c>
      <c r="G317" s="3"/>
      <c r="J317" s="4"/>
      <c r="M317" s="4"/>
    </row>
    <row r="318">
      <c r="A318" s="14" t="s">
        <v>830</v>
      </c>
      <c r="B318" s="7" t="s">
        <v>523</v>
      </c>
      <c r="C318" s="15">
        <v>46339.0</v>
      </c>
      <c r="D318" s="1" t="b">
        <v>1</v>
      </c>
      <c r="E318" s="1" t="s">
        <v>507</v>
      </c>
      <c r="F318" s="7" t="s">
        <v>548</v>
      </c>
      <c r="G318" s="3"/>
      <c r="J318" s="4"/>
      <c r="M318" s="4"/>
    </row>
    <row r="319">
      <c r="A319" s="14" t="s">
        <v>831</v>
      </c>
      <c r="B319" s="7" t="s">
        <v>523</v>
      </c>
      <c r="C319" s="15">
        <v>46340.0</v>
      </c>
      <c r="D319" s="1" t="b">
        <v>1</v>
      </c>
      <c r="E319" s="1" t="s">
        <v>507</v>
      </c>
      <c r="F319" s="7" t="s">
        <v>564</v>
      </c>
      <c r="G319" s="3"/>
      <c r="J319" s="4"/>
      <c r="M319" s="4"/>
    </row>
    <row r="320">
      <c r="A320" s="14" t="s">
        <v>832</v>
      </c>
      <c r="B320" s="7" t="s">
        <v>523</v>
      </c>
      <c r="C320" s="15">
        <v>46341.0</v>
      </c>
      <c r="D320" s="1" t="b">
        <v>1</v>
      </c>
      <c r="E320" s="1" t="s">
        <v>507</v>
      </c>
      <c r="F320" s="1" t="s">
        <v>539</v>
      </c>
      <c r="G320" s="3"/>
      <c r="J320" s="4"/>
      <c r="M320" s="4"/>
    </row>
    <row r="321">
      <c r="A321" s="14" t="s">
        <v>833</v>
      </c>
      <c r="B321" s="7" t="s">
        <v>523</v>
      </c>
      <c r="C321" s="15">
        <v>46342.0</v>
      </c>
      <c r="D321" s="1" t="b">
        <v>1</v>
      </c>
      <c r="E321" s="1" t="s">
        <v>507</v>
      </c>
      <c r="F321" s="7" t="s">
        <v>184</v>
      </c>
      <c r="G321" s="3"/>
      <c r="J321" s="4"/>
      <c r="M321" s="4"/>
    </row>
    <row r="322">
      <c r="A322" s="14" t="s">
        <v>834</v>
      </c>
      <c r="B322" s="7" t="s">
        <v>523</v>
      </c>
      <c r="C322" s="15">
        <v>46343.0</v>
      </c>
      <c r="D322" s="1" t="b">
        <v>1</v>
      </c>
      <c r="E322" s="1" t="s">
        <v>507</v>
      </c>
      <c r="F322" s="7" t="s">
        <v>568</v>
      </c>
      <c r="G322" s="3"/>
      <c r="J322" s="4"/>
      <c r="M322" s="4"/>
    </row>
    <row r="323">
      <c r="A323" s="14" t="s">
        <v>835</v>
      </c>
      <c r="B323" s="7" t="s">
        <v>523</v>
      </c>
      <c r="C323" s="15">
        <v>46344.0</v>
      </c>
      <c r="D323" s="1" t="b">
        <v>1</v>
      </c>
      <c r="E323" s="1" t="s">
        <v>507</v>
      </c>
      <c r="F323" s="7" t="s">
        <v>570</v>
      </c>
      <c r="G323" s="3"/>
      <c r="J323" s="4"/>
    </row>
    <row r="324">
      <c r="A324" s="14" t="s">
        <v>836</v>
      </c>
      <c r="B324" s="7" t="s">
        <v>523</v>
      </c>
      <c r="C324" s="15">
        <v>46345.0</v>
      </c>
      <c r="D324" s="1" t="b">
        <v>1</v>
      </c>
      <c r="E324" s="1" t="s">
        <v>507</v>
      </c>
      <c r="F324" s="7" t="s">
        <v>544</v>
      </c>
      <c r="G324" s="3"/>
      <c r="J324" s="4"/>
      <c r="M324" s="4"/>
    </row>
    <row r="325">
      <c r="A325" s="14" t="s">
        <v>837</v>
      </c>
      <c r="B325" s="7" t="s">
        <v>523</v>
      </c>
      <c r="C325" s="15">
        <v>46346.0</v>
      </c>
      <c r="D325" s="1" t="b">
        <v>1</v>
      </c>
      <c r="E325" s="1" t="s">
        <v>507</v>
      </c>
      <c r="F325" s="7" t="s">
        <v>573</v>
      </c>
      <c r="G325" s="3"/>
      <c r="J325" s="4"/>
      <c r="M325" s="4"/>
    </row>
    <row r="326">
      <c r="A326" s="14" t="s">
        <v>838</v>
      </c>
      <c r="B326" s="7" t="s">
        <v>523</v>
      </c>
      <c r="C326" s="15">
        <v>46347.0</v>
      </c>
      <c r="D326" s="1" t="b">
        <v>1</v>
      </c>
      <c r="E326" s="1" t="s">
        <v>507</v>
      </c>
      <c r="F326" s="7" t="s">
        <v>524</v>
      </c>
      <c r="G326" s="3"/>
      <c r="J326" s="4"/>
      <c r="M326" s="4"/>
    </row>
    <row r="327">
      <c r="A327" s="14" t="s">
        <v>839</v>
      </c>
      <c r="B327" s="7" t="s">
        <v>523</v>
      </c>
      <c r="C327" s="15">
        <v>46348.0</v>
      </c>
      <c r="D327" s="1" t="b">
        <v>1</v>
      </c>
      <c r="E327" s="1" t="s">
        <v>507</v>
      </c>
      <c r="F327" s="7" t="s">
        <v>35</v>
      </c>
      <c r="G327" s="7" t="s">
        <v>840</v>
      </c>
      <c r="J327" s="4"/>
      <c r="M327" s="4"/>
    </row>
    <row r="328">
      <c r="A328" s="14" t="s">
        <v>841</v>
      </c>
      <c r="B328" s="7" t="s">
        <v>523</v>
      </c>
      <c r="C328" s="15">
        <v>46349.0</v>
      </c>
      <c r="D328" s="1" t="b">
        <v>1</v>
      </c>
      <c r="E328" s="1" t="s">
        <v>507</v>
      </c>
      <c r="F328" s="7" t="s">
        <v>527</v>
      </c>
      <c r="G328" s="3"/>
      <c r="J328" s="4"/>
      <c r="M328" s="4"/>
    </row>
    <row r="329">
      <c r="A329" s="14" t="s">
        <v>842</v>
      </c>
      <c r="B329" s="7" t="s">
        <v>523</v>
      </c>
      <c r="C329" s="15">
        <v>46350.0</v>
      </c>
      <c r="D329" s="1" t="b">
        <v>1</v>
      </c>
      <c r="E329" s="1" t="s">
        <v>507</v>
      </c>
      <c r="F329" s="7" t="s">
        <v>606</v>
      </c>
      <c r="G329" s="3"/>
      <c r="J329" s="4"/>
    </row>
    <row r="330">
      <c r="A330" s="14" t="s">
        <v>843</v>
      </c>
      <c r="B330" s="7" t="s">
        <v>523</v>
      </c>
      <c r="C330" s="15">
        <v>46351.0</v>
      </c>
      <c r="D330" s="1" t="b">
        <v>1</v>
      </c>
      <c r="E330" s="1" t="s">
        <v>507</v>
      </c>
      <c r="F330" s="7" t="s">
        <v>531</v>
      </c>
      <c r="G330" s="3"/>
      <c r="J330" s="4"/>
      <c r="M330" s="4"/>
    </row>
    <row r="331">
      <c r="A331" s="14" t="s">
        <v>844</v>
      </c>
      <c r="B331" s="7" t="s">
        <v>523</v>
      </c>
      <c r="C331" s="15">
        <v>46352.0</v>
      </c>
      <c r="D331" s="1" t="b">
        <v>1</v>
      </c>
      <c r="E331" s="1" t="s">
        <v>507</v>
      </c>
      <c r="F331" s="7" t="s">
        <v>533</v>
      </c>
      <c r="G331" s="3"/>
      <c r="J331" s="4"/>
      <c r="M331" s="4"/>
    </row>
    <row r="332">
      <c r="A332" s="14" t="s">
        <v>845</v>
      </c>
      <c r="B332" s="7" t="s">
        <v>523</v>
      </c>
      <c r="C332" s="15">
        <v>46353.0</v>
      </c>
      <c r="D332" s="1" t="b">
        <v>1</v>
      </c>
      <c r="E332" s="1" t="s">
        <v>507</v>
      </c>
      <c r="F332" s="7" t="s">
        <v>535</v>
      </c>
      <c r="G332" s="3"/>
      <c r="J332" s="4"/>
      <c r="M332" s="4"/>
    </row>
    <row r="333">
      <c r="A333" s="14" t="s">
        <v>846</v>
      </c>
      <c r="B333" s="7" t="s">
        <v>523</v>
      </c>
      <c r="C333" s="15">
        <v>46354.0</v>
      </c>
      <c r="D333" s="1" t="b">
        <v>1</v>
      </c>
      <c r="E333" s="1" t="s">
        <v>507</v>
      </c>
      <c r="F333" s="7" t="s">
        <v>537</v>
      </c>
      <c r="G333" s="3"/>
      <c r="J333" s="4"/>
      <c r="M333" s="4"/>
    </row>
    <row r="334">
      <c r="A334" s="14" t="s">
        <v>847</v>
      </c>
      <c r="B334" s="7" t="s">
        <v>523</v>
      </c>
      <c r="C334" s="15">
        <v>46355.0</v>
      </c>
      <c r="D334" s="1" t="b">
        <v>1</v>
      </c>
      <c r="E334" s="1" t="s">
        <v>507</v>
      </c>
      <c r="F334" s="1" t="s">
        <v>539</v>
      </c>
      <c r="G334" s="7" t="s">
        <v>848</v>
      </c>
      <c r="J334" s="4"/>
      <c r="M334" s="4"/>
    </row>
    <row r="335">
      <c r="A335" s="14" t="s">
        <v>849</v>
      </c>
      <c r="B335" s="7" t="s">
        <v>523</v>
      </c>
      <c r="C335" s="15">
        <v>46356.0</v>
      </c>
      <c r="D335" s="1" t="b">
        <v>1</v>
      </c>
      <c r="E335" s="1" t="s">
        <v>507</v>
      </c>
      <c r="F335" s="7" t="s">
        <v>107</v>
      </c>
      <c r="G335" s="3"/>
      <c r="J335" s="4"/>
      <c r="M335" s="4"/>
    </row>
    <row r="336">
      <c r="A336" s="14" t="s">
        <v>850</v>
      </c>
      <c r="B336" s="7" t="s">
        <v>523</v>
      </c>
      <c r="C336" s="15">
        <v>46357.0</v>
      </c>
      <c r="D336" s="1" t="b">
        <v>1</v>
      </c>
      <c r="E336" s="1" t="s">
        <v>507</v>
      </c>
      <c r="F336" s="7" t="s">
        <v>542</v>
      </c>
      <c r="G336" s="3"/>
      <c r="J336" s="4"/>
      <c r="M336" s="4"/>
    </row>
    <row r="337">
      <c r="A337" s="14" t="s">
        <v>836</v>
      </c>
      <c r="B337" s="7" t="s">
        <v>523</v>
      </c>
      <c r="C337" s="15">
        <v>46358.0</v>
      </c>
      <c r="D337" s="1" t="b">
        <v>1</v>
      </c>
      <c r="E337" s="1" t="s">
        <v>507</v>
      </c>
      <c r="F337" s="7" t="s">
        <v>544</v>
      </c>
      <c r="G337" s="3"/>
      <c r="J337" s="4"/>
    </row>
    <row r="338">
      <c r="A338" s="14" t="s">
        <v>837</v>
      </c>
      <c r="B338" s="7" t="s">
        <v>523</v>
      </c>
      <c r="C338" s="15">
        <v>46359.0</v>
      </c>
      <c r="D338" s="1" t="b">
        <v>1</v>
      </c>
      <c r="E338" s="1" t="s">
        <v>507</v>
      </c>
      <c r="F338" s="7" t="s">
        <v>573</v>
      </c>
      <c r="G338" s="3"/>
      <c r="J338" s="4"/>
      <c r="M338" s="4"/>
    </row>
    <row r="339">
      <c r="A339" s="14" t="s">
        <v>838</v>
      </c>
      <c r="B339" s="7" t="s">
        <v>523</v>
      </c>
      <c r="C339" s="15">
        <v>46360.0</v>
      </c>
      <c r="D339" s="1" t="b">
        <v>1</v>
      </c>
      <c r="E339" s="1" t="s">
        <v>507</v>
      </c>
      <c r="F339" s="7" t="s">
        <v>524</v>
      </c>
      <c r="G339" s="3"/>
      <c r="J339" s="4"/>
      <c r="M339" s="4"/>
    </row>
    <row r="340">
      <c r="A340" s="14" t="s">
        <v>830</v>
      </c>
      <c r="B340" s="7" t="s">
        <v>523</v>
      </c>
      <c r="C340" s="15">
        <v>46361.0</v>
      </c>
      <c r="D340" s="1" t="b">
        <v>1</v>
      </c>
      <c r="E340" s="1" t="s">
        <v>507</v>
      </c>
      <c r="F340" s="7" t="s">
        <v>548</v>
      </c>
      <c r="G340" s="3"/>
      <c r="J340" s="4"/>
      <c r="M340" s="4"/>
    </row>
    <row r="341">
      <c r="A341" s="14" t="s">
        <v>851</v>
      </c>
      <c r="B341" s="7" t="s">
        <v>523</v>
      </c>
      <c r="C341" s="15">
        <v>46362.0</v>
      </c>
      <c r="D341" s="1" t="b">
        <v>1</v>
      </c>
      <c r="E341" s="1" t="s">
        <v>507</v>
      </c>
      <c r="F341" s="7" t="s">
        <v>550</v>
      </c>
      <c r="G341" s="7" t="s">
        <v>852</v>
      </c>
      <c r="J341" s="4"/>
      <c r="M341" s="4"/>
    </row>
    <row r="342">
      <c r="A342" s="14" t="s">
        <v>853</v>
      </c>
      <c r="B342" s="7" t="s">
        <v>523</v>
      </c>
      <c r="C342" s="15">
        <v>46363.0</v>
      </c>
      <c r="D342" s="1" t="b">
        <v>1</v>
      </c>
      <c r="E342" s="1" t="s">
        <v>507</v>
      </c>
      <c r="F342" s="7" t="s">
        <v>552</v>
      </c>
      <c r="G342" s="3"/>
      <c r="J342" s="4"/>
      <c r="M342" s="4"/>
    </row>
    <row r="343">
      <c r="A343" s="14" t="s">
        <v>854</v>
      </c>
      <c r="B343" s="7" t="s">
        <v>523</v>
      </c>
      <c r="C343" s="15">
        <v>46364.0</v>
      </c>
      <c r="D343" s="1" t="b">
        <v>1</v>
      </c>
      <c r="E343" s="1" t="s">
        <v>507</v>
      </c>
      <c r="F343" s="7" t="s">
        <v>143</v>
      </c>
      <c r="G343" s="3"/>
      <c r="J343" s="4"/>
    </row>
    <row r="344">
      <c r="A344" s="14" t="s">
        <v>855</v>
      </c>
      <c r="B344" s="7" t="s">
        <v>523</v>
      </c>
      <c r="C344" s="15">
        <v>46365.0</v>
      </c>
      <c r="D344" s="1" t="b">
        <v>1</v>
      </c>
      <c r="E344" s="1" t="s">
        <v>24</v>
      </c>
      <c r="F344" s="7" t="s">
        <v>555</v>
      </c>
      <c r="G344" s="3"/>
      <c r="J344" s="4"/>
      <c r="M344" s="4"/>
    </row>
    <row r="345">
      <c r="A345" s="14" t="s">
        <v>856</v>
      </c>
      <c r="B345" s="7" t="s">
        <v>523</v>
      </c>
      <c r="C345" s="15">
        <v>46366.0</v>
      </c>
      <c r="D345" s="1" t="b">
        <v>1</v>
      </c>
      <c r="E345" s="1" t="s">
        <v>24</v>
      </c>
      <c r="F345" s="7" t="s">
        <v>557</v>
      </c>
      <c r="G345" s="3"/>
      <c r="J345" s="4"/>
      <c r="M345" s="4"/>
    </row>
    <row r="346">
      <c r="A346" s="14" t="s">
        <v>857</v>
      </c>
      <c r="B346" s="7" t="s">
        <v>523</v>
      </c>
      <c r="C346" s="15">
        <v>46367.0</v>
      </c>
      <c r="D346" s="1" t="b">
        <v>1</v>
      </c>
      <c r="E346" s="1" t="s">
        <v>24</v>
      </c>
      <c r="F346" s="7" t="s">
        <v>559</v>
      </c>
      <c r="G346" s="3"/>
      <c r="J346" s="4"/>
      <c r="M346" s="4"/>
    </row>
    <row r="347">
      <c r="A347" s="14" t="s">
        <v>858</v>
      </c>
      <c r="B347" s="7" t="s">
        <v>523</v>
      </c>
      <c r="C347" s="15">
        <v>46368.0</v>
      </c>
      <c r="D347" s="1" t="b">
        <v>1</v>
      </c>
      <c r="E347" s="1" t="s">
        <v>24</v>
      </c>
      <c r="F347" s="7" t="s">
        <v>561</v>
      </c>
      <c r="G347" s="3"/>
      <c r="J347" s="4"/>
      <c r="M347" s="4"/>
    </row>
    <row r="348">
      <c r="A348" s="14" t="s">
        <v>859</v>
      </c>
      <c r="B348" s="7" t="s">
        <v>523</v>
      </c>
      <c r="C348" s="15">
        <v>46369.0</v>
      </c>
      <c r="D348" s="1" t="b">
        <v>1</v>
      </c>
      <c r="E348" s="1" t="s">
        <v>24</v>
      </c>
      <c r="F348" s="7" t="s">
        <v>548</v>
      </c>
      <c r="G348" s="7" t="s">
        <v>860</v>
      </c>
      <c r="J348" s="4"/>
      <c r="M348" s="4"/>
    </row>
    <row r="349">
      <c r="A349" s="14" t="s">
        <v>861</v>
      </c>
      <c r="B349" s="7" t="s">
        <v>523</v>
      </c>
      <c r="C349" s="15">
        <v>46370.0</v>
      </c>
      <c r="D349" s="1" t="b">
        <v>1</v>
      </c>
      <c r="E349" s="1" t="s">
        <v>24</v>
      </c>
      <c r="F349" s="7" t="s">
        <v>564</v>
      </c>
      <c r="G349" s="3"/>
      <c r="J349" s="4"/>
      <c r="M349" s="4"/>
    </row>
    <row r="350">
      <c r="A350" s="14" t="s">
        <v>538</v>
      </c>
      <c r="B350" s="7" t="s">
        <v>523</v>
      </c>
      <c r="C350" s="15">
        <v>46371.0</v>
      </c>
      <c r="D350" s="1" t="b">
        <v>1</v>
      </c>
      <c r="E350" s="1" t="s">
        <v>24</v>
      </c>
      <c r="F350" s="1" t="s">
        <v>539</v>
      </c>
      <c r="G350" s="3"/>
      <c r="J350" s="4"/>
      <c r="M350" s="4"/>
    </row>
    <row r="351">
      <c r="A351" s="14" t="s">
        <v>862</v>
      </c>
      <c r="B351" s="7" t="s">
        <v>523</v>
      </c>
      <c r="C351" s="15">
        <v>46372.0</v>
      </c>
      <c r="D351" s="1" t="b">
        <v>1</v>
      </c>
      <c r="E351" s="1" t="s">
        <v>24</v>
      </c>
      <c r="F351" s="7" t="s">
        <v>184</v>
      </c>
      <c r="G351" s="3"/>
      <c r="J351" s="4"/>
      <c r="M351" s="4"/>
    </row>
    <row r="352">
      <c r="A352" s="14" t="s">
        <v>863</v>
      </c>
      <c r="B352" s="7" t="s">
        <v>523</v>
      </c>
      <c r="C352" s="15">
        <v>46373.0</v>
      </c>
      <c r="D352" s="1" t="b">
        <v>1</v>
      </c>
      <c r="E352" s="1" t="s">
        <v>24</v>
      </c>
      <c r="F352" s="7" t="s">
        <v>568</v>
      </c>
      <c r="G352" s="3"/>
      <c r="J352" s="4"/>
      <c r="M352" s="4"/>
    </row>
    <row r="353">
      <c r="A353" s="14" t="s">
        <v>864</v>
      </c>
      <c r="B353" s="7" t="s">
        <v>523</v>
      </c>
      <c r="C353" s="15">
        <v>46374.0</v>
      </c>
      <c r="D353" s="1" t="b">
        <v>1</v>
      </c>
      <c r="E353" s="1" t="s">
        <v>24</v>
      </c>
      <c r="F353" s="7" t="s">
        <v>570</v>
      </c>
      <c r="G353" s="3"/>
      <c r="J353" s="4"/>
    </row>
    <row r="354">
      <c r="A354" s="14" t="s">
        <v>543</v>
      </c>
      <c r="B354" s="7" t="s">
        <v>523</v>
      </c>
      <c r="C354" s="15">
        <v>46375.0</v>
      </c>
      <c r="D354" s="1" t="b">
        <v>1</v>
      </c>
      <c r="E354" s="1" t="s">
        <v>24</v>
      </c>
      <c r="F354" s="7" t="s">
        <v>544</v>
      </c>
      <c r="G354" s="3"/>
      <c r="J354" s="4"/>
      <c r="M354" s="4"/>
    </row>
    <row r="355">
      <c r="A355" s="14" t="s">
        <v>865</v>
      </c>
      <c r="B355" s="7" t="s">
        <v>523</v>
      </c>
      <c r="C355" s="15">
        <v>46376.0</v>
      </c>
      <c r="D355" s="1" t="b">
        <v>1</v>
      </c>
      <c r="E355" s="1" t="s">
        <v>24</v>
      </c>
      <c r="F355" s="7" t="s">
        <v>573</v>
      </c>
      <c r="G355" s="7" t="s">
        <v>866</v>
      </c>
      <c r="J355" s="4"/>
      <c r="M355" s="4"/>
    </row>
    <row r="356">
      <c r="A356" s="14" t="s">
        <v>522</v>
      </c>
      <c r="B356" s="7" t="s">
        <v>523</v>
      </c>
      <c r="C356" s="15">
        <v>46377.0</v>
      </c>
      <c r="D356" s="1" t="b">
        <v>1</v>
      </c>
      <c r="E356" s="1" t="s">
        <v>24</v>
      </c>
      <c r="F356" s="7" t="s">
        <v>524</v>
      </c>
      <c r="G356" s="3"/>
      <c r="J356" s="4"/>
      <c r="M356" s="4"/>
    </row>
    <row r="357">
      <c r="A357" s="14" t="s">
        <v>525</v>
      </c>
      <c r="B357" s="7" t="s">
        <v>523</v>
      </c>
      <c r="C357" s="15">
        <v>46378.0</v>
      </c>
      <c r="D357" s="1" t="b">
        <v>1</v>
      </c>
      <c r="E357" s="1" t="s">
        <v>24</v>
      </c>
      <c r="F357" s="7" t="s">
        <v>35</v>
      </c>
      <c r="G357" s="3"/>
      <c r="J357" s="4"/>
      <c r="M357" s="4"/>
    </row>
    <row r="358">
      <c r="A358" s="14" t="s">
        <v>526</v>
      </c>
      <c r="B358" s="7" t="s">
        <v>523</v>
      </c>
      <c r="C358" s="15">
        <v>46379.0</v>
      </c>
      <c r="D358" s="1" t="b">
        <v>1</v>
      </c>
      <c r="E358" s="1" t="s">
        <v>24</v>
      </c>
      <c r="F358" s="7" t="s">
        <v>527</v>
      </c>
      <c r="G358" s="3"/>
      <c r="J358" s="4"/>
    </row>
    <row r="359">
      <c r="A359" s="14" t="s">
        <v>867</v>
      </c>
      <c r="B359" s="7" t="s">
        <v>523</v>
      </c>
      <c r="C359" s="15">
        <v>46380.0</v>
      </c>
      <c r="D359" s="1" t="b">
        <v>1</v>
      </c>
      <c r="E359" s="1" t="s">
        <v>24</v>
      </c>
      <c r="F359" s="7" t="s">
        <v>606</v>
      </c>
      <c r="G359" s="3"/>
      <c r="J359" s="4"/>
      <c r="M359" s="4"/>
    </row>
    <row r="360">
      <c r="A360" s="14" t="s">
        <v>868</v>
      </c>
      <c r="B360" s="7" t="s">
        <v>523</v>
      </c>
      <c r="C360" s="15">
        <v>46381.0</v>
      </c>
      <c r="D360" s="1" t="b">
        <v>1</v>
      </c>
      <c r="E360" s="1" t="s">
        <v>24</v>
      </c>
      <c r="F360" s="7" t="s">
        <v>531</v>
      </c>
      <c r="G360" s="7" t="s">
        <v>869</v>
      </c>
      <c r="J360" s="4"/>
      <c r="M360" s="4"/>
    </row>
    <row r="361">
      <c r="A361" s="14" t="s">
        <v>532</v>
      </c>
      <c r="B361" s="7" t="s">
        <v>523</v>
      </c>
      <c r="C361" s="15">
        <v>46382.0</v>
      </c>
      <c r="D361" s="1" t="b">
        <v>1</v>
      </c>
      <c r="E361" s="1" t="s">
        <v>24</v>
      </c>
      <c r="F361" s="1" t="s">
        <v>533</v>
      </c>
      <c r="G361" s="3"/>
      <c r="J361" s="4"/>
      <c r="M361" s="4"/>
    </row>
    <row r="362">
      <c r="A362" s="14" t="s">
        <v>534</v>
      </c>
      <c r="B362" s="7" t="s">
        <v>523</v>
      </c>
      <c r="C362" s="15">
        <v>46383.0</v>
      </c>
      <c r="D362" s="1" t="b">
        <v>1</v>
      </c>
      <c r="E362" s="1" t="s">
        <v>24</v>
      </c>
      <c r="F362" s="7" t="s">
        <v>535</v>
      </c>
      <c r="G362" s="3"/>
      <c r="J362" s="4"/>
      <c r="M362" s="4"/>
    </row>
    <row r="363">
      <c r="A363" s="14" t="s">
        <v>536</v>
      </c>
      <c r="B363" s="7" t="s">
        <v>523</v>
      </c>
      <c r="C363" s="15">
        <v>46384.0</v>
      </c>
      <c r="D363" s="1" t="b">
        <v>1</v>
      </c>
      <c r="E363" s="1" t="s">
        <v>24</v>
      </c>
      <c r="F363" s="7" t="s">
        <v>537</v>
      </c>
      <c r="G363" s="3"/>
      <c r="J363" s="4"/>
      <c r="M363" s="4"/>
    </row>
    <row r="364">
      <c r="A364" s="14" t="s">
        <v>538</v>
      </c>
      <c r="B364" s="7" t="s">
        <v>523</v>
      </c>
      <c r="C364" s="15">
        <v>46385.0</v>
      </c>
      <c r="D364" s="1" t="b">
        <v>1</v>
      </c>
      <c r="E364" s="1" t="s">
        <v>24</v>
      </c>
      <c r="F364" s="1" t="s">
        <v>539</v>
      </c>
      <c r="G364" s="3"/>
      <c r="J364" s="4"/>
      <c r="M364" s="4"/>
    </row>
    <row r="365">
      <c r="A365" s="14" t="s">
        <v>540</v>
      </c>
      <c r="B365" s="7" t="s">
        <v>523</v>
      </c>
      <c r="C365" s="15">
        <v>46386.0</v>
      </c>
      <c r="D365" s="1" t="b">
        <v>1</v>
      </c>
      <c r="E365" s="1" t="s">
        <v>24</v>
      </c>
      <c r="F365" s="7" t="s">
        <v>107</v>
      </c>
      <c r="G365" s="3"/>
      <c r="J365" s="4"/>
      <c r="M365" s="4"/>
    </row>
    <row r="366">
      <c r="A366" s="14" t="s">
        <v>541</v>
      </c>
      <c r="B366" s="7" t="s">
        <v>523</v>
      </c>
      <c r="C366" s="15">
        <v>46387.0</v>
      </c>
      <c r="D366" s="1" t="b">
        <v>1</v>
      </c>
      <c r="E366" s="1" t="s">
        <v>24</v>
      </c>
      <c r="F366" s="7" t="s">
        <v>542</v>
      </c>
      <c r="G366" s="3"/>
      <c r="J366" s="4"/>
    </row>
    <row r="367">
      <c r="A367" s="5" t="s">
        <v>543</v>
      </c>
      <c r="B367" s="7" t="s">
        <v>523</v>
      </c>
      <c r="C367" s="15">
        <v>46388.0</v>
      </c>
      <c r="D367" s="16" t="b">
        <v>1</v>
      </c>
      <c r="E367" s="1" t="s">
        <v>24</v>
      </c>
      <c r="F367" s="7" t="s">
        <v>544</v>
      </c>
    </row>
    <row r="368">
      <c r="A368" s="5" t="s">
        <v>870</v>
      </c>
      <c r="B368" s="7" t="s">
        <v>523</v>
      </c>
      <c r="C368" s="15">
        <v>46389.0</v>
      </c>
      <c r="D368" s="16" t="b">
        <v>1</v>
      </c>
      <c r="E368" s="1" t="s">
        <v>24</v>
      </c>
      <c r="F368" s="7" t="s">
        <v>573</v>
      </c>
    </row>
    <row r="369">
      <c r="A369" s="5" t="s">
        <v>522</v>
      </c>
      <c r="B369" s="7" t="s">
        <v>523</v>
      </c>
      <c r="C369" s="15">
        <v>46390.0</v>
      </c>
      <c r="D369" s="16" t="b">
        <v>1</v>
      </c>
      <c r="E369" s="1" t="s">
        <v>24</v>
      </c>
      <c r="F369" s="7" t="s">
        <v>524</v>
      </c>
    </row>
    <row r="370">
      <c r="A370" s="5" t="s">
        <v>547</v>
      </c>
      <c r="B370" s="7" t="s">
        <v>523</v>
      </c>
      <c r="C370" s="15">
        <v>46391.0</v>
      </c>
      <c r="D370" s="16" t="b">
        <v>1</v>
      </c>
      <c r="E370" s="1" t="s">
        <v>24</v>
      </c>
      <c r="F370" s="7" t="s">
        <v>548</v>
      </c>
    </row>
    <row r="371">
      <c r="A371" s="5" t="s">
        <v>549</v>
      </c>
      <c r="B371" s="7" t="s">
        <v>523</v>
      </c>
      <c r="C371" s="15">
        <v>46392.0</v>
      </c>
      <c r="D371" s="16" t="b">
        <v>1</v>
      </c>
      <c r="E371" s="1" t="s">
        <v>24</v>
      </c>
      <c r="F371" s="7" t="s">
        <v>550</v>
      </c>
    </row>
    <row r="372">
      <c r="A372" s="5" t="s">
        <v>551</v>
      </c>
      <c r="B372" s="7" t="s">
        <v>523</v>
      </c>
      <c r="C372" s="15">
        <v>46393.0</v>
      </c>
      <c r="D372" s="16" t="b">
        <v>1</v>
      </c>
      <c r="E372" s="1" t="s">
        <v>24</v>
      </c>
      <c r="F372" s="7" t="s">
        <v>552</v>
      </c>
    </row>
    <row r="373">
      <c r="A373" s="5" t="s">
        <v>553</v>
      </c>
      <c r="B373" s="7" t="s">
        <v>523</v>
      </c>
      <c r="C373" s="15">
        <v>46394.0</v>
      </c>
      <c r="D373" s="16" t="b">
        <v>1</v>
      </c>
      <c r="E373" s="1" t="s">
        <v>24</v>
      </c>
      <c r="F373" s="7" t="s">
        <v>143</v>
      </c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</sheetData>
  <mergeCells count="12">
    <mergeCell ref="V87:AB87"/>
    <mergeCell ref="V99:AB99"/>
    <mergeCell ref="V111:AB111"/>
    <mergeCell ref="V123:AB123"/>
    <mergeCell ref="V135:AB135"/>
    <mergeCell ref="V3:AB3"/>
    <mergeCell ref="V15:AB15"/>
    <mergeCell ref="V27:AB27"/>
    <mergeCell ref="V39:AB39"/>
    <mergeCell ref="V51:AB51"/>
    <mergeCell ref="V63:AB63"/>
    <mergeCell ref="V75:AB7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.75"/>
    <col customWidth="1" min="3" max="3" width="3.13"/>
    <col customWidth="1" min="4" max="4" width="26.38"/>
    <col customWidth="1" min="5" max="5" width="15.25"/>
    <col customWidth="1" min="6" max="7" width="7.0"/>
    <col customWidth="1" min="8" max="8" width="10.63"/>
    <col customWidth="1" min="9" max="10" width="7.0"/>
    <col customWidth="1" min="11" max="11" width="10.63"/>
    <col customWidth="1" min="12" max="13" width="7.0"/>
    <col customWidth="1" min="14" max="14" width="10.63"/>
    <col customWidth="1" min="15" max="16" width="7.0"/>
    <col customWidth="1" min="17" max="17" width="10.63"/>
    <col customWidth="1" min="18" max="18" width="12.88"/>
    <col customWidth="1" min="19" max="19" width="14.13"/>
    <col customWidth="1" min="20" max="20" width="10.38"/>
    <col customWidth="1" min="21" max="21" width="12.88"/>
    <col customWidth="1" min="22" max="23" width="24.38"/>
    <col customWidth="1" min="24" max="24" width="9.5"/>
    <col customWidth="1" min="25" max="25" width="9.0"/>
    <col customWidth="1" min="26" max="26" width="10.0"/>
    <col customWidth="1" min="27" max="27" width="25.13"/>
    <col customWidth="1" min="28" max="28" width="24.25"/>
    <col customWidth="1" min="29" max="40" width="26.0"/>
    <col customWidth="1" min="41" max="41" width="26.5"/>
    <col customWidth="1" min="42" max="50" width="26.0"/>
    <col customWidth="1" min="51" max="52" width="25.63"/>
    <col customWidth="1" min="53" max="54" width="24.25"/>
    <col customWidth="1" min="55" max="56" width="26.0"/>
    <col customWidth="1" min="57" max="57" width="26.5"/>
    <col customWidth="1" min="58" max="58" width="24.38"/>
    <col customWidth="1" min="59" max="59" width="26.0"/>
    <col customWidth="1" min="60" max="60" width="25.63"/>
    <col customWidth="1" min="61" max="61" width="24.38"/>
    <col customWidth="1" min="62" max="63" width="26.0"/>
    <col customWidth="1" min="64" max="65" width="26.5"/>
    <col customWidth="1" min="66" max="66" width="24.38"/>
    <col customWidth="1" min="67" max="67" width="24.63"/>
    <col customWidth="1" min="68" max="68" width="25.63"/>
    <col customWidth="1" min="69" max="73" width="24.38"/>
    <col customWidth="1" min="74" max="74" width="25.13"/>
    <col customWidth="1" min="75" max="76" width="25.63"/>
    <col customWidth="1" min="77" max="77" width="25.13"/>
    <col customWidth="1" min="78" max="79" width="26.0"/>
    <col customWidth="1" min="80" max="83" width="25.63"/>
    <col customWidth="1" min="84" max="87" width="26.0"/>
    <col customWidth="1" min="88" max="88" width="25.63"/>
    <col customWidth="1" min="89" max="89" width="25.13"/>
    <col customWidth="1" min="90" max="94" width="26.0"/>
    <col customWidth="1" min="95" max="95" width="25.63"/>
    <col customWidth="1" min="96" max="96" width="26.0"/>
    <col customWidth="1" min="97" max="97" width="25.63"/>
    <col customWidth="1" min="98" max="100" width="26.0"/>
    <col customWidth="1" min="101" max="101" width="25.63"/>
    <col customWidth="1" min="102" max="115" width="26.0"/>
    <col customWidth="1" min="116" max="116" width="24.63"/>
    <col customWidth="1" min="117" max="131" width="26.0"/>
    <col customWidth="1" min="132" max="132" width="25.13"/>
    <col customWidth="1" min="133" max="136" width="26.0"/>
    <col customWidth="1" min="137" max="137" width="25.63"/>
    <col customWidth="1" min="138" max="143" width="26.0"/>
    <col customWidth="1" min="144" max="144" width="24.38"/>
    <col customWidth="1" min="145" max="145" width="25.63"/>
    <col customWidth="1" min="146" max="146" width="24.63"/>
    <col customWidth="1" min="147" max="147" width="25.63"/>
    <col customWidth="1" min="148" max="148" width="26.0"/>
    <col customWidth="1" min="149" max="152" width="25.63"/>
    <col customWidth="1" min="153" max="153" width="24.38"/>
    <col customWidth="1" min="154" max="154" width="25.13"/>
    <col customWidth="1" min="155" max="161" width="24.38"/>
    <col customWidth="1" min="162" max="172" width="24.25"/>
    <col customWidth="1" min="173" max="173" width="23.5"/>
  </cols>
  <sheetData>
    <row r="1">
      <c r="A1" s="1" t="s">
        <v>871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>
      <c r="A2" s="1" t="s">
        <v>154</v>
      </c>
      <c r="B2" s="2">
        <v>1.0</v>
      </c>
      <c r="C2" s="1" t="s">
        <v>26</v>
      </c>
      <c r="D2" s="1" t="s">
        <v>27</v>
      </c>
      <c r="E2" s="3"/>
      <c r="F2" s="1" t="s">
        <v>28</v>
      </c>
      <c r="G2" s="4">
        <v>0.18958333333333333</v>
      </c>
      <c r="H2" s="1" t="s">
        <v>29</v>
      </c>
      <c r="I2" s="1" t="s">
        <v>30</v>
      </c>
      <c r="J2" s="4">
        <v>0.40555555555555556</v>
      </c>
      <c r="K2" s="1" t="s">
        <v>31</v>
      </c>
      <c r="L2" s="1" t="s">
        <v>28</v>
      </c>
      <c r="M2" s="4">
        <v>0.6743055555555556</v>
      </c>
      <c r="N2" s="1" t="s">
        <v>32</v>
      </c>
      <c r="O2" s="1" t="s">
        <v>30</v>
      </c>
      <c r="P2" s="4">
        <v>0.9694444444444444</v>
      </c>
      <c r="Q2" s="1" t="s">
        <v>33</v>
      </c>
      <c r="R2" s="1">
        <f t="shared" ref="R2:R366" si="1">LET(
  clean, LAMBDA(x, IF(x="", 0, VALUE(SUBSTITUTE(TRIM(x), "cm", "")))),
  a, clean(H2),
  b, clean(K2),
  MAX(a, b) - MIN(a, b)
)</f>
        <v>55</v>
      </c>
      <c r="S2" s="1">
        <f t="shared" ref="S2:S366" si="2">LET(
  clean, LAMBDA(x, IF(x="", 0, VALUE(SUBSTITUTE(TRIM(x), "cm", "")))),
  a, clean(N2),
  b, clean(Q2),
  MAX(a, b) - MIN(a, b)
)</f>
        <v>159</v>
      </c>
      <c r="T2" s="5">
        <f t="shared" ref="T2:T366" si="3">max(R2,S2)</f>
        <v>159</v>
      </c>
      <c r="U2" s="5" t="str">
        <f t="array" ref="U2:U366">IF(T2:T366 = "", "", LET( big, V2, small, W2, IF(T2:T366 &gt;= big, "大潮", IF(T2:T366 &gt;= small, "中潮", "小潮")) ) )</f>
        <v>大潮</v>
      </c>
      <c r="V2" s="5">
        <f>IFERROR(__xludf.DUMMYFUNCTION("LET( data, FILTER(T2:T366, T2:T366 &lt;&gt; """"), n, COUNTA(data), k, ROUNDUP(n/3, 0), sorted, SORT(data, 1, FALSE), INDEX(sorted, k) )"),124.0)</f>
        <v>124</v>
      </c>
      <c r="W2" s="5">
        <f>IFERROR(__xludf.DUMMYFUNCTION("LET( data, FILTER(T2:T366, T2:T366 &lt;&gt; """"), n, COUNTA(data), k, ROUNDUP(n/3, 0), sorted, SORT(data, 1, FALSE), INDEX(sorted, n - k + 1) )"),91.0)</f>
        <v>91</v>
      </c>
      <c r="Y2" s="6"/>
      <c r="Z2" s="6"/>
      <c r="AA2" s="6"/>
      <c r="AB2" s="6"/>
      <c r="AC2" s="6"/>
      <c r="AD2" s="6"/>
      <c r="AE2" s="6"/>
    </row>
    <row r="3">
      <c r="A3" s="1" t="s">
        <v>154</v>
      </c>
      <c r="B3" s="2">
        <v>2.0</v>
      </c>
      <c r="C3" s="1" t="s">
        <v>34</v>
      </c>
      <c r="D3" s="6"/>
      <c r="E3" s="3"/>
      <c r="F3" s="1" t="s">
        <v>28</v>
      </c>
      <c r="G3" s="4">
        <v>0.23055555555555557</v>
      </c>
      <c r="H3" s="1" t="s">
        <v>36</v>
      </c>
      <c r="I3" s="1" t="s">
        <v>30</v>
      </c>
      <c r="J3" s="4">
        <v>0.4444444444444444</v>
      </c>
      <c r="K3" s="1" t="s">
        <v>37</v>
      </c>
      <c r="L3" s="1" t="s">
        <v>28</v>
      </c>
      <c r="M3" s="4">
        <v>0.7118055555555556</v>
      </c>
      <c r="N3" s="1" t="s">
        <v>38</v>
      </c>
      <c r="R3" s="1">
        <f t="shared" si="1"/>
        <v>62</v>
      </c>
      <c r="S3" s="1">
        <f t="shared" si="2"/>
        <v>65</v>
      </c>
      <c r="T3" s="5">
        <f t="shared" si="3"/>
        <v>65</v>
      </c>
      <c r="U3" s="5" t="s">
        <v>39</v>
      </c>
      <c r="Y3" s="8" t="s">
        <v>40</v>
      </c>
    </row>
    <row r="4">
      <c r="A4" s="1" t="s">
        <v>154</v>
      </c>
      <c r="B4" s="2">
        <v>3.0</v>
      </c>
      <c r="C4" s="1" t="s">
        <v>41</v>
      </c>
      <c r="D4" s="1" t="s">
        <v>42</v>
      </c>
      <c r="E4" s="7" t="s">
        <v>35</v>
      </c>
      <c r="F4" s="1" t="s">
        <v>30</v>
      </c>
      <c r="G4" s="4">
        <v>0.00625</v>
      </c>
      <c r="H4" s="1" t="s">
        <v>43</v>
      </c>
      <c r="I4" s="1" t="s">
        <v>28</v>
      </c>
      <c r="J4" s="4">
        <v>0.2659722222222222</v>
      </c>
      <c r="K4" s="1" t="s">
        <v>44</v>
      </c>
      <c r="L4" s="1" t="s">
        <v>30</v>
      </c>
      <c r="M4" s="4">
        <v>0.48055555555555557</v>
      </c>
      <c r="N4" s="1" t="s">
        <v>45</v>
      </c>
      <c r="O4" s="1" t="s">
        <v>28</v>
      </c>
      <c r="P4" s="4">
        <v>0.7472222222222222</v>
      </c>
      <c r="Q4" s="1" t="s">
        <v>46</v>
      </c>
      <c r="R4" s="1">
        <f t="shared" si="1"/>
        <v>124</v>
      </c>
      <c r="S4" s="1">
        <f t="shared" si="2"/>
        <v>131</v>
      </c>
      <c r="T4" s="5">
        <f t="shared" si="3"/>
        <v>131</v>
      </c>
      <c r="U4" s="5" t="s">
        <v>47</v>
      </c>
      <c r="Y4" s="9" t="s">
        <v>48</v>
      </c>
      <c r="Z4" s="9" t="s">
        <v>49</v>
      </c>
      <c r="AA4" s="9" t="s">
        <v>50</v>
      </c>
      <c r="AB4" s="9" t="s">
        <v>51</v>
      </c>
      <c r="AC4" s="9" t="s">
        <v>52</v>
      </c>
      <c r="AD4" s="9" t="s">
        <v>53</v>
      </c>
      <c r="AE4" s="9" t="s">
        <v>54</v>
      </c>
    </row>
    <row r="5">
      <c r="A5" s="1" t="s">
        <v>154</v>
      </c>
      <c r="B5" s="2">
        <v>4.0</v>
      </c>
      <c r="C5" s="1" t="s">
        <v>55</v>
      </c>
      <c r="D5" s="1" t="s">
        <v>42</v>
      </c>
      <c r="E5" s="3"/>
      <c r="F5" s="1" t="s">
        <v>30</v>
      </c>
      <c r="G5" s="4">
        <v>0.04027777777777778</v>
      </c>
      <c r="H5" s="1" t="s">
        <v>56</v>
      </c>
      <c r="I5" s="1" t="s">
        <v>28</v>
      </c>
      <c r="J5" s="4">
        <v>0.2972222222222222</v>
      </c>
      <c r="K5" s="1" t="s">
        <v>57</v>
      </c>
      <c r="L5" s="1" t="s">
        <v>30</v>
      </c>
      <c r="M5" s="4">
        <v>0.5152777777777777</v>
      </c>
      <c r="N5" s="1" t="s">
        <v>58</v>
      </c>
      <c r="O5" s="1" t="s">
        <v>28</v>
      </c>
      <c r="P5" s="4">
        <v>0.7798611111111111</v>
      </c>
      <c r="Q5" s="1" t="s">
        <v>59</v>
      </c>
      <c r="R5" s="1">
        <f t="shared" si="1"/>
        <v>130</v>
      </c>
      <c r="S5" s="1">
        <f t="shared" si="2"/>
        <v>137</v>
      </c>
      <c r="T5" s="5">
        <f t="shared" si="3"/>
        <v>137</v>
      </c>
      <c r="U5" s="5" t="s">
        <v>47</v>
      </c>
      <c r="Y5" s="10" t="s">
        <v>60</v>
      </c>
      <c r="Z5" s="10" t="s">
        <v>60</v>
      </c>
      <c r="AA5" s="10" t="s">
        <v>60</v>
      </c>
      <c r="AB5" s="10" t="s">
        <v>61</v>
      </c>
      <c r="AC5" s="10" t="s">
        <v>62</v>
      </c>
      <c r="AD5" s="11" t="s">
        <v>63</v>
      </c>
      <c r="AE5" s="11" t="s">
        <v>64</v>
      </c>
    </row>
    <row r="6">
      <c r="A6" s="1" t="s">
        <v>154</v>
      </c>
      <c r="B6" s="2">
        <v>5.0</v>
      </c>
      <c r="C6" s="1" t="s">
        <v>25</v>
      </c>
      <c r="D6" s="6"/>
      <c r="E6" s="3"/>
      <c r="F6" s="1" t="s">
        <v>30</v>
      </c>
      <c r="G6" s="4">
        <v>0.07222222222222222</v>
      </c>
      <c r="H6" s="1" t="s">
        <v>43</v>
      </c>
      <c r="I6" s="1" t="s">
        <v>28</v>
      </c>
      <c r="J6" s="4">
        <v>0.32708333333333334</v>
      </c>
      <c r="K6" s="1" t="s">
        <v>65</v>
      </c>
      <c r="L6" s="1" t="s">
        <v>30</v>
      </c>
      <c r="M6" s="4">
        <v>0.5479166666666667</v>
      </c>
      <c r="N6" s="1" t="s">
        <v>66</v>
      </c>
      <c r="O6" s="1" t="s">
        <v>28</v>
      </c>
      <c r="P6" s="4">
        <v>0.8111111111111111</v>
      </c>
      <c r="Q6" s="1" t="s">
        <v>67</v>
      </c>
      <c r="R6" s="1">
        <f t="shared" si="1"/>
        <v>129</v>
      </c>
      <c r="S6" s="1">
        <f t="shared" si="2"/>
        <v>136</v>
      </c>
      <c r="T6" s="5">
        <f t="shared" si="3"/>
        <v>136</v>
      </c>
      <c r="U6" s="5" t="s">
        <v>47</v>
      </c>
      <c r="Y6" s="10" t="s">
        <v>68</v>
      </c>
      <c r="Z6" s="10" t="s">
        <v>69</v>
      </c>
      <c r="AA6" s="10" t="s">
        <v>70</v>
      </c>
      <c r="AB6" s="10" t="s">
        <v>71</v>
      </c>
      <c r="AC6" s="10" t="s">
        <v>72</v>
      </c>
      <c r="AD6" s="11" t="s">
        <v>73</v>
      </c>
      <c r="AE6" s="11" t="s">
        <v>74</v>
      </c>
    </row>
    <row r="7">
      <c r="A7" s="1" t="s">
        <v>154</v>
      </c>
      <c r="B7" s="2">
        <v>6.0</v>
      </c>
      <c r="C7" s="1" t="s">
        <v>75</v>
      </c>
      <c r="D7" s="6"/>
      <c r="E7" s="3"/>
      <c r="F7" s="1" t="s">
        <v>30</v>
      </c>
      <c r="G7" s="4">
        <v>0.10138888888888889</v>
      </c>
      <c r="H7" s="1" t="s">
        <v>76</v>
      </c>
      <c r="I7" s="1" t="s">
        <v>28</v>
      </c>
      <c r="J7" s="4">
        <v>0.3541666666666667</v>
      </c>
      <c r="K7" s="1" t="s">
        <v>77</v>
      </c>
      <c r="L7" s="1" t="s">
        <v>30</v>
      </c>
      <c r="M7" s="4">
        <v>0.5805555555555556</v>
      </c>
      <c r="N7" s="1" t="s">
        <v>66</v>
      </c>
      <c r="O7" s="1" t="s">
        <v>28</v>
      </c>
      <c r="P7" s="4">
        <v>0.8409722222222222</v>
      </c>
      <c r="Q7" s="1" t="s">
        <v>78</v>
      </c>
      <c r="R7" s="1">
        <f t="shared" si="1"/>
        <v>123</v>
      </c>
      <c r="S7" s="1">
        <f t="shared" si="2"/>
        <v>127</v>
      </c>
      <c r="T7" s="5">
        <f t="shared" si="3"/>
        <v>127</v>
      </c>
      <c r="U7" s="5" t="s">
        <v>47</v>
      </c>
      <c r="Y7" s="10" t="s">
        <v>79</v>
      </c>
      <c r="Z7" s="10" t="s">
        <v>80</v>
      </c>
      <c r="AA7" s="10" t="s">
        <v>81</v>
      </c>
      <c r="AB7" s="10" t="s">
        <v>82</v>
      </c>
      <c r="AC7" s="10" t="s">
        <v>83</v>
      </c>
      <c r="AD7" s="11" t="s">
        <v>84</v>
      </c>
      <c r="AE7" s="11" t="s">
        <v>85</v>
      </c>
    </row>
    <row r="8">
      <c r="A8" s="1" t="s">
        <v>154</v>
      </c>
      <c r="B8" s="2">
        <v>7.0</v>
      </c>
      <c r="C8" s="1" t="s">
        <v>86</v>
      </c>
      <c r="D8" s="6"/>
      <c r="E8" s="3"/>
      <c r="F8" s="1" t="s">
        <v>30</v>
      </c>
      <c r="G8" s="4">
        <v>0.12777777777777777</v>
      </c>
      <c r="H8" s="1" t="s">
        <v>87</v>
      </c>
      <c r="I8" s="1" t="s">
        <v>28</v>
      </c>
      <c r="J8" s="4">
        <v>0.38125</v>
      </c>
      <c r="K8" s="1" t="s">
        <v>77</v>
      </c>
      <c r="L8" s="1" t="s">
        <v>30</v>
      </c>
      <c r="M8" s="4">
        <v>0.6125</v>
      </c>
      <c r="N8" s="1" t="s">
        <v>88</v>
      </c>
      <c r="O8" s="1" t="s">
        <v>28</v>
      </c>
      <c r="P8" s="4">
        <v>0.8701388888888889</v>
      </c>
      <c r="Q8" s="1" t="s">
        <v>89</v>
      </c>
      <c r="R8" s="1">
        <f t="shared" si="1"/>
        <v>113</v>
      </c>
      <c r="S8" s="1">
        <f t="shared" si="2"/>
        <v>111</v>
      </c>
      <c r="T8" s="5">
        <f t="shared" si="3"/>
        <v>113</v>
      </c>
      <c r="U8" s="5" t="s">
        <v>90</v>
      </c>
      <c r="Y8" s="10" t="s">
        <v>91</v>
      </c>
      <c r="Z8" s="10" t="s">
        <v>92</v>
      </c>
      <c r="AA8" s="10" t="s">
        <v>93</v>
      </c>
      <c r="AB8" s="10" t="s">
        <v>94</v>
      </c>
      <c r="AC8" s="10" t="s">
        <v>95</v>
      </c>
      <c r="AD8" s="11" t="s">
        <v>96</v>
      </c>
      <c r="AE8" s="11" t="s">
        <v>97</v>
      </c>
    </row>
    <row r="9">
      <c r="A9" s="1" t="s">
        <v>154</v>
      </c>
      <c r="B9" s="2">
        <v>8.0</v>
      </c>
      <c r="C9" s="1" t="s">
        <v>26</v>
      </c>
      <c r="D9" s="6"/>
      <c r="E9" s="3"/>
      <c r="F9" s="1" t="s">
        <v>30</v>
      </c>
      <c r="G9" s="4">
        <v>0.15208333333333332</v>
      </c>
      <c r="H9" s="1" t="s">
        <v>98</v>
      </c>
      <c r="I9" s="1" t="s">
        <v>28</v>
      </c>
      <c r="J9" s="4">
        <v>0.40694444444444444</v>
      </c>
      <c r="K9" s="1" t="s">
        <v>77</v>
      </c>
      <c r="L9" s="1" t="s">
        <v>30</v>
      </c>
      <c r="M9" s="4">
        <v>0.6458333333333334</v>
      </c>
      <c r="N9" s="1" t="s">
        <v>99</v>
      </c>
      <c r="O9" s="1" t="s">
        <v>28</v>
      </c>
      <c r="P9" s="4">
        <v>0.8993055555555556</v>
      </c>
      <c r="Q9" s="1" t="s">
        <v>100</v>
      </c>
      <c r="R9" s="1">
        <f t="shared" si="1"/>
        <v>100</v>
      </c>
      <c r="S9" s="1">
        <f t="shared" si="2"/>
        <v>91</v>
      </c>
      <c r="T9" s="5">
        <f t="shared" si="3"/>
        <v>100</v>
      </c>
      <c r="U9" s="5" t="s">
        <v>90</v>
      </c>
      <c r="Y9" s="10" t="s">
        <v>101</v>
      </c>
      <c r="Z9" s="10" t="s">
        <v>102</v>
      </c>
      <c r="AA9" s="10" t="s">
        <v>103</v>
      </c>
      <c r="AB9" s="10" t="s">
        <v>104</v>
      </c>
      <c r="AC9" s="10" t="s">
        <v>105</v>
      </c>
      <c r="AD9" s="11" t="s">
        <v>106</v>
      </c>
      <c r="AE9" s="10" t="s">
        <v>60</v>
      </c>
    </row>
    <row r="10">
      <c r="A10" s="1" t="s">
        <v>154</v>
      </c>
      <c r="B10" s="2">
        <v>9.0</v>
      </c>
      <c r="C10" s="1" t="s">
        <v>34</v>
      </c>
      <c r="D10" s="6"/>
      <c r="E10" s="3"/>
      <c r="F10" s="1" t="s">
        <v>30</v>
      </c>
      <c r="G10" s="4">
        <v>0.17569444444444443</v>
      </c>
      <c r="H10" s="1" t="s">
        <v>108</v>
      </c>
      <c r="I10" s="1" t="s">
        <v>28</v>
      </c>
      <c r="J10" s="4">
        <v>0.43472222222222223</v>
      </c>
      <c r="K10" s="1" t="s">
        <v>65</v>
      </c>
      <c r="L10" s="1" t="s">
        <v>30</v>
      </c>
      <c r="M10" s="4">
        <v>0.6819444444444445</v>
      </c>
      <c r="N10" s="1" t="s">
        <v>31</v>
      </c>
      <c r="O10" s="1" t="s">
        <v>28</v>
      </c>
      <c r="P10" s="4">
        <v>0.9305555555555556</v>
      </c>
      <c r="Q10" s="1" t="s">
        <v>109</v>
      </c>
      <c r="R10" s="1">
        <f t="shared" si="1"/>
        <v>87</v>
      </c>
      <c r="S10" s="1">
        <f t="shared" si="2"/>
        <v>69</v>
      </c>
      <c r="T10" s="5">
        <f t="shared" si="3"/>
        <v>87</v>
      </c>
      <c r="U10" s="5" t="s">
        <v>39</v>
      </c>
      <c r="Y10" s="10" t="s">
        <v>60</v>
      </c>
      <c r="Z10" s="10" t="s">
        <v>60</v>
      </c>
      <c r="AA10" s="10" t="s">
        <v>60</v>
      </c>
      <c r="AB10" s="10" t="s">
        <v>60</v>
      </c>
      <c r="AC10" s="10" t="s">
        <v>60</v>
      </c>
      <c r="AD10" s="10" t="s">
        <v>60</v>
      </c>
      <c r="AE10" s="10" t="s">
        <v>60</v>
      </c>
    </row>
    <row r="11">
      <c r="A11" s="1" t="s">
        <v>154</v>
      </c>
      <c r="B11" s="2">
        <v>10.0</v>
      </c>
      <c r="C11" s="1" t="s">
        <v>41</v>
      </c>
      <c r="D11" s="1" t="s">
        <v>42</v>
      </c>
      <c r="E11" s="7" t="s">
        <v>107</v>
      </c>
      <c r="F11" s="1" t="s">
        <v>30</v>
      </c>
      <c r="G11" s="4">
        <v>0.19930555555555557</v>
      </c>
      <c r="H11" s="1" t="s">
        <v>110</v>
      </c>
      <c r="I11" s="1" t="s">
        <v>28</v>
      </c>
      <c r="J11" s="4">
        <v>0.4652777777777778</v>
      </c>
      <c r="K11" s="1" t="s">
        <v>111</v>
      </c>
      <c r="L11" s="1" t="s">
        <v>30</v>
      </c>
      <c r="M11" s="4">
        <v>0.7256944444444444</v>
      </c>
      <c r="N11" s="1" t="s">
        <v>112</v>
      </c>
      <c r="O11" s="1" t="s">
        <v>28</v>
      </c>
      <c r="P11" s="4">
        <v>0.9680555555555556</v>
      </c>
      <c r="Q11" s="1" t="s">
        <v>113</v>
      </c>
      <c r="R11" s="1">
        <f t="shared" si="1"/>
        <v>75</v>
      </c>
      <c r="S11" s="1">
        <f t="shared" si="2"/>
        <v>49</v>
      </c>
      <c r="T11" s="5">
        <f t="shared" si="3"/>
        <v>75</v>
      </c>
      <c r="U11" s="5" t="s">
        <v>39</v>
      </c>
      <c r="Y11" s="6"/>
      <c r="Z11" s="6"/>
      <c r="AA11" s="6"/>
      <c r="AB11" s="6"/>
      <c r="AC11" s="6"/>
      <c r="AD11" s="6"/>
      <c r="AE11" s="6"/>
    </row>
    <row r="12">
      <c r="A12" s="1" t="s">
        <v>154</v>
      </c>
      <c r="B12" s="2">
        <v>11.0</v>
      </c>
      <c r="C12" s="1" t="s">
        <v>55</v>
      </c>
      <c r="D12" s="1" t="s">
        <v>42</v>
      </c>
      <c r="E12" s="3"/>
      <c r="F12" s="1" t="s">
        <v>30</v>
      </c>
      <c r="G12" s="4">
        <v>0.22708333333333333</v>
      </c>
      <c r="H12" s="1" t="s">
        <v>114</v>
      </c>
      <c r="I12" s="1" t="s">
        <v>28</v>
      </c>
      <c r="J12" s="4">
        <v>0.5013888888888889</v>
      </c>
      <c r="K12" s="1" t="s">
        <v>57</v>
      </c>
      <c r="L12" s="1" t="s">
        <v>30</v>
      </c>
      <c r="M12" s="4">
        <v>0.7826388888888889</v>
      </c>
      <c r="N12" s="1" t="s">
        <v>115</v>
      </c>
      <c r="R12" s="1">
        <f t="shared" si="1"/>
        <v>64</v>
      </c>
      <c r="S12" s="1">
        <f t="shared" si="2"/>
        <v>45</v>
      </c>
      <c r="T12" s="5">
        <f t="shared" si="3"/>
        <v>64</v>
      </c>
      <c r="U12" s="5" t="s">
        <v>39</v>
      </c>
      <c r="Y12" s="6"/>
      <c r="Z12" s="6"/>
      <c r="AA12" s="6"/>
      <c r="AB12" s="6"/>
      <c r="AC12" s="6"/>
      <c r="AD12" s="6"/>
      <c r="AE12" s="6"/>
    </row>
    <row r="13">
      <c r="A13" s="1" t="s">
        <v>154</v>
      </c>
      <c r="B13" s="2">
        <v>12.0</v>
      </c>
      <c r="C13" s="1" t="s">
        <v>25</v>
      </c>
      <c r="D13" s="6"/>
      <c r="E13" s="3"/>
      <c r="F13" s="1" t="s">
        <v>28</v>
      </c>
      <c r="G13" s="4">
        <v>0.021527777777777778</v>
      </c>
      <c r="H13" s="1" t="s">
        <v>116</v>
      </c>
      <c r="I13" s="1" t="s">
        <v>30</v>
      </c>
      <c r="J13" s="4">
        <v>0.2625</v>
      </c>
      <c r="K13" s="1" t="s">
        <v>117</v>
      </c>
      <c r="L13" s="1" t="s">
        <v>28</v>
      </c>
      <c r="M13" s="4">
        <v>0.5444444444444444</v>
      </c>
      <c r="N13" s="1" t="s">
        <v>111</v>
      </c>
      <c r="O13" s="1" t="s">
        <v>30</v>
      </c>
      <c r="P13" s="4">
        <v>0.8513888888888889</v>
      </c>
      <c r="Q13" s="1" t="s">
        <v>118</v>
      </c>
      <c r="R13" s="1">
        <f t="shared" si="1"/>
        <v>33</v>
      </c>
      <c r="S13" s="1">
        <f t="shared" si="2"/>
        <v>63</v>
      </c>
      <c r="T13" s="5">
        <f t="shared" si="3"/>
        <v>63</v>
      </c>
      <c r="U13" s="5" t="s">
        <v>39</v>
      </c>
    </row>
    <row r="14">
      <c r="A14" s="1" t="s">
        <v>154</v>
      </c>
      <c r="B14" s="2">
        <v>13.0</v>
      </c>
      <c r="C14" s="1" t="s">
        <v>75</v>
      </c>
      <c r="D14" s="6"/>
      <c r="E14" s="3"/>
      <c r="F14" s="1" t="s">
        <v>28</v>
      </c>
      <c r="G14" s="4">
        <v>0.09652777777777778</v>
      </c>
      <c r="H14" s="1" t="s">
        <v>119</v>
      </c>
      <c r="I14" s="1" t="s">
        <v>30</v>
      </c>
      <c r="J14" s="4">
        <v>0.30833333333333335</v>
      </c>
      <c r="K14" s="1" t="s">
        <v>120</v>
      </c>
      <c r="L14" s="1" t="s">
        <v>28</v>
      </c>
      <c r="M14" s="4">
        <v>0.5909722222222222</v>
      </c>
      <c r="N14" s="1" t="s">
        <v>109</v>
      </c>
      <c r="O14" s="1" t="s">
        <v>30</v>
      </c>
      <c r="P14" s="4">
        <v>0.9048611111111111</v>
      </c>
      <c r="Q14" s="1" t="s">
        <v>99</v>
      </c>
      <c r="R14" s="1">
        <f t="shared" si="1"/>
        <v>23</v>
      </c>
      <c r="S14" s="1">
        <f t="shared" si="2"/>
        <v>75</v>
      </c>
      <c r="T14" s="5">
        <f t="shared" si="3"/>
        <v>75</v>
      </c>
      <c r="U14" s="5" t="s">
        <v>39</v>
      </c>
      <c r="Y14" s="6"/>
      <c r="Z14" s="6"/>
      <c r="AA14" s="6"/>
      <c r="AB14" s="6"/>
      <c r="AC14" s="6"/>
      <c r="AD14" s="6"/>
      <c r="AE14" s="6"/>
    </row>
    <row r="15">
      <c r="A15" s="1" t="s">
        <v>154</v>
      </c>
      <c r="B15" s="2">
        <v>14.0</v>
      </c>
      <c r="C15" s="1" t="s">
        <v>86</v>
      </c>
      <c r="D15" s="6"/>
      <c r="E15" s="3"/>
      <c r="F15" s="1" t="s">
        <v>28</v>
      </c>
      <c r="G15" s="4">
        <v>0.16041666666666668</v>
      </c>
      <c r="H15" s="1" t="s">
        <v>121</v>
      </c>
      <c r="I15" s="1" t="s">
        <v>30</v>
      </c>
      <c r="J15" s="4">
        <v>0.35694444444444445</v>
      </c>
      <c r="K15" s="1" t="s">
        <v>122</v>
      </c>
      <c r="L15" s="1" t="s">
        <v>28</v>
      </c>
      <c r="M15" s="4">
        <v>0.6340277777777777</v>
      </c>
      <c r="N15" s="1" t="s">
        <v>123</v>
      </c>
      <c r="O15" s="1" t="s">
        <v>30</v>
      </c>
      <c r="P15" s="4">
        <v>0.9409722222222222</v>
      </c>
      <c r="Q15" s="1" t="s">
        <v>124</v>
      </c>
      <c r="R15" s="1">
        <f t="shared" si="1"/>
        <v>23</v>
      </c>
      <c r="S15" s="1">
        <f t="shared" si="2"/>
        <v>92</v>
      </c>
      <c r="T15" s="5">
        <f t="shared" si="3"/>
        <v>92</v>
      </c>
      <c r="U15" s="5" t="s">
        <v>90</v>
      </c>
      <c r="Y15" s="8" t="s">
        <v>125</v>
      </c>
    </row>
    <row r="16">
      <c r="A16" s="1" t="s">
        <v>154</v>
      </c>
      <c r="B16" s="2">
        <v>15.0</v>
      </c>
      <c r="C16" s="1" t="s">
        <v>26</v>
      </c>
      <c r="D16" s="6"/>
      <c r="E16" s="3"/>
      <c r="F16" s="1" t="s">
        <v>28</v>
      </c>
      <c r="G16" s="4">
        <v>0.20069444444444445</v>
      </c>
      <c r="H16" s="1" t="s">
        <v>126</v>
      </c>
      <c r="I16" s="1" t="s">
        <v>30</v>
      </c>
      <c r="J16" s="4">
        <v>0.3993055555555556</v>
      </c>
      <c r="K16" s="1" t="s">
        <v>127</v>
      </c>
      <c r="L16" s="1" t="s">
        <v>28</v>
      </c>
      <c r="M16" s="4">
        <v>0.6694444444444444</v>
      </c>
      <c r="N16" s="1" t="s">
        <v>128</v>
      </c>
      <c r="O16" s="1" t="s">
        <v>30</v>
      </c>
      <c r="P16" s="4">
        <v>0.96875</v>
      </c>
      <c r="Q16" s="1" t="s">
        <v>129</v>
      </c>
      <c r="R16" s="1">
        <f t="shared" si="1"/>
        <v>32</v>
      </c>
      <c r="S16" s="1">
        <f t="shared" si="2"/>
        <v>109</v>
      </c>
      <c r="T16" s="5">
        <f t="shared" si="3"/>
        <v>109</v>
      </c>
      <c r="U16" s="5" t="s">
        <v>90</v>
      </c>
      <c r="Y16" s="9" t="s">
        <v>48</v>
      </c>
      <c r="Z16" s="9" t="s">
        <v>49</v>
      </c>
      <c r="AA16" s="9" t="s">
        <v>50</v>
      </c>
      <c r="AB16" s="9" t="s">
        <v>51</v>
      </c>
      <c r="AC16" s="9" t="s">
        <v>52</v>
      </c>
      <c r="AD16" s="9" t="s">
        <v>53</v>
      </c>
      <c r="AE16" s="9" t="s">
        <v>54</v>
      </c>
    </row>
    <row r="17">
      <c r="A17" s="1" t="s">
        <v>154</v>
      </c>
      <c r="B17" s="2">
        <v>16.0</v>
      </c>
      <c r="C17" s="1" t="s">
        <v>34</v>
      </c>
      <c r="D17" s="6"/>
      <c r="E17" s="3"/>
      <c r="F17" s="1" t="s">
        <v>28</v>
      </c>
      <c r="G17" s="4">
        <v>0.22847222222222222</v>
      </c>
      <c r="H17" s="1" t="s">
        <v>130</v>
      </c>
      <c r="I17" s="1" t="s">
        <v>30</v>
      </c>
      <c r="J17" s="4">
        <v>0.4340277777777778</v>
      </c>
      <c r="K17" s="1" t="s">
        <v>117</v>
      </c>
      <c r="L17" s="1" t="s">
        <v>28</v>
      </c>
      <c r="M17" s="4">
        <v>0.6993055555555555</v>
      </c>
      <c r="N17" s="1" t="s">
        <v>131</v>
      </c>
      <c r="O17" s="1" t="s">
        <v>30</v>
      </c>
      <c r="P17" s="4">
        <v>0.9930555555555556</v>
      </c>
      <c r="Q17" s="1" t="s">
        <v>132</v>
      </c>
      <c r="R17" s="1">
        <f t="shared" si="1"/>
        <v>42</v>
      </c>
      <c r="S17" s="1">
        <f t="shared" si="2"/>
        <v>126</v>
      </c>
      <c r="T17" s="5">
        <f t="shared" si="3"/>
        <v>126</v>
      </c>
      <c r="U17" s="5" t="s">
        <v>47</v>
      </c>
      <c r="Y17" s="10" t="s">
        <v>60</v>
      </c>
      <c r="Z17" s="10" t="s">
        <v>60</v>
      </c>
      <c r="AA17" s="10" t="s">
        <v>60</v>
      </c>
      <c r="AB17" s="10" t="s">
        <v>60</v>
      </c>
      <c r="AC17" s="10" t="s">
        <v>60</v>
      </c>
      <c r="AD17" s="10" t="s">
        <v>60</v>
      </c>
      <c r="AE17" s="11" t="s">
        <v>133</v>
      </c>
    </row>
    <row r="18">
      <c r="A18" s="1" t="s">
        <v>154</v>
      </c>
      <c r="B18" s="2">
        <v>17.0</v>
      </c>
      <c r="C18" s="1" t="s">
        <v>41</v>
      </c>
      <c r="D18" s="1" t="s">
        <v>42</v>
      </c>
      <c r="E18" s="3"/>
      <c r="F18" s="1" t="s">
        <v>28</v>
      </c>
      <c r="G18" s="4">
        <v>0.2520833333333333</v>
      </c>
      <c r="H18" s="1" t="s">
        <v>29</v>
      </c>
      <c r="I18" s="1" t="s">
        <v>30</v>
      </c>
      <c r="J18" s="4">
        <v>0.46319444444444446</v>
      </c>
      <c r="K18" s="1" t="s">
        <v>134</v>
      </c>
      <c r="L18" s="1" t="s">
        <v>28</v>
      </c>
      <c r="M18" s="4">
        <v>0.725</v>
      </c>
      <c r="N18" s="1" t="s">
        <v>135</v>
      </c>
      <c r="R18" s="1">
        <f t="shared" si="1"/>
        <v>53</v>
      </c>
      <c r="S18" s="1">
        <f t="shared" si="2"/>
        <v>48</v>
      </c>
      <c r="T18" s="5">
        <f t="shared" si="3"/>
        <v>53</v>
      </c>
      <c r="U18" s="5" t="s">
        <v>39</v>
      </c>
      <c r="Y18" s="10" t="s">
        <v>136</v>
      </c>
      <c r="Z18" s="10" t="s">
        <v>137</v>
      </c>
      <c r="AA18" s="10" t="s">
        <v>138</v>
      </c>
      <c r="AB18" s="10" t="s">
        <v>139</v>
      </c>
      <c r="AC18" s="10" t="s">
        <v>140</v>
      </c>
      <c r="AD18" s="11" t="s">
        <v>141</v>
      </c>
      <c r="AE18" s="11" t="s">
        <v>142</v>
      </c>
    </row>
    <row r="19">
      <c r="A19" s="1" t="s">
        <v>154</v>
      </c>
      <c r="B19" s="2">
        <v>18.0</v>
      </c>
      <c r="C19" s="1" t="s">
        <v>55</v>
      </c>
      <c r="D19" s="1" t="s">
        <v>42</v>
      </c>
      <c r="E19" s="3"/>
      <c r="F19" s="1" t="s">
        <v>30</v>
      </c>
      <c r="G19" s="4">
        <v>0.01597222222222222</v>
      </c>
      <c r="H19" s="1" t="s">
        <v>144</v>
      </c>
      <c r="I19" s="1" t="s">
        <v>28</v>
      </c>
      <c r="J19" s="4">
        <v>0.27361111111111114</v>
      </c>
      <c r="K19" s="1" t="s">
        <v>145</v>
      </c>
      <c r="L19" s="1" t="s">
        <v>30</v>
      </c>
      <c r="M19" s="4">
        <v>0.4895833333333333</v>
      </c>
      <c r="N19" s="1" t="s">
        <v>146</v>
      </c>
      <c r="O19" s="1" t="s">
        <v>28</v>
      </c>
      <c r="P19" s="4">
        <v>0.75</v>
      </c>
      <c r="Q19" s="1" t="s">
        <v>147</v>
      </c>
      <c r="R19" s="1">
        <f t="shared" si="1"/>
        <v>100</v>
      </c>
      <c r="S19" s="1">
        <f t="shared" si="2"/>
        <v>111</v>
      </c>
      <c r="T19" s="5">
        <f t="shared" si="3"/>
        <v>111</v>
      </c>
      <c r="U19" s="5" t="s">
        <v>90</v>
      </c>
      <c r="Y19" s="10" t="s">
        <v>148</v>
      </c>
      <c r="Z19" s="10" t="s">
        <v>149</v>
      </c>
      <c r="AA19" s="10" t="s">
        <v>150</v>
      </c>
      <c r="AB19" s="10" t="s">
        <v>79</v>
      </c>
      <c r="AC19" s="10" t="s">
        <v>151</v>
      </c>
      <c r="AD19" s="11" t="s">
        <v>152</v>
      </c>
      <c r="AE19" s="11" t="s">
        <v>153</v>
      </c>
    </row>
    <row r="20">
      <c r="A20" s="1" t="s">
        <v>154</v>
      </c>
      <c r="B20" s="2">
        <v>19.0</v>
      </c>
      <c r="C20" s="1" t="s">
        <v>25</v>
      </c>
      <c r="D20" s="6"/>
      <c r="E20" s="7" t="s">
        <v>143</v>
      </c>
      <c r="F20" s="1" t="s">
        <v>30</v>
      </c>
      <c r="G20" s="4">
        <v>0.03819444444444445</v>
      </c>
      <c r="H20" s="1" t="s">
        <v>156</v>
      </c>
      <c r="I20" s="1" t="s">
        <v>28</v>
      </c>
      <c r="J20" s="4">
        <v>0.29444444444444445</v>
      </c>
      <c r="K20" s="1" t="s">
        <v>157</v>
      </c>
      <c r="L20" s="1" t="s">
        <v>30</v>
      </c>
      <c r="M20" s="4">
        <v>0.5152777777777777</v>
      </c>
      <c r="N20" s="1" t="s">
        <v>110</v>
      </c>
      <c r="O20" s="1" t="s">
        <v>28</v>
      </c>
      <c r="P20" s="4">
        <v>0.7736111111111111</v>
      </c>
      <c r="Q20" s="1" t="s">
        <v>158</v>
      </c>
      <c r="R20" s="1">
        <f t="shared" si="1"/>
        <v>108</v>
      </c>
      <c r="S20" s="1">
        <f t="shared" si="2"/>
        <v>122</v>
      </c>
      <c r="T20" s="5">
        <f t="shared" si="3"/>
        <v>122</v>
      </c>
      <c r="U20" s="5" t="s">
        <v>90</v>
      </c>
      <c r="Y20" s="10" t="s">
        <v>159</v>
      </c>
      <c r="Z20" s="10" t="s">
        <v>160</v>
      </c>
      <c r="AA20" s="10" t="s">
        <v>161</v>
      </c>
      <c r="AB20" s="10" t="s">
        <v>162</v>
      </c>
      <c r="AC20" s="10" t="s">
        <v>163</v>
      </c>
      <c r="AD20" s="11" t="s">
        <v>164</v>
      </c>
      <c r="AE20" s="11" t="s">
        <v>165</v>
      </c>
    </row>
    <row r="21">
      <c r="A21" s="1" t="s">
        <v>154</v>
      </c>
      <c r="B21" s="2">
        <v>20.0</v>
      </c>
      <c r="C21" s="1" t="s">
        <v>75</v>
      </c>
      <c r="D21" s="6"/>
      <c r="E21" s="3"/>
      <c r="F21" s="1" t="s">
        <v>30</v>
      </c>
      <c r="G21" s="4">
        <v>0.059722222222222225</v>
      </c>
      <c r="H21" s="1" t="s">
        <v>166</v>
      </c>
      <c r="I21" s="1" t="s">
        <v>28</v>
      </c>
      <c r="J21" s="4">
        <v>0.31527777777777777</v>
      </c>
      <c r="K21" s="1" t="s">
        <v>109</v>
      </c>
      <c r="L21" s="1" t="s">
        <v>30</v>
      </c>
      <c r="M21" s="4">
        <v>0.5409722222222222</v>
      </c>
      <c r="N21" s="1" t="s">
        <v>66</v>
      </c>
      <c r="O21" s="1" t="s">
        <v>28</v>
      </c>
      <c r="P21" s="4">
        <v>0.7979166666666667</v>
      </c>
      <c r="Q21" s="1" t="s">
        <v>167</v>
      </c>
      <c r="R21" s="1">
        <f t="shared" si="1"/>
        <v>115</v>
      </c>
      <c r="S21" s="1">
        <f t="shared" si="2"/>
        <v>128</v>
      </c>
      <c r="T21" s="5">
        <f t="shared" si="3"/>
        <v>128</v>
      </c>
      <c r="U21" s="5" t="s">
        <v>47</v>
      </c>
      <c r="Y21" s="10" t="s">
        <v>95</v>
      </c>
      <c r="Z21" s="10" t="s">
        <v>168</v>
      </c>
      <c r="AA21" s="10" t="s">
        <v>169</v>
      </c>
      <c r="AB21" s="10" t="s">
        <v>170</v>
      </c>
      <c r="AC21" s="10" t="s">
        <v>171</v>
      </c>
      <c r="AD21" s="11" t="s">
        <v>172</v>
      </c>
      <c r="AE21" s="10" t="s">
        <v>60</v>
      </c>
    </row>
    <row r="22">
      <c r="A22" s="1" t="s">
        <v>154</v>
      </c>
      <c r="B22" s="2">
        <v>21.0</v>
      </c>
      <c r="C22" s="1" t="s">
        <v>86</v>
      </c>
      <c r="D22" s="6"/>
      <c r="E22" s="3"/>
      <c r="F22" s="1" t="s">
        <v>30</v>
      </c>
      <c r="G22" s="4">
        <v>0.08125</v>
      </c>
      <c r="H22" s="1" t="s">
        <v>87</v>
      </c>
      <c r="I22" s="1" t="s">
        <v>28</v>
      </c>
      <c r="J22" s="4">
        <v>0.33541666666666664</v>
      </c>
      <c r="K22" s="1" t="s">
        <v>173</v>
      </c>
      <c r="L22" s="1" t="s">
        <v>30</v>
      </c>
      <c r="M22" s="4">
        <v>0.5673611111111111</v>
      </c>
      <c r="N22" s="1" t="s">
        <v>174</v>
      </c>
      <c r="O22" s="1" t="s">
        <v>28</v>
      </c>
      <c r="P22" s="4">
        <v>0.8222222222222222</v>
      </c>
      <c r="Q22" s="1" t="s">
        <v>158</v>
      </c>
      <c r="R22" s="1">
        <f t="shared" si="1"/>
        <v>118</v>
      </c>
      <c r="S22" s="1">
        <f t="shared" si="2"/>
        <v>129</v>
      </c>
      <c r="T22" s="5">
        <f t="shared" si="3"/>
        <v>129</v>
      </c>
      <c r="U22" s="5" t="s">
        <v>47</v>
      </c>
      <c r="Y22" s="10" t="s">
        <v>60</v>
      </c>
      <c r="Z22" s="10" t="s">
        <v>60</v>
      </c>
      <c r="AA22" s="10" t="s">
        <v>60</v>
      </c>
      <c r="AB22" s="10" t="s">
        <v>60</v>
      </c>
      <c r="AC22" s="10" t="s">
        <v>60</v>
      </c>
      <c r="AD22" s="10" t="s">
        <v>60</v>
      </c>
      <c r="AE22" s="10" t="s">
        <v>60</v>
      </c>
    </row>
    <row r="23">
      <c r="A23" s="1" t="s">
        <v>154</v>
      </c>
      <c r="B23" s="2">
        <v>22.0</v>
      </c>
      <c r="C23" s="1" t="s">
        <v>26</v>
      </c>
      <c r="D23" s="6"/>
      <c r="E23" s="3"/>
      <c r="F23" s="1" t="s">
        <v>30</v>
      </c>
      <c r="G23" s="4">
        <v>0.10208333333333333</v>
      </c>
      <c r="H23" s="1" t="s">
        <v>175</v>
      </c>
      <c r="I23" s="1" t="s">
        <v>28</v>
      </c>
      <c r="J23" s="4">
        <v>0.35694444444444445</v>
      </c>
      <c r="K23" s="1" t="s">
        <v>176</v>
      </c>
      <c r="L23" s="1" t="s">
        <v>30</v>
      </c>
      <c r="M23" s="4">
        <v>0.5951388888888889</v>
      </c>
      <c r="N23" s="1" t="s">
        <v>124</v>
      </c>
      <c r="O23" s="1" t="s">
        <v>28</v>
      </c>
      <c r="P23" s="4">
        <v>0.8479166666666667</v>
      </c>
      <c r="Q23" s="1" t="s">
        <v>147</v>
      </c>
      <c r="R23" s="1">
        <f t="shared" si="1"/>
        <v>118</v>
      </c>
      <c r="S23" s="1">
        <f t="shared" si="2"/>
        <v>124</v>
      </c>
      <c r="T23" s="5">
        <f t="shared" si="3"/>
        <v>124</v>
      </c>
      <c r="U23" s="5" t="s">
        <v>47</v>
      </c>
      <c r="Y23" s="6"/>
      <c r="Z23" s="6"/>
      <c r="AA23" s="6"/>
      <c r="AB23" s="6"/>
      <c r="AC23" s="6"/>
      <c r="AD23" s="6"/>
      <c r="AE23" s="6"/>
    </row>
    <row r="24">
      <c r="A24" s="1" t="s">
        <v>154</v>
      </c>
      <c r="B24" s="2">
        <v>23.0</v>
      </c>
      <c r="C24" s="1" t="s">
        <v>34</v>
      </c>
      <c r="D24" s="6"/>
      <c r="E24" s="3"/>
      <c r="F24" s="1" t="s">
        <v>30</v>
      </c>
      <c r="G24" s="4">
        <v>0.12361111111111112</v>
      </c>
      <c r="H24" s="1" t="s">
        <v>177</v>
      </c>
      <c r="I24" s="1" t="s">
        <v>28</v>
      </c>
      <c r="J24" s="4">
        <v>0.3798611111111111</v>
      </c>
      <c r="K24" s="1" t="s">
        <v>178</v>
      </c>
      <c r="L24" s="1" t="s">
        <v>30</v>
      </c>
      <c r="M24" s="4">
        <v>0.6243055555555556</v>
      </c>
      <c r="N24" s="1" t="s">
        <v>174</v>
      </c>
      <c r="O24" s="1" t="s">
        <v>28</v>
      </c>
      <c r="P24" s="4">
        <v>0.8756944444444444</v>
      </c>
      <c r="Q24" s="1" t="s">
        <v>179</v>
      </c>
      <c r="R24" s="1">
        <f t="shared" si="1"/>
        <v>115</v>
      </c>
      <c r="S24" s="1">
        <f t="shared" si="2"/>
        <v>113</v>
      </c>
      <c r="T24" s="5">
        <f t="shared" si="3"/>
        <v>115</v>
      </c>
      <c r="U24" s="5" t="s">
        <v>90</v>
      </c>
      <c r="Y24" s="6"/>
      <c r="Z24" s="6"/>
      <c r="AA24" s="6"/>
      <c r="AB24" s="6"/>
      <c r="AC24" s="6"/>
      <c r="AD24" s="6"/>
      <c r="AE24" s="6"/>
    </row>
    <row r="25">
      <c r="A25" s="1" t="s">
        <v>154</v>
      </c>
      <c r="B25" s="2">
        <v>24.0</v>
      </c>
      <c r="C25" s="1" t="s">
        <v>41</v>
      </c>
      <c r="D25" s="1" t="s">
        <v>42</v>
      </c>
      <c r="E25" s="3"/>
      <c r="F25" s="1" t="s">
        <v>30</v>
      </c>
      <c r="G25" s="4">
        <v>0.14583333333333334</v>
      </c>
      <c r="H25" s="1" t="s">
        <v>180</v>
      </c>
      <c r="I25" s="1" t="s">
        <v>28</v>
      </c>
      <c r="J25" s="4">
        <v>0.4041666666666667</v>
      </c>
      <c r="K25" s="1" t="s">
        <v>181</v>
      </c>
      <c r="L25" s="1" t="s">
        <v>30</v>
      </c>
      <c r="M25" s="4">
        <v>0.6576388888888889</v>
      </c>
      <c r="N25" s="1" t="s">
        <v>182</v>
      </c>
      <c r="O25" s="1" t="s">
        <v>28</v>
      </c>
      <c r="P25" s="4">
        <v>0.90625</v>
      </c>
      <c r="Q25" s="1" t="s">
        <v>183</v>
      </c>
      <c r="R25" s="1">
        <f t="shared" si="1"/>
        <v>109</v>
      </c>
      <c r="S25" s="1">
        <f t="shared" si="2"/>
        <v>98</v>
      </c>
      <c r="T25" s="5">
        <f t="shared" si="3"/>
        <v>109</v>
      </c>
      <c r="U25" s="5" t="s">
        <v>90</v>
      </c>
    </row>
    <row r="26">
      <c r="A26" s="1" t="s">
        <v>154</v>
      </c>
      <c r="B26" s="2">
        <v>25.0</v>
      </c>
      <c r="C26" s="1" t="s">
        <v>55</v>
      </c>
      <c r="D26" s="1" t="s">
        <v>42</v>
      </c>
      <c r="E26" s="3"/>
      <c r="F26" s="1" t="s">
        <v>30</v>
      </c>
      <c r="G26" s="4">
        <v>0.16875</v>
      </c>
      <c r="H26" s="1" t="s">
        <v>185</v>
      </c>
      <c r="I26" s="1" t="s">
        <v>28</v>
      </c>
      <c r="J26" s="4">
        <v>0.4326388888888889</v>
      </c>
      <c r="K26" s="1" t="s">
        <v>181</v>
      </c>
      <c r="L26" s="1" t="s">
        <v>30</v>
      </c>
      <c r="M26" s="4">
        <v>0.6965277777777777</v>
      </c>
      <c r="N26" s="1" t="s">
        <v>58</v>
      </c>
      <c r="O26" s="1" t="s">
        <v>28</v>
      </c>
      <c r="P26" s="4">
        <v>0.9423611111111111</v>
      </c>
      <c r="Q26" s="1" t="s">
        <v>77</v>
      </c>
      <c r="R26" s="1">
        <f t="shared" si="1"/>
        <v>99</v>
      </c>
      <c r="S26" s="1">
        <f t="shared" si="2"/>
        <v>79</v>
      </c>
      <c r="T26" s="5">
        <f t="shared" si="3"/>
        <v>99</v>
      </c>
      <c r="U26" s="5" t="s">
        <v>90</v>
      </c>
      <c r="Y26" s="6"/>
      <c r="Z26" s="6"/>
      <c r="AA26" s="6"/>
      <c r="AB26" s="6"/>
      <c r="AC26" s="6"/>
      <c r="AD26" s="6"/>
      <c r="AE26" s="6"/>
    </row>
    <row r="27">
      <c r="A27" s="1" t="s">
        <v>154</v>
      </c>
      <c r="B27" s="2">
        <v>26.0</v>
      </c>
      <c r="C27" s="1" t="s">
        <v>25</v>
      </c>
      <c r="D27" s="6"/>
      <c r="E27" s="7" t="s">
        <v>184</v>
      </c>
      <c r="F27" s="1" t="s">
        <v>30</v>
      </c>
      <c r="G27" s="4">
        <v>0.19583333333333333</v>
      </c>
      <c r="H27" s="1" t="s">
        <v>186</v>
      </c>
      <c r="I27" s="1" t="s">
        <v>28</v>
      </c>
      <c r="J27" s="4">
        <v>0.4666666666666667</v>
      </c>
      <c r="K27" s="1" t="s">
        <v>181</v>
      </c>
      <c r="L27" s="1" t="s">
        <v>30</v>
      </c>
      <c r="M27" s="4">
        <v>0.7465277777777778</v>
      </c>
      <c r="N27" s="1" t="s">
        <v>186</v>
      </c>
      <c r="O27" s="1" t="s">
        <v>28</v>
      </c>
      <c r="P27" s="4">
        <v>0.9888888888888889</v>
      </c>
      <c r="Q27" s="1" t="s">
        <v>187</v>
      </c>
      <c r="R27" s="1">
        <f t="shared" si="1"/>
        <v>88</v>
      </c>
      <c r="S27" s="1">
        <f t="shared" si="2"/>
        <v>60</v>
      </c>
      <c r="T27" s="5">
        <f t="shared" si="3"/>
        <v>88</v>
      </c>
      <c r="U27" s="5" t="s">
        <v>39</v>
      </c>
      <c r="Y27" s="8" t="s">
        <v>188</v>
      </c>
    </row>
    <row r="28">
      <c r="A28" s="1" t="s">
        <v>154</v>
      </c>
      <c r="B28" s="2">
        <v>27.0</v>
      </c>
      <c r="C28" s="1" t="s">
        <v>75</v>
      </c>
      <c r="D28" s="6"/>
      <c r="E28" s="3"/>
      <c r="F28" s="1" t="s">
        <v>30</v>
      </c>
      <c r="G28" s="4">
        <v>0.2298611111111111</v>
      </c>
      <c r="H28" s="1" t="s">
        <v>118</v>
      </c>
      <c r="I28" s="1" t="s">
        <v>28</v>
      </c>
      <c r="J28" s="4">
        <v>0.5104166666666666</v>
      </c>
      <c r="K28" s="1" t="s">
        <v>189</v>
      </c>
      <c r="L28" s="1" t="s">
        <v>30</v>
      </c>
      <c r="M28" s="4">
        <v>0.8131944444444444</v>
      </c>
      <c r="N28" s="1" t="s">
        <v>88</v>
      </c>
      <c r="R28" s="1">
        <f t="shared" si="1"/>
        <v>76</v>
      </c>
      <c r="S28" s="1">
        <f t="shared" si="2"/>
        <v>62</v>
      </c>
      <c r="T28" s="5">
        <f t="shared" si="3"/>
        <v>76</v>
      </c>
      <c r="U28" s="5" t="s">
        <v>39</v>
      </c>
      <c r="Y28" s="9" t="s">
        <v>48</v>
      </c>
      <c r="Z28" s="9" t="s">
        <v>49</v>
      </c>
      <c r="AA28" s="9" t="s">
        <v>50</v>
      </c>
      <c r="AB28" s="9" t="s">
        <v>51</v>
      </c>
      <c r="AC28" s="9" t="s">
        <v>52</v>
      </c>
      <c r="AD28" s="9" t="s">
        <v>53</v>
      </c>
      <c r="AE28" s="9" t="s">
        <v>54</v>
      </c>
    </row>
    <row r="29">
      <c r="A29" s="1" t="s">
        <v>154</v>
      </c>
      <c r="B29" s="2">
        <v>28.0</v>
      </c>
      <c r="C29" s="1" t="s">
        <v>86</v>
      </c>
      <c r="D29" s="6"/>
      <c r="E29" s="3"/>
      <c r="F29" s="1" t="s">
        <v>28</v>
      </c>
      <c r="G29" s="4">
        <v>0.06388888888888888</v>
      </c>
      <c r="H29" s="1" t="s">
        <v>116</v>
      </c>
      <c r="I29" s="1" t="s">
        <v>30</v>
      </c>
      <c r="J29" s="4">
        <v>0.27847222222222223</v>
      </c>
      <c r="K29" s="1" t="s">
        <v>127</v>
      </c>
      <c r="L29" s="1" t="s">
        <v>28</v>
      </c>
      <c r="M29" s="4">
        <v>0.5673611111111111</v>
      </c>
      <c r="N29" s="1" t="s">
        <v>190</v>
      </c>
      <c r="O29" s="1" t="s">
        <v>30</v>
      </c>
      <c r="P29" s="4">
        <v>0.8833333333333333</v>
      </c>
      <c r="Q29" s="1" t="s">
        <v>185</v>
      </c>
      <c r="R29" s="1">
        <f t="shared" si="1"/>
        <v>29</v>
      </c>
      <c r="S29" s="1">
        <f t="shared" si="2"/>
        <v>101</v>
      </c>
      <c r="T29" s="5">
        <f t="shared" si="3"/>
        <v>101</v>
      </c>
      <c r="U29" s="5" t="s">
        <v>90</v>
      </c>
      <c r="Y29" s="10" t="s">
        <v>60</v>
      </c>
      <c r="Z29" s="10" t="s">
        <v>60</v>
      </c>
      <c r="AA29" s="10" t="s">
        <v>60</v>
      </c>
      <c r="AB29" s="10" t="s">
        <v>60</v>
      </c>
      <c r="AC29" s="10" t="s">
        <v>60</v>
      </c>
      <c r="AD29" s="10" t="s">
        <v>60</v>
      </c>
      <c r="AE29" s="11" t="s">
        <v>133</v>
      </c>
    </row>
    <row r="30">
      <c r="A30" s="1" t="s">
        <v>154</v>
      </c>
      <c r="B30" s="2">
        <v>29.0</v>
      </c>
      <c r="C30" s="1" t="s">
        <v>26</v>
      </c>
      <c r="D30" s="6"/>
      <c r="E30" s="3"/>
      <c r="F30" s="1" t="s">
        <v>28</v>
      </c>
      <c r="G30" s="4">
        <v>0.14791666666666667</v>
      </c>
      <c r="H30" s="1" t="s">
        <v>116</v>
      </c>
      <c r="I30" s="1" t="s">
        <v>30</v>
      </c>
      <c r="J30" s="4">
        <v>0.34375</v>
      </c>
      <c r="K30" s="1" t="s">
        <v>191</v>
      </c>
      <c r="L30" s="1" t="s">
        <v>28</v>
      </c>
      <c r="M30" s="4">
        <v>0.6270833333333333</v>
      </c>
      <c r="N30" s="1" t="s">
        <v>192</v>
      </c>
      <c r="O30" s="1" t="s">
        <v>30</v>
      </c>
      <c r="P30" s="4">
        <v>0.9361111111111111</v>
      </c>
      <c r="Q30" s="1" t="s">
        <v>98</v>
      </c>
      <c r="R30" s="1">
        <f t="shared" si="1"/>
        <v>25</v>
      </c>
      <c r="S30" s="1">
        <f t="shared" si="2"/>
        <v>123</v>
      </c>
      <c r="T30" s="5">
        <f t="shared" si="3"/>
        <v>123</v>
      </c>
      <c r="U30" s="5" t="s">
        <v>90</v>
      </c>
      <c r="Y30" s="10" t="s">
        <v>62</v>
      </c>
      <c r="Z30" s="10" t="s">
        <v>193</v>
      </c>
      <c r="AA30" s="10" t="s">
        <v>138</v>
      </c>
      <c r="AB30" s="10" t="s">
        <v>68</v>
      </c>
      <c r="AC30" s="10" t="s">
        <v>69</v>
      </c>
      <c r="AD30" s="11" t="s">
        <v>141</v>
      </c>
      <c r="AE30" s="11" t="s">
        <v>194</v>
      </c>
    </row>
    <row r="31">
      <c r="A31" s="1" t="s">
        <v>154</v>
      </c>
      <c r="B31" s="2">
        <v>30.0</v>
      </c>
      <c r="C31" s="1" t="s">
        <v>34</v>
      </c>
      <c r="D31" s="6"/>
      <c r="E31" s="3"/>
      <c r="F31" s="1" t="s">
        <v>28</v>
      </c>
      <c r="G31" s="4">
        <v>0.2</v>
      </c>
      <c r="H31" s="1" t="s">
        <v>130</v>
      </c>
      <c r="I31" s="1" t="s">
        <v>30</v>
      </c>
      <c r="J31" s="4">
        <v>0.4027777777777778</v>
      </c>
      <c r="K31" s="1" t="s">
        <v>127</v>
      </c>
      <c r="L31" s="1" t="s">
        <v>28</v>
      </c>
      <c r="M31" s="4">
        <v>0.675</v>
      </c>
      <c r="N31" s="1" t="s">
        <v>195</v>
      </c>
      <c r="O31" s="1" t="s">
        <v>30</v>
      </c>
      <c r="P31" s="4">
        <v>0.9756944444444444</v>
      </c>
      <c r="Q31" s="1" t="s">
        <v>87</v>
      </c>
      <c r="R31" s="1">
        <f t="shared" si="1"/>
        <v>38</v>
      </c>
      <c r="S31" s="1">
        <f t="shared" si="2"/>
        <v>149</v>
      </c>
      <c r="T31" s="5">
        <f t="shared" si="3"/>
        <v>149</v>
      </c>
      <c r="U31" s="5" t="s">
        <v>47</v>
      </c>
      <c r="Y31" s="10" t="s">
        <v>196</v>
      </c>
      <c r="Z31" s="10" t="s">
        <v>149</v>
      </c>
      <c r="AA31" s="10" t="s">
        <v>197</v>
      </c>
      <c r="AB31" s="10" t="s">
        <v>79</v>
      </c>
      <c r="AC31" s="10" t="s">
        <v>80</v>
      </c>
      <c r="AD31" s="11" t="s">
        <v>198</v>
      </c>
      <c r="AE31" s="11" t="s">
        <v>199</v>
      </c>
    </row>
    <row r="32">
      <c r="A32" s="1" t="s">
        <v>154</v>
      </c>
      <c r="B32" s="2">
        <v>31.0</v>
      </c>
      <c r="C32" s="1" t="s">
        <v>41</v>
      </c>
      <c r="D32" s="1" t="s">
        <v>42</v>
      </c>
      <c r="E32" s="3"/>
      <c r="F32" s="1" t="s">
        <v>28</v>
      </c>
      <c r="G32" s="4">
        <v>0.23402777777777778</v>
      </c>
      <c r="H32" s="1" t="s">
        <v>36</v>
      </c>
      <c r="I32" s="1" t="s">
        <v>30</v>
      </c>
      <c r="J32" s="4">
        <v>0.4479166666666667</v>
      </c>
      <c r="K32" s="1" t="s">
        <v>200</v>
      </c>
      <c r="L32" s="1" t="s">
        <v>28</v>
      </c>
      <c r="M32" s="4">
        <v>0.7131944444444445</v>
      </c>
      <c r="N32" s="1" t="s">
        <v>38</v>
      </c>
      <c r="R32" s="1">
        <f t="shared" si="1"/>
        <v>55</v>
      </c>
      <c r="S32" s="1">
        <f t="shared" si="2"/>
        <v>65</v>
      </c>
      <c r="T32" s="5">
        <f t="shared" si="3"/>
        <v>65</v>
      </c>
      <c r="U32" s="5" t="s">
        <v>39</v>
      </c>
      <c r="Y32" s="10" t="s">
        <v>83</v>
      </c>
      <c r="Z32" s="10" t="s">
        <v>201</v>
      </c>
      <c r="AA32" s="10" t="s">
        <v>202</v>
      </c>
      <c r="AB32" s="10" t="s">
        <v>203</v>
      </c>
      <c r="AC32" s="10" t="s">
        <v>92</v>
      </c>
      <c r="AD32" s="11" t="s">
        <v>164</v>
      </c>
      <c r="AE32" s="11" t="s">
        <v>204</v>
      </c>
    </row>
    <row r="33">
      <c r="A33" s="1" t="s">
        <v>258</v>
      </c>
      <c r="B33" s="2">
        <v>1.0</v>
      </c>
      <c r="C33" s="1" t="s">
        <v>55</v>
      </c>
      <c r="D33" s="1" t="s">
        <v>42</v>
      </c>
      <c r="E33" s="3"/>
      <c r="F33" s="1" t="s">
        <v>30</v>
      </c>
      <c r="G33" s="4">
        <v>0.007638888888888889</v>
      </c>
      <c r="H33" s="1" t="s">
        <v>33</v>
      </c>
      <c r="I33" s="1" t="s">
        <v>28</v>
      </c>
      <c r="J33" s="4">
        <v>0.2625</v>
      </c>
      <c r="K33" s="1" t="s">
        <v>77</v>
      </c>
      <c r="L33" s="1" t="s">
        <v>30</v>
      </c>
      <c r="M33" s="4">
        <v>0.4840277777777778</v>
      </c>
      <c r="N33" s="1" t="s">
        <v>99</v>
      </c>
      <c r="O33" s="1" t="s">
        <v>28</v>
      </c>
      <c r="P33" s="4">
        <v>0.7465277777777778</v>
      </c>
      <c r="Q33" s="1" t="s">
        <v>205</v>
      </c>
      <c r="R33" s="1">
        <f t="shared" si="1"/>
        <v>121</v>
      </c>
      <c r="S33" s="1">
        <f t="shared" si="2"/>
        <v>131</v>
      </c>
      <c r="T33" s="5">
        <f t="shared" si="3"/>
        <v>131</v>
      </c>
      <c r="U33" s="5" t="s">
        <v>47</v>
      </c>
      <c r="Y33" s="10" t="s">
        <v>206</v>
      </c>
      <c r="Z33" s="10" t="s">
        <v>207</v>
      </c>
      <c r="AA33" s="10" t="s">
        <v>169</v>
      </c>
      <c r="AB33" s="10" t="s">
        <v>101</v>
      </c>
      <c r="AC33" s="10" t="s">
        <v>208</v>
      </c>
      <c r="AD33" s="11" t="s">
        <v>209</v>
      </c>
      <c r="AE33" s="11" t="s">
        <v>210</v>
      </c>
    </row>
    <row r="34">
      <c r="A34" s="1" t="s">
        <v>258</v>
      </c>
      <c r="B34" s="2">
        <v>2.0</v>
      </c>
      <c r="C34" s="1" t="s">
        <v>25</v>
      </c>
      <c r="D34" s="6"/>
      <c r="E34" s="7" t="s">
        <v>35</v>
      </c>
      <c r="F34" s="1" t="s">
        <v>30</v>
      </c>
      <c r="G34" s="4">
        <v>0.03611111111111111</v>
      </c>
      <c r="H34" s="1" t="s">
        <v>76</v>
      </c>
      <c r="I34" s="1" t="s">
        <v>28</v>
      </c>
      <c r="J34" s="4">
        <v>0.28680555555555554</v>
      </c>
      <c r="K34" s="1" t="s">
        <v>176</v>
      </c>
      <c r="L34" s="1" t="s">
        <v>30</v>
      </c>
      <c r="M34" s="4">
        <v>0.5152777777777777</v>
      </c>
      <c r="N34" s="1" t="s">
        <v>182</v>
      </c>
      <c r="O34" s="1" t="s">
        <v>28</v>
      </c>
      <c r="P34" s="4">
        <v>0.7763888888888889</v>
      </c>
      <c r="Q34" s="1" t="s">
        <v>211</v>
      </c>
      <c r="R34" s="1">
        <f t="shared" si="1"/>
        <v>131</v>
      </c>
      <c r="S34" s="1">
        <f t="shared" si="2"/>
        <v>142</v>
      </c>
      <c r="T34" s="5">
        <f t="shared" si="3"/>
        <v>142</v>
      </c>
      <c r="U34" s="5" t="s">
        <v>47</v>
      </c>
      <c r="Y34" s="10" t="s">
        <v>105</v>
      </c>
      <c r="Z34" s="10" t="s">
        <v>212</v>
      </c>
      <c r="AA34" s="10" t="s">
        <v>60</v>
      </c>
      <c r="AB34" s="10" t="s">
        <v>60</v>
      </c>
      <c r="AC34" s="10" t="s">
        <v>60</v>
      </c>
      <c r="AD34" s="10" t="s">
        <v>60</v>
      </c>
      <c r="AE34" s="10" t="s">
        <v>60</v>
      </c>
    </row>
    <row r="35">
      <c r="A35" s="1" t="s">
        <v>258</v>
      </c>
      <c r="B35" s="2">
        <v>3.0</v>
      </c>
      <c r="C35" s="1" t="s">
        <v>75</v>
      </c>
      <c r="D35" s="6"/>
      <c r="E35" s="3"/>
      <c r="F35" s="1" t="s">
        <v>30</v>
      </c>
      <c r="G35" s="4">
        <v>0.06041666666666667</v>
      </c>
      <c r="H35" s="1" t="s">
        <v>213</v>
      </c>
      <c r="I35" s="1" t="s">
        <v>28</v>
      </c>
      <c r="J35" s="4">
        <v>0.30972222222222223</v>
      </c>
      <c r="K35" s="1" t="s">
        <v>214</v>
      </c>
      <c r="L35" s="1" t="s">
        <v>30</v>
      </c>
      <c r="M35" s="4">
        <v>0.5444444444444444</v>
      </c>
      <c r="N35" s="1" t="s">
        <v>185</v>
      </c>
      <c r="O35" s="1" t="s">
        <v>28</v>
      </c>
      <c r="P35" s="4">
        <v>0.8034722222222223</v>
      </c>
      <c r="Q35" s="1" t="s">
        <v>205</v>
      </c>
      <c r="R35" s="1">
        <f t="shared" si="1"/>
        <v>133</v>
      </c>
      <c r="S35" s="1">
        <f t="shared" si="2"/>
        <v>144</v>
      </c>
      <c r="T35" s="5">
        <f t="shared" si="3"/>
        <v>144</v>
      </c>
      <c r="U35" s="5" t="s">
        <v>47</v>
      </c>
      <c r="Y35" s="6"/>
      <c r="Z35" s="6"/>
      <c r="AA35" s="6"/>
      <c r="AB35" s="6"/>
      <c r="AC35" s="6"/>
      <c r="AD35" s="6"/>
      <c r="AE35" s="6"/>
    </row>
    <row r="36">
      <c r="A36" s="1" t="s">
        <v>258</v>
      </c>
      <c r="B36" s="2">
        <v>4.0</v>
      </c>
      <c r="C36" s="1" t="s">
        <v>86</v>
      </c>
      <c r="D36" s="6"/>
      <c r="E36" s="3"/>
      <c r="F36" s="1" t="s">
        <v>30</v>
      </c>
      <c r="G36" s="4">
        <v>0.08263888888888889</v>
      </c>
      <c r="H36" s="1" t="s">
        <v>87</v>
      </c>
      <c r="I36" s="1" t="s">
        <v>28</v>
      </c>
      <c r="J36" s="4">
        <v>0.33125</v>
      </c>
      <c r="K36" s="1" t="s">
        <v>100</v>
      </c>
      <c r="L36" s="1" t="s">
        <v>30</v>
      </c>
      <c r="M36" s="4">
        <v>0.5715277777777777</v>
      </c>
      <c r="N36" s="1" t="s">
        <v>215</v>
      </c>
      <c r="O36" s="1" t="s">
        <v>28</v>
      </c>
      <c r="P36" s="4">
        <v>0.8291666666666667</v>
      </c>
      <c r="Q36" s="1" t="s">
        <v>216</v>
      </c>
      <c r="R36" s="1">
        <f t="shared" si="1"/>
        <v>130</v>
      </c>
      <c r="S36" s="1">
        <f t="shared" si="2"/>
        <v>137</v>
      </c>
      <c r="T36" s="5">
        <f t="shared" si="3"/>
        <v>137</v>
      </c>
      <c r="U36" s="5" t="s">
        <v>47</v>
      </c>
      <c r="Y36" s="6"/>
      <c r="Z36" s="6"/>
      <c r="AA36" s="6"/>
      <c r="AB36" s="6"/>
      <c r="AC36" s="6"/>
      <c r="AD36" s="6"/>
      <c r="AE36" s="6"/>
    </row>
    <row r="37">
      <c r="A37" s="1" t="s">
        <v>258</v>
      </c>
      <c r="B37" s="2">
        <v>5.0</v>
      </c>
      <c r="C37" s="1" t="s">
        <v>26</v>
      </c>
      <c r="D37" s="6"/>
      <c r="E37" s="3"/>
      <c r="F37" s="1" t="s">
        <v>30</v>
      </c>
      <c r="G37" s="4">
        <v>0.10208333333333333</v>
      </c>
      <c r="H37" s="1" t="s">
        <v>217</v>
      </c>
      <c r="I37" s="1" t="s">
        <v>28</v>
      </c>
      <c r="J37" s="4">
        <v>0.35138888888888886</v>
      </c>
      <c r="K37" s="1" t="s">
        <v>218</v>
      </c>
      <c r="L37" s="1" t="s">
        <v>30</v>
      </c>
      <c r="M37" s="4">
        <v>0.5979166666666667</v>
      </c>
      <c r="N37" s="1" t="s">
        <v>185</v>
      </c>
      <c r="O37" s="1" t="s">
        <v>28</v>
      </c>
      <c r="P37" s="4">
        <v>0.8527777777777777</v>
      </c>
      <c r="Q37" s="1" t="s">
        <v>195</v>
      </c>
      <c r="R37" s="1">
        <f t="shared" si="1"/>
        <v>122</v>
      </c>
      <c r="S37" s="1">
        <f t="shared" si="2"/>
        <v>123</v>
      </c>
      <c r="T37" s="5">
        <f t="shared" si="3"/>
        <v>123</v>
      </c>
      <c r="U37" s="5" t="s">
        <v>90</v>
      </c>
    </row>
    <row r="38">
      <c r="A38" s="1" t="s">
        <v>258</v>
      </c>
      <c r="B38" s="2">
        <v>6.0</v>
      </c>
      <c r="C38" s="1" t="s">
        <v>34</v>
      </c>
      <c r="D38" s="6"/>
      <c r="E38" s="3"/>
      <c r="F38" s="1" t="s">
        <v>30</v>
      </c>
      <c r="G38" s="4">
        <v>0.11944444444444445</v>
      </c>
      <c r="H38" s="1" t="s">
        <v>219</v>
      </c>
      <c r="I38" s="1" t="s">
        <v>28</v>
      </c>
      <c r="J38" s="4">
        <v>0.3715277777777778</v>
      </c>
      <c r="K38" s="1" t="s">
        <v>218</v>
      </c>
      <c r="L38" s="1" t="s">
        <v>30</v>
      </c>
      <c r="M38" s="4">
        <v>0.6236111111111111</v>
      </c>
      <c r="N38" s="1" t="s">
        <v>182</v>
      </c>
      <c r="O38" s="1" t="s">
        <v>28</v>
      </c>
      <c r="P38" s="4">
        <v>0.8763888888888889</v>
      </c>
      <c r="Q38" s="1" t="s">
        <v>220</v>
      </c>
      <c r="R38" s="1">
        <f t="shared" si="1"/>
        <v>111</v>
      </c>
      <c r="S38" s="1">
        <f t="shared" si="2"/>
        <v>103</v>
      </c>
      <c r="T38" s="5">
        <f t="shared" si="3"/>
        <v>111</v>
      </c>
      <c r="U38" s="5" t="s">
        <v>90</v>
      </c>
      <c r="Y38" s="6"/>
      <c r="Z38" s="6"/>
      <c r="AA38" s="6"/>
      <c r="AB38" s="6"/>
      <c r="AC38" s="6"/>
      <c r="AD38" s="6"/>
      <c r="AE38" s="6"/>
    </row>
    <row r="39">
      <c r="A39" s="1" t="s">
        <v>258</v>
      </c>
      <c r="B39" s="2">
        <v>7.0</v>
      </c>
      <c r="C39" s="1" t="s">
        <v>41</v>
      </c>
      <c r="D39" s="1" t="s">
        <v>42</v>
      </c>
      <c r="E39" s="3"/>
      <c r="F39" s="1" t="s">
        <v>30</v>
      </c>
      <c r="G39" s="4">
        <v>0.13680555555555557</v>
      </c>
      <c r="H39" s="1" t="s">
        <v>182</v>
      </c>
      <c r="I39" s="1" t="s">
        <v>28</v>
      </c>
      <c r="J39" s="4">
        <v>0.3923611111111111</v>
      </c>
      <c r="K39" s="1" t="s">
        <v>183</v>
      </c>
      <c r="L39" s="1" t="s">
        <v>30</v>
      </c>
      <c r="M39" s="4">
        <v>0.6513888888888889</v>
      </c>
      <c r="N39" s="1" t="s">
        <v>45</v>
      </c>
      <c r="O39" s="1" t="s">
        <v>28</v>
      </c>
      <c r="P39" s="4">
        <v>0.9</v>
      </c>
      <c r="Q39" s="1" t="s">
        <v>173</v>
      </c>
      <c r="R39" s="1">
        <f t="shared" si="1"/>
        <v>98</v>
      </c>
      <c r="S39" s="1">
        <f t="shared" si="2"/>
        <v>80</v>
      </c>
      <c r="T39" s="5">
        <f t="shared" si="3"/>
        <v>98</v>
      </c>
      <c r="U39" s="5" t="s">
        <v>90</v>
      </c>
      <c r="Y39" s="8" t="s">
        <v>221</v>
      </c>
    </row>
    <row r="40">
      <c r="A40" s="1" t="s">
        <v>258</v>
      </c>
      <c r="B40" s="2">
        <v>8.0</v>
      </c>
      <c r="C40" s="1" t="s">
        <v>55</v>
      </c>
      <c r="D40" s="1" t="s">
        <v>42</v>
      </c>
      <c r="E40" s="3"/>
      <c r="F40" s="1" t="s">
        <v>30</v>
      </c>
      <c r="G40" s="4">
        <v>0.15347222222222223</v>
      </c>
      <c r="H40" s="1" t="s">
        <v>146</v>
      </c>
      <c r="I40" s="1" t="s">
        <v>28</v>
      </c>
      <c r="J40" s="4">
        <v>0.41458333333333336</v>
      </c>
      <c r="K40" s="1" t="s">
        <v>214</v>
      </c>
      <c r="L40" s="1" t="s">
        <v>30</v>
      </c>
      <c r="M40" s="4">
        <v>0.6840277777777778</v>
      </c>
      <c r="N40" s="1" t="s">
        <v>134</v>
      </c>
      <c r="O40" s="1" t="s">
        <v>28</v>
      </c>
      <c r="P40" s="4">
        <v>0.9256944444444445</v>
      </c>
      <c r="Q40" s="1" t="s">
        <v>222</v>
      </c>
      <c r="R40" s="1">
        <f t="shared" si="1"/>
        <v>85</v>
      </c>
      <c r="S40" s="1">
        <f t="shared" si="2"/>
        <v>56</v>
      </c>
      <c r="T40" s="5">
        <f t="shared" si="3"/>
        <v>85</v>
      </c>
      <c r="U40" s="5" t="s">
        <v>39</v>
      </c>
      <c r="Y40" s="9" t="s">
        <v>48</v>
      </c>
      <c r="Z40" s="9" t="s">
        <v>49</v>
      </c>
      <c r="AA40" s="9" t="s">
        <v>50</v>
      </c>
      <c r="AB40" s="9" t="s">
        <v>51</v>
      </c>
      <c r="AC40" s="9" t="s">
        <v>52</v>
      </c>
      <c r="AD40" s="9" t="s">
        <v>53</v>
      </c>
      <c r="AE40" s="9" t="s">
        <v>54</v>
      </c>
    </row>
    <row r="41">
      <c r="A41" s="1" t="s">
        <v>258</v>
      </c>
      <c r="B41" s="2">
        <v>9.0</v>
      </c>
      <c r="C41" s="1" t="s">
        <v>25</v>
      </c>
      <c r="D41" s="6"/>
      <c r="E41" s="7" t="s">
        <v>107</v>
      </c>
      <c r="F41" s="1" t="s">
        <v>30</v>
      </c>
      <c r="G41" s="4">
        <v>0.17222222222222222</v>
      </c>
      <c r="H41" s="1" t="s">
        <v>223</v>
      </c>
      <c r="I41" s="1" t="s">
        <v>28</v>
      </c>
      <c r="J41" s="4">
        <v>0.44166666666666665</v>
      </c>
      <c r="K41" s="1" t="s">
        <v>176</v>
      </c>
      <c r="L41" s="1" t="s">
        <v>30</v>
      </c>
      <c r="M41" s="4">
        <v>0.7277777777777777</v>
      </c>
      <c r="N41" s="1" t="s">
        <v>224</v>
      </c>
      <c r="O41" s="1" t="s">
        <v>28</v>
      </c>
      <c r="P41" s="4">
        <v>0.9631944444444445</v>
      </c>
      <c r="Q41" s="1" t="s">
        <v>225</v>
      </c>
      <c r="R41" s="1">
        <f t="shared" si="1"/>
        <v>70</v>
      </c>
      <c r="S41" s="1">
        <f t="shared" si="2"/>
        <v>34</v>
      </c>
      <c r="T41" s="5">
        <f t="shared" si="3"/>
        <v>70</v>
      </c>
      <c r="U41" s="5" t="s">
        <v>39</v>
      </c>
      <c r="Y41" s="10" t="s">
        <v>60</v>
      </c>
      <c r="Z41" s="10" t="s">
        <v>60</v>
      </c>
      <c r="AA41" s="10" t="s">
        <v>226</v>
      </c>
      <c r="AB41" s="10" t="s">
        <v>136</v>
      </c>
      <c r="AC41" s="10" t="s">
        <v>227</v>
      </c>
      <c r="AD41" s="11" t="s">
        <v>228</v>
      </c>
      <c r="AE41" s="11" t="s">
        <v>229</v>
      </c>
    </row>
    <row r="42">
      <c r="A42" s="1" t="s">
        <v>258</v>
      </c>
      <c r="B42" s="2">
        <v>10.0</v>
      </c>
      <c r="C42" s="1" t="s">
        <v>75</v>
      </c>
      <c r="D42" s="6"/>
      <c r="E42" s="3"/>
      <c r="F42" s="1" t="s">
        <v>30</v>
      </c>
      <c r="G42" s="4">
        <v>0.19652777777777777</v>
      </c>
      <c r="H42" s="1" t="s">
        <v>191</v>
      </c>
      <c r="I42" s="1" t="s">
        <v>28</v>
      </c>
      <c r="J42" s="4">
        <v>0.4798611111111111</v>
      </c>
      <c r="K42" s="1" t="s">
        <v>230</v>
      </c>
      <c r="L42" s="1" t="s">
        <v>30</v>
      </c>
      <c r="M42" s="4">
        <v>0.8</v>
      </c>
      <c r="N42" s="1" t="s">
        <v>120</v>
      </c>
      <c r="R42" s="1">
        <f t="shared" si="1"/>
        <v>55</v>
      </c>
      <c r="S42" s="1">
        <f t="shared" si="2"/>
        <v>39</v>
      </c>
      <c r="T42" s="5">
        <f t="shared" si="3"/>
        <v>55</v>
      </c>
      <c r="U42" s="5" t="s">
        <v>39</v>
      </c>
      <c r="Y42" s="10" t="s">
        <v>231</v>
      </c>
      <c r="Z42" s="10" t="s">
        <v>70</v>
      </c>
      <c r="AA42" s="10" t="s">
        <v>232</v>
      </c>
      <c r="AB42" s="10" t="s">
        <v>72</v>
      </c>
      <c r="AC42" s="10" t="s">
        <v>233</v>
      </c>
      <c r="AD42" s="11" t="s">
        <v>74</v>
      </c>
      <c r="AE42" s="11" t="s">
        <v>234</v>
      </c>
    </row>
    <row r="43">
      <c r="A43" s="1" t="s">
        <v>258</v>
      </c>
      <c r="B43" s="2">
        <v>11.0</v>
      </c>
      <c r="C43" s="1" t="s">
        <v>86</v>
      </c>
      <c r="D43" s="6"/>
      <c r="E43" s="3"/>
      <c r="F43" s="1" t="s">
        <v>28</v>
      </c>
      <c r="G43" s="4">
        <v>0.059027777777777776</v>
      </c>
      <c r="H43" s="1" t="s">
        <v>235</v>
      </c>
      <c r="I43" s="1" t="s">
        <v>30</v>
      </c>
      <c r="J43" s="4">
        <v>0.24027777777777778</v>
      </c>
      <c r="K43" s="1" t="s">
        <v>236</v>
      </c>
      <c r="L43" s="1" t="s">
        <v>28</v>
      </c>
      <c r="M43" s="4">
        <v>0.5395833333333333</v>
      </c>
      <c r="N43" s="1" t="s">
        <v>77</v>
      </c>
      <c r="O43" s="1" t="s">
        <v>30</v>
      </c>
      <c r="P43" s="4">
        <v>0.8868055555555555</v>
      </c>
      <c r="Q43" s="1" t="s">
        <v>115</v>
      </c>
      <c r="R43" s="1">
        <f t="shared" si="1"/>
        <v>9</v>
      </c>
      <c r="S43" s="1">
        <f t="shared" si="2"/>
        <v>61</v>
      </c>
      <c r="T43" s="5">
        <f t="shared" si="3"/>
        <v>61</v>
      </c>
      <c r="U43" s="5" t="s">
        <v>39</v>
      </c>
      <c r="Y43" s="10" t="s">
        <v>151</v>
      </c>
      <c r="Z43" s="10" t="s">
        <v>81</v>
      </c>
      <c r="AA43" s="10" t="s">
        <v>237</v>
      </c>
      <c r="AB43" s="10" t="s">
        <v>83</v>
      </c>
      <c r="AC43" s="10" t="s">
        <v>238</v>
      </c>
      <c r="AD43" s="11" t="s">
        <v>239</v>
      </c>
      <c r="AE43" s="11" t="s">
        <v>240</v>
      </c>
    </row>
    <row r="44">
      <c r="A44" s="1" t="s">
        <v>258</v>
      </c>
      <c r="B44" s="2">
        <v>12.0</v>
      </c>
      <c r="C44" s="1" t="s">
        <v>26</v>
      </c>
      <c r="D44" s="6"/>
      <c r="E44" s="3"/>
      <c r="F44" s="1" t="s">
        <v>28</v>
      </c>
      <c r="G44" s="4">
        <v>0.15763888888888888</v>
      </c>
      <c r="H44" s="1" t="s">
        <v>121</v>
      </c>
      <c r="I44" s="1" t="s">
        <v>30</v>
      </c>
      <c r="J44" s="4">
        <v>0.31875</v>
      </c>
      <c r="K44" s="1" t="s">
        <v>241</v>
      </c>
      <c r="L44" s="1" t="s">
        <v>28</v>
      </c>
      <c r="M44" s="4">
        <v>0.6083333333333333</v>
      </c>
      <c r="N44" s="1" t="s">
        <v>173</v>
      </c>
      <c r="O44" s="1" t="s">
        <v>30</v>
      </c>
      <c r="P44" s="4">
        <v>0.9319444444444445</v>
      </c>
      <c r="Q44" s="1" t="s">
        <v>37</v>
      </c>
      <c r="R44" s="1">
        <f t="shared" si="1"/>
        <v>9</v>
      </c>
      <c r="S44" s="1">
        <f t="shared" si="2"/>
        <v>76</v>
      </c>
      <c r="T44" s="5">
        <f t="shared" si="3"/>
        <v>76</v>
      </c>
      <c r="U44" s="5" t="s">
        <v>39</v>
      </c>
      <c r="Y44" s="10" t="s">
        <v>92</v>
      </c>
      <c r="Z44" s="10" t="s">
        <v>93</v>
      </c>
      <c r="AA44" s="10" t="s">
        <v>242</v>
      </c>
      <c r="AB44" s="10" t="s">
        <v>243</v>
      </c>
      <c r="AC44" s="10" t="s">
        <v>244</v>
      </c>
      <c r="AD44" s="11" t="s">
        <v>245</v>
      </c>
      <c r="AE44" s="11" t="s">
        <v>246</v>
      </c>
    </row>
    <row r="45">
      <c r="A45" s="1" t="s">
        <v>258</v>
      </c>
      <c r="B45" s="2">
        <v>13.0</v>
      </c>
      <c r="C45" s="1" t="s">
        <v>34</v>
      </c>
      <c r="D45" s="6"/>
      <c r="E45" s="3"/>
      <c r="F45" s="1" t="s">
        <v>28</v>
      </c>
      <c r="G45" s="4">
        <v>0.19652777777777777</v>
      </c>
      <c r="H45" s="1" t="s">
        <v>247</v>
      </c>
      <c r="I45" s="1" t="s">
        <v>30</v>
      </c>
      <c r="J45" s="4">
        <v>0.38333333333333336</v>
      </c>
      <c r="K45" s="1" t="s">
        <v>248</v>
      </c>
      <c r="L45" s="1" t="s">
        <v>28</v>
      </c>
      <c r="M45" s="4">
        <v>0.6555555555555556</v>
      </c>
      <c r="N45" s="1" t="s">
        <v>128</v>
      </c>
      <c r="O45" s="1" t="s">
        <v>30</v>
      </c>
      <c r="P45" s="4">
        <v>0.9604166666666667</v>
      </c>
      <c r="Q45" s="1" t="s">
        <v>66</v>
      </c>
      <c r="R45" s="1">
        <f t="shared" si="1"/>
        <v>21</v>
      </c>
      <c r="S45" s="1">
        <f t="shared" si="2"/>
        <v>96</v>
      </c>
      <c r="T45" s="5">
        <f t="shared" si="3"/>
        <v>96</v>
      </c>
      <c r="U45" s="5" t="s">
        <v>90</v>
      </c>
      <c r="Y45" s="10" t="s">
        <v>208</v>
      </c>
      <c r="Z45" s="10" t="s">
        <v>103</v>
      </c>
      <c r="AA45" s="10" t="s">
        <v>104</v>
      </c>
      <c r="AB45" s="10" t="s">
        <v>105</v>
      </c>
      <c r="AC45" s="10" t="s">
        <v>60</v>
      </c>
      <c r="AD45" s="10" t="s">
        <v>60</v>
      </c>
      <c r="AE45" s="10" t="s">
        <v>60</v>
      </c>
    </row>
    <row r="46">
      <c r="A46" s="1" t="s">
        <v>258</v>
      </c>
      <c r="B46" s="2">
        <v>14.0</v>
      </c>
      <c r="C46" s="1" t="s">
        <v>41</v>
      </c>
      <c r="D46" s="1" t="s">
        <v>42</v>
      </c>
      <c r="E46" s="3"/>
      <c r="F46" s="1" t="s">
        <v>28</v>
      </c>
      <c r="G46" s="4">
        <v>0.21944444444444444</v>
      </c>
      <c r="H46" s="1" t="s">
        <v>249</v>
      </c>
      <c r="I46" s="1" t="s">
        <v>30</v>
      </c>
      <c r="J46" s="4">
        <v>0.425</v>
      </c>
      <c r="K46" s="1" t="s">
        <v>250</v>
      </c>
      <c r="L46" s="1" t="s">
        <v>28</v>
      </c>
      <c r="M46" s="4">
        <v>0.6881944444444444</v>
      </c>
      <c r="N46" s="1" t="s">
        <v>251</v>
      </c>
      <c r="O46" s="1" t="s">
        <v>30</v>
      </c>
      <c r="P46" s="4">
        <v>0.9833333333333333</v>
      </c>
      <c r="Q46" s="1" t="s">
        <v>252</v>
      </c>
      <c r="R46" s="1">
        <f t="shared" si="1"/>
        <v>37</v>
      </c>
      <c r="S46" s="1">
        <f t="shared" si="2"/>
        <v>117</v>
      </c>
      <c r="T46" s="5">
        <f t="shared" si="3"/>
        <v>117</v>
      </c>
      <c r="U46" s="5" t="s">
        <v>90</v>
      </c>
      <c r="Y46" s="10" t="s">
        <v>60</v>
      </c>
      <c r="Z46" s="10" t="s">
        <v>60</v>
      </c>
      <c r="AA46" s="10" t="s">
        <v>60</v>
      </c>
      <c r="AB46" s="10" t="s">
        <v>60</v>
      </c>
      <c r="AC46" s="10" t="s">
        <v>60</v>
      </c>
      <c r="AD46" s="10" t="s">
        <v>60</v>
      </c>
      <c r="AE46" s="10" t="s">
        <v>60</v>
      </c>
    </row>
    <row r="47">
      <c r="A47" s="1" t="s">
        <v>258</v>
      </c>
      <c r="B47" s="2">
        <v>15.0</v>
      </c>
      <c r="C47" s="1" t="s">
        <v>55</v>
      </c>
      <c r="D47" s="1" t="s">
        <v>253</v>
      </c>
      <c r="E47" s="3"/>
      <c r="F47" s="1" t="s">
        <v>28</v>
      </c>
      <c r="G47" s="4">
        <v>0.23819444444444443</v>
      </c>
      <c r="H47" s="1" t="s">
        <v>57</v>
      </c>
      <c r="I47" s="1" t="s">
        <v>30</v>
      </c>
      <c r="J47" s="4">
        <v>0.45625</v>
      </c>
      <c r="K47" s="1" t="s">
        <v>224</v>
      </c>
      <c r="L47" s="1" t="s">
        <v>28</v>
      </c>
      <c r="M47" s="4">
        <v>0.7152777777777778</v>
      </c>
      <c r="N47" s="1" t="s">
        <v>32</v>
      </c>
      <c r="R47" s="1">
        <f t="shared" si="1"/>
        <v>56</v>
      </c>
      <c r="S47" s="1">
        <f t="shared" si="2"/>
        <v>54</v>
      </c>
      <c r="T47" s="5">
        <f t="shared" si="3"/>
        <v>56</v>
      </c>
      <c r="U47" s="5" t="s">
        <v>39</v>
      </c>
      <c r="Y47" s="6"/>
      <c r="Z47" s="6"/>
      <c r="AA47" s="6"/>
      <c r="AB47" s="6"/>
      <c r="AC47" s="6"/>
      <c r="AD47" s="6"/>
      <c r="AE47" s="6"/>
    </row>
    <row r="48">
      <c r="A48" s="1" t="s">
        <v>258</v>
      </c>
      <c r="B48" s="2">
        <v>16.0</v>
      </c>
      <c r="C48" s="1" t="s">
        <v>25</v>
      </c>
      <c r="D48" s="1" t="s">
        <v>254</v>
      </c>
      <c r="E48" s="3"/>
      <c r="F48" s="1" t="s">
        <v>30</v>
      </c>
      <c r="G48" s="4">
        <v>0.003472222222222222</v>
      </c>
      <c r="H48" s="1" t="s">
        <v>255</v>
      </c>
      <c r="I48" s="1" t="s">
        <v>28</v>
      </c>
      <c r="J48" s="4">
        <v>0.2569444444444444</v>
      </c>
      <c r="K48" s="1" t="s">
        <v>256</v>
      </c>
      <c r="L48" s="1" t="s">
        <v>30</v>
      </c>
      <c r="M48" s="4">
        <v>0.4826388888888889</v>
      </c>
      <c r="N48" s="1" t="s">
        <v>257</v>
      </c>
      <c r="O48" s="1" t="s">
        <v>28</v>
      </c>
      <c r="P48" s="4">
        <v>0.7395833333333334</v>
      </c>
      <c r="Q48" s="1" t="s">
        <v>216</v>
      </c>
      <c r="R48" s="1">
        <f t="shared" si="1"/>
        <v>104</v>
      </c>
      <c r="S48" s="1">
        <f t="shared" si="2"/>
        <v>117</v>
      </c>
      <c r="T48" s="5">
        <f t="shared" si="3"/>
        <v>117</v>
      </c>
      <c r="U48" s="5" t="s">
        <v>90</v>
      </c>
      <c r="Y48" s="6"/>
      <c r="Z48" s="6"/>
      <c r="AA48" s="6"/>
      <c r="AB48" s="6"/>
      <c r="AC48" s="6"/>
      <c r="AD48" s="6"/>
      <c r="AE48" s="6"/>
    </row>
    <row r="49">
      <c r="A49" s="1" t="s">
        <v>258</v>
      </c>
      <c r="B49" s="2">
        <v>17.0</v>
      </c>
      <c r="C49" s="1" t="s">
        <v>75</v>
      </c>
      <c r="D49" s="1" t="s">
        <v>259</v>
      </c>
      <c r="E49" s="7" t="s">
        <v>143</v>
      </c>
      <c r="F49" s="1" t="s">
        <v>30</v>
      </c>
      <c r="G49" s="4">
        <v>0.02361111111111111</v>
      </c>
      <c r="H49" s="1" t="s">
        <v>260</v>
      </c>
      <c r="I49" s="1" t="s">
        <v>28</v>
      </c>
      <c r="J49" s="4">
        <v>0.275</v>
      </c>
      <c r="K49" s="1" t="s">
        <v>128</v>
      </c>
      <c r="L49" s="1" t="s">
        <v>30</v>
      </c>
      <c r="M49" s="4">
        <v>0.5076388888888889</v>
      </c>
      <c r="N49" s="1" t="s">
        <v>58</v>
      </c>
      <c r="O49" s="1" t="s">
        <v>28</v>
      </c>
      <c r="P49" s="4">
        <v>0.7638888888888888</v>
      </c>
      <c r="Q49" s="1" t="s">
        <v>67</v>
      </c>
      <c r="R49" s="1">
        <f t="shared" si="1"/>
        <v>118</v>
      </c>
      <c r="S49" s="1">
        <f t="shared" si="2"/>
        <v>134</v>
      </c>
      <c r="T49" s="5">
        <f t="shared" si="3"/>
        <v>134</v>
      </c>
      <c r="U49" s="5" t="s">
        <v>47</v>
      </c>
    </row>
    <row r="50">
      <c r="A50" s="1" t="s">
        <v>258</v>
      </c>
      <c r="B50" s="2">
        <v>18.0</v>
      </c>
      <c r="C50" s="1" t="s">
        <v>86</v>
      </c>
      <c r="D50" s="1" t="s">
        <v>259</v>
      </c>
      <c r="E50" s="3"/>
      <c r="F50" s="1" t="s">
        <v>30</v>
      </c>
      <c r="G50" s="4">
        <v>0.04236111111111111</v>
      </c>
      <c r="H50" s="1" t="s">
        <v>261</v>
      </c>
      <c r="I50" s="1" t="s">
        <v>28</v>
      </c>
      <c r="J50" s="4">
        <v>0.29375</v>
      </c>
      <c r="K50" s="1" t="s">
        <v>262</v>
      </c>
      <c r="L50" s="1" t="s">
        <v>30</v>
      </c>
      <c r="M50" s="4">
        <v>0.5333333333333333</v>
      </c>
      <c r="N50" s="1" t="s">
        <v>185</v>
      </c>
      <c r="O50" s="1" t="s">
        <v>28</v>
      </c>
      <c r="P50" s="4">
        <v>0.7875</v>
      </c>
      <c r="Q50" s="1" t="s">
        <v>59</v>
      </c>
      <c r="R50" s="1">
        <f t="shared" si="1"/>
        <v>128</v>
      </c>
      <c r="S50" s="1">
        <f t="shared" si="2"/>
        <v>145</v>
      </c>
      <c r="T50" s="5">
        <f t="shared" si="3"/>
        <v>145</v>
      </c>
      <c r="U50" s="5" t="s">
        <v>47</v>
      </c>
      <c r="Y50" s="6"/>
      <c r="Z50" s="6"/>
      <c r="AA50" s="6"/>
      <c r="AB50" s="6"/>
      <c r="AC50" s="6"/>
      <c r="AD50" s="6"/>
      <c r="AE50" s="6"/>
    </row>
    <row r="51">
      <c r="A51" s="1" t="s">
        <v>258</v>
      </c>
      <c r="B51" s="2">
        <v>19.0</v>
      </c>
      <c r="C51" s="1" t="s">
        <v>26</v>
      </c>
      <c r="D51" s="1" t="s">
        <v>259</v>
      </c>
      <c r="E51" s="3"/>
      <c r="F51" s="1" t="s">
        <v>30</v>
      </c>
      <c r="G51" s="4">
        <v>0.06180555555555556</v>
      </c>
      <c r="H51" s="1" t="s">
        <v>261</v>
      </c>
      <c r="I51" s="1" t="s">
        <v>28</v>
      </c>
      <c r="J51" s="4">
        <v>0.3125</v>
      </c>
      <c r="K51" s="1" t="s">
        <v>179</v>
      </c>
      <c r="L51" s="1" t="s">
        <v>30</v>
      </c>
      <c r="M51" s="4">
        <v>0.5583333333333333</v>
      </c>
      <c r="N51" s="1" t="s">
        <v>219</v>
      </c>
      <c r="O51" s="1" t="s">
        <v>28</v>
      </c>
      <c r="P51" s="4">
        <v>0.8118055555555556</v>
      </c>
      <c r="Q51" s="1" t="s">
        <v>67</v>
      </c>
      <c r="R51" s="1">
        <f t="shared" si="1"/>
        <v>135</v>
      </c>
      <c r="S51" s="1">
        <f t="shared" si="2"/>
        <v>148</v>
      </c>
      <c r="T51" s="5">
        <f t="shared" si="3"/>
        <v>148</v>
      </c>
      <c r="U51" s="5" t="s">
        <v>47</v>
      </c>
      <c r="Y51" s="8" t="s">
        <v>263</v>
      </c>
    </row>
    <row r="52">
      <c r="A52" s="1" t="s">
        <v>258</v>
      </c>
      <c r="B52" s="2">
        <v>20.0</v>
      </c>
      <c r="C52" s="1" t="s">
        <v>34</v>
      </c>
      <c r="D52" s="1" t="s">
        <v>264</v>
      </c>
      <c r="E52" s="3"/>
      <c r="F52" s="1" t="s">
        <v>30</v>
      </c>
      <c r="G52" s="4">
        <v>0.08055555555555556</v>
      </c>
      <c r="H52" s="1" t="s">
        <v>260</v>
      </c>
      <c r="I52" s="1" t="s">
        <v>28</v>
      </c>
      <c r="J52" s="4">
        <v>0.33194444444444443</v>
      </c>
      <c r="K52" s="1" t="s">
        <v>265</v>
      </c>
      <c r="L52" s="1" t="s">
        <v>30</v>
      </c>
      <c r="M52" s="4">
        <v>0.5847222222222223</v>
      </c>
      <c r="N52" s="1" t="s">
        <v>180</v>
      </c>
      <c r="O52" s="1" t="s">
        <v>28</v>
      </c>
      <c r="P52" s="4">
        <v>0.8368055555555556</v>
      </c>
      <c r="Q52" s="1" t="s">
        <v>167</v>
      </c>
      <c r="R52" s="1">
        <f t="shared" si="1"/>
        <v>137</v>
      </c>
      <c r="S52" s="1">
        <f t="shared" si="2"/>
        <v>144</v>
      </c>
      <c r="T52" s="5">
        <f t="shared" si="3"/>
        <v>144</v>
      </c>
      <c r="U52" s="5" t="s">
        <v>47</v>
      </c>
      <c r="Y52" s="9" t="s">
        <v>48</v>
      </c>
      <c r="Z52" s="9" t="s">
        <v>49</v>
      </c>
      <c r="AA52" s="9" t="s">
        <v>50</v>
      </c>
      <c r="AB52" s="9" t="s">
        <v>51</v>
      </c>
      <c r="AC52" s="9" t="s">
        <v>52</v>
      </c>
      <c r="AD52" s="9" t="s">
        <v>53</v>
      </c>
      <c r="AE52" s="9" t="s">
        <v>54</v>
      </c>
    </row>
    <row r="53">
      <c r="A53" s="1" t="s">
        <v>258</v>
      </c>
      <c r="B53" s="2">
        <v>21.0</v>
      </c>
      <c r="C53" s="1" t="s">
        <v>41</v>
      </c>
      <c r="D53" s="1" t="s">
        <v>42</v>
      </c>
      <c r="E53" s="3"/>
      <c r="F53" s="1" t="s">
        <v>30</v>
      </c>
      <c r="G53" s="4">
        <v>0.09930555555555555</v>
      </c>
      <c r="H53" s="1" t="s">
        <v>266</v>
      </c>
      <c r="I53" s="1" t="s">
        <v>28</v>
      </c>
      <c r="J53" s="4">
        <v>0.3527777777777778</v>
      </c>
      <c r="K53" s="1" t="s">
        <v>267</v>
      </c>
      <c r="L53" s="1" t="s">
        <v>30</v>
      </c>
      <c r="M53" s="4">
        <v>0.6125</v>
      </c>
      <c r="N53" s="1" t="s">
        <v>266</v>
      </c>
      <c r="O53" s="1" t="s">
        <v>28</v>
      </c>
      <c r="P53" s="4">
        <v>0.8631944444444445</v>
      </c>
      <c r="Q53" s="1" t="s">
        <v>265</v>
      </c>
      <c r="R53" s="1">
        <f t="shared" si="1"/>
        <v>133</v>
      </c>
      <c r="S53" s="1">
        <f t="shared" si="2"/>
        <v>130</v>
      </c>
      <c r="T53" s="5">
        <f t="shared" si="3"/>
        <v>133</v>
      </c>
      <c r="U53" s="5" t="s">
        <v>47</v>
      </c>
      <c r="Y53" s="10" t="s">
        <v>60</v>
      </c>
      <c r="Z53" s="10" t="s">
        <v>60</v>
      </c>
      <c r="AA53" s="10" t="s">
        <v>60</v>
      </c>
      <c r="AB53" s="10" t="s">
        <v>60</v>
      </c>
      <c r="AC53" s="10" t="s">
        <v>268</v>
      </c>
      <c r="AD53" s="11" t="s">
        <v>269</v>
      </c>
      <c r="AE53" s="11" t="s">
        <v>270</v>
      </c>
    </row>
    <row r="54">
      <c r="A54" s="1" t="s">
        <v>258</v>
      </c>
      <c r="B54" s="2">
        <v>22.0</v>
      </c>
      <c r="C54" s="1" t="s">
        <v>55</v>
      </c>
      <c r="D54" s="1" t="s">
        <v>42</v>
      </c>
      <c r="E54" s="3"/>
      <c r="F54" s="1" t="s">
        <v>30</v>
      </c>
      <c r="G54" s="4">
        <v>0.11875</v>
      </c>
      <c r="H54" s="1" t="s">
        <v>185</v>
      </c>
      <c r="I54" s="1" t="s">
        <v>28</v>
      </c>
      <c r="J54" s="4">
        <v>0.3763888888888889</v>
      </c>
      <c r="K54" s="1" t="s">
        <v>195</v>
      </c>
      <c r="L54" s="1" t="s">
        <v>30</v>
      </c>
      <c r="M54" s="4">
        <v>0.6430555555555556</v>
      </c>
      <c r="N54" s="1" t="s">
        <v>252</v>
      </c>
      <c r="O54" s="1" t="s">
        <v>28</v>
      </c>
      <c r="P54" s="4">
        <v>0.8923611111111112</v>
      </c>
      <c r="Q54" s="1" t="s">
        <v>218</v>
      </c>
      <c r="R54" s="1">
        <f t="shared" si="1"/>
        <v>123</v>
      </c>
      <c r="S54" s="1">
        <f t="shared" si="2"/>
        <v>109</v>
      </c>
      <c r="T54" s="5">
        <f t="shared" si="3"/>
        <v>123</v>
      </c>
      <c r="U54" s="5" t="s">
        <v>90</v>
      </c>
      <c r="Y54" s="10" t="s">
        <v>271</v>
      </c>
      <c r="Z54" s="10" t="s">
        <v>139</v>
      </c>
      <c r="AA54" s="10" t="s">
        <v>140</v>
      </c>
      <c r="AB54" s="10" t="s">
        <v>272</v>
      </c>
      <c r="AC54" s="10" t="s">
        <v>232</v>
      </c>
      <c r="AD54" s="11" t="s">
        <v>273</v>
      </c>
      <c r="AE54" s="11" t="s">
        <v>73</v>
      </c>
    </row>
    <row r="55">
      <c r="A55" s="1" t="s">
        <v>258</v>
      </c>
      <c r="B55" s="2">
        <v>23.0</v>
      </c>
      <c r="C55" s="1" t="s">
        <v>25</v>
      </c>
      <c r="D55" s="6"/>
      <c r="E55" s="3"/>
      <c r="F55" s="1" t="s">
        <v>30</v>
      </c>
      <c r="G55" s="4">
        <v>0.13958333333333334</v>
      </c>
      <c r="H55" s="1" t="s">
        <v>186</v>
      </c>
      <c r="I55" s="1" t="s">
        <v>28</v>
      </c>
      <c r="J55" s="4">
        <v>0.40208333333333335</v>
      </c>
      <c r="K55" s="1" t="s">
        <v>135</v>
      </c>
      <c r="L55" s="1" t="s">
        <v>30</v>
      </c>
      <c r="M55" s="4">
        <v>0.6798611111111111</v>
      </c>
      <c r="N55" s="1" t="s">
        <v>274</v>
      </c>
      <c r="O55" s="1" t="s">
        <v>28</v>
      </c>
      <c r="P55" s="4">
        <v>0.9256944444444445</v>
      </c>
      <c r="Q55" s="1" t="s">
        <v>65</v>
      </c>
      <c r="R55" s="1">
        <f t="shared" si="1"/>
        <v>108</v>
      </c>
      <c r="S55" s="1">
        <f t="shared" si="2"/>
        <v>82</v>
      </c>
      <c r="T55" s="5">
        <f t="shared" si="3"/>
        <v>108</v>
      </c>
      <c r="U55" s="5" t="s">
        <v>90</v>
      </c>
      <c r="Y55" s="10" t="s">
        <v>150</v>
      </c>
      <c r="Z55" s="10" t="s">
        <v>79</v>
      </c>
      <c r="AA55" s="10" t="s">
        <v>151</v>
      </c>
      <c r="AB55" s="10" t="s">
        <v>81</v>
      </c>
      <c r="AC55" s="10" t="s">
        <v>237</v>
      </c>
      <c r="AD55" s="11" t="s">
        <v>275</v>
      </c>
      <c r="AE55" s="11" t="s">
        <v>276</v>
      </c>
    </row>
    <row r="56">
      <c r="A56" s="1" t="s">
        <v>258</v>
      </c>
      <c r="B56" s="2">
        <v>24.0</v>
      </c>
      <c r="C56" s="1" t="s">
        <v>75</v>
      </c>
      <c r="D56" s="6"/>
      <c r="E56" s="7" t="s">
        <v>184</v>
      </c>
      <c r="F56" s="1" t="s">
        <v>30</v>
      </c>
      <c r="G56" s="4">
        <v>0.16180555555555556</v>
      </c>
      <c r="H56" s="1" t="s">
        <v>200</v>
      </c>
      <c r="I56" s="1" t="s">
        <v>28</v>
      </c>
      <c r="J56" s="4">
        <v>0.43472222222222223</v>
      </c>
      <c r="K56" s="1" t="s">
        <v>251</v>
      </c>
      <c r="L56" s="1" t="s">
        <v>30</v>
      </c>
      <c r="M56" s="4">
        <v>0.7298611111111111</v>
      </c>
      <c r="N56" s="1" t="s">
        <v>277</v>
      </c>
      <c r="O56" s="1" t="s">
        <v>28</v>
      </c>
      <c r="P56" s="4">
        <v>0.975</v>
      </c>
      <c r="Q56" s="1" t="s">
        <v>278</v>
      </c>
      <c r="R56" s="1">
        <f t="shared" si="1"/>
        <v>90</v>
      </c>
      <c r="S56" s="1">
        <f t="shared" si="2"/>
        <v>53</v>
      </c>
      <c r="T56" s="5">
        <f t="shared" si="3"/>
        <v>90</v>
      </c>
      <c r="U56" s="5" t="s">
        <v>39</v>
      </c>
      <c r="Y56" s="10" t="s">
        <v>279</v>
      </c>
      <c r="Z56" s="10" t="s">
        <v>280</v>
      </c>
      <c r="AA56" s="10" t="s">
        <v>281</v>
      </c>
      <c r="AB56" s="10" t="s">
        <v>282</v>
      </c>
      <c r="AC56" s="10" t="s">
        <v>283</v>
      </c>
      <c r="AD56" s="11" t="s">
        <v>284</v>
      </c>
      <c r="AE56" s="11" t="s">
        <v>285</v>
      </c>
    </row>
    <row r="57">
      <c r="A57" s="1" t="s">
        <v>258</v>
      </c>
      <c r="B57" s="2">
        <v>25.0</v>
      </c>
      <c r="C57" s="1" t="s">
        <v>86</v>
      </c>
      <c r="D57" s="6"/>
      <c r="E57" s="3"/>
      <c r="F57" s="1" t="s">
        <v>30</v>
      </c>
      <c r="G57" s="4">
        <v>0.1909722222222222</v>
      </c>
      <c r="H57" s="1" t="s">
        <v>286</v>
      </c>
      <c r="I57" s="1" t="s">
        <v>28</v>
      </c>
      <c r="J57" s="4">
        <v>0.48194444444444445</v>
      </c>
      <c r="K57" s="1" t="s">
        <v>218</v>
      </c>
      <c r="L57" s="1" t="s">
        <v>30</v>
      </c>
      <c r="M57" s="4">
        <v>0.8104166666666667</v>
      </c>
      <c r="N57" s="1" t="s">
        <v>257</v>
      </c>
      <c r="R57" s="1">
        <f t="shared" si="1"/>
        <v>69</v>
      </c>
      <c r="S57" s="1">
        <f t="shared" si="2"/>
        <v>53</v>
      </c>
      <c r="T57" s="5">
        <f t="shared" si="3"/>
        <v>69</v>
      </c>
      <c r="U57" s="5" t="s">
        <v>39</v>
      </c>
      <c r="Y57" s="10" t="s">
        <v>169</v>
      </c>
      <c r="Z57" s="10" t="s">
        <v>287</v>
      </c>
      <c r="AA57" s="10" t="s">
        <v>102</v>
      </c>
      <c r="AB57" s="10" t="s">
        <v>103</v>
      </c>
      <c r="AC57" s="10" t="s">
        <v>104</v>
      </c>
      <c r="AD57" s="11" t="s">
        <v>288</v>
      </c>
      <c r="AE57" s="11" t="s">
        <v>289</v>
      </c>
    </row>
    <row r="58">
      <c r="A58" s="1" t="s">
        <v>258</v>
      </c>
      <c r="B58" s="2">
        <v>26.0</v>
      </c>
      <c r="C58" s="1" t="s">
        <v>26</v>
      </c>
      <c r="D58" s="6"/>
      <c r="E58" s="3"/>
      <c r="F58" s="1" t="s">
        <v>28</v>
      </c>
      <c r="G58" s="4">
        <v>0.08263888888888889</v>
      </c>
      <c r="H58" s="1" t="s">
        <v>290</v>
      </c>
      <c r="I58" s="1" t="s">
        <v>30</v>
      </c>
      <c r="J58" s="4">
        <v>0.24930555555555556</v>
      </c>
      <c r="K58" s="1" t="s">
        <v>241</v>
      </c>
      <c r="L58" s="1" t="s">
        <v>28</v>
      </c>
      <c r="M58" s="4">
        <v>0.5576388888888889</v>
      </c>
      <c r="N58" s="1" t="s">
        <v>183</v>
      </c>
      <c r="O58" s="1" t="s">
        <v>30</v>
      </c>
      <c r="P58" s="4">
        <v>0.8923611111111112</v>
      </c>
      <c r="Q58" s="1" t="s">
        <v>88</v>
      </c>
      <c r="R58" s="1">
        <f t="shared" si="1"/>
        <v>10</v>
      </c>
      <c r="S58" s="1">
        <f t="shared" si="2"/>
        <v>94</v>
      </c>
      <c r="T58" s="5">
        <f t="shared" si="3"/>
        <v>94</v>
      </c>
      <c r="U58" s="5" t="s">
        <v>90</v>
      </c>
      <c r="Y58" s="10" t="s">
        <v>60</v>
      </c>
      <c r="Z58" s="10" t="s">
        <v>60</v>
      </c>
      <c r="AA58" s="10" t="s">
        <v>60</v>
      </c>
      <c r="AB58" s="10" t="s">
        <v>60</v>
      </c>
      <c r="AC58" s="10" t="s">
        <v>60</v>
      </c>
      <c r="AD58" s="10" t="s">
        <v>60</v>
      </c>
      <c r="AE58" s="10" t="s">
        <v>60</v>
      </c>
    </row>
    <row r="59">
      <c r="A59" s="1" t="s">
        <v>258</v>
      </c>
      <c r="B59" s="2">
        <v>27.0</v>
      </c>
      <c r="C59" s="1" t="s">
        <v>34</v>
      </c>
      <c r="D59" s="1" t="s">
        <v>264</v>
      </c>
      <c r="E59" s="3"/>
      <c r="F59" s="1" t="s">
        <v>28</v>
      </c>
      <c r="G59" s="4">
        <v>0.16597222222222222</v>
      </c>
      <c r="H59" s="1" t="s">
        <v>278</v>
      </c>
      <c r="I59" s="1" t="s">
        <v>30</v>
      </c>
      <c r="J59" s="4">
        <v>0.34930555555555554</v>
      </c>
      <c r="K59" s="1" t="s">
        <v>291</v>
      </c>
      <c r="L59" s="1" t="s">
        <v>28</v>
      </c>
      <c r="M59" s="4">
        <v>0.6291666666666667</v>
      </c>
      <c r="N59" s="1" t="s">
        <v>292</v>
      </c>
      <c r="O59" s="1" t="s">
        <v>30</v>
      </c>
      <c r="P59" s="4">
        <v>0.9395833333333333</v>
      </c>
      <c r="Q59" s="1" t="s">
        <v>293</v>
      </c>
      <c r="R59" s="1">
        <f t="shared" si="1"/>
        <v>18</v>
      </c>
      <c r="S59" s="1">
        <f t="shared" si="2"/>
        <v>115</v>
      </c>
      <c r="T59" s="5">
        <f t="shared" si="3"/>
        <v>115</v>
      </c>
      <c r="U59" s="5" t="s">
        <v>90</v>
      </c>
      <c r="Y59" s="6"/>
      <c r="Z59" s="6"/>
      <c r="AA59" s="6"/>
      <c r="AB59" s="6"/>
      <c r="AC59" s="6"/>
      <c r="AD59" s="6"/>
      <c r="AE59" s="6"/>
    </row>
    <row r="60">
      <c r="A60" s="1" t="s">
        <v>258</v>
      </c>
      <c r="B60" s="2">
        <v>28.0</v>
      </c>
      <c r="C60" s="1" t="s">
        <v>41</v>
      </c>
      <c r="D60" s="1" t="s">
        <v>294</v>
      </c>
      <c r="E60" s="3"/>
      <c r="F60" s="1" t="s">
        <v>28</v>
      </c>
      <c r="G60" s="4">
        <v>0.2013888888888889</v>
      </c>
      <c r="H60" s="1" t="s">
        <v>145</v>
      </c>
      <c r="I60" s="1" t="s">
        <v>30</v>
      </c>
      <c r="J60" s="4">
        <v>0.41458333333333336</v>
      </c>
      <c r="K60" s="1" t="s">
        <v>295</v>
      </c>
      <c r="L60" s="1" t="s">
        <v>28</v>
      </c>
      <c r="M60" s="4">
        <v>0.6763888888888889</v>
      </c>
      <c r="N60" s="1" t="s">
        <v>147</v>
      </c>
      <c r="O60" s="1" t="s">
        <v>30</v>
      </c>
      <c r="P60" s="4">
        <v>0.9715277777777778</v>
      </c>
      <c r="Q60" s="1" t="s">
        <v>98</v>
      </c>
      <c r="R60" s="1">
        <f t="shared" si="1"/>
        <v>40</v>
      </c>
      <c r="S60" s="1">
        <f t="shared" si="2"/>
        <v>139</v>
      </c>
      <c r="T60" s="5">
        <f t="shared" si="3"/>
        <v>139</v>
      </c>
      <c r="U60" s="5" t="s">
        <v>47</v>
      </c>
      <c r="Y60" s="6"/>
      <c r="Z60" s="6"/>
      <c r="AA60" s="6"/>
      <c r="AB60" s="6"/>
      <c r="AC60" s="6"/>
      <c r="AD60" s="6"/>
      <c r="AE60" s="6"/>
    </row>
    <row r="61">
      <c r="A61" s="1" t="s">
        <v>345</v>
      </c>
      <c r="B61" s="2">
        <v>1.0</v>
      </c>
      <c r="C61" s="1" t="s">
        <v>55</v>
      </c>
      <c r="D61" s="1" t="s">
        <v>42</v>
      </c>
      <c r="E61" s="3"/>
      <c r="F61" s="1" t="s">
        <v>28</v>
      </c>
      <c r="G61" s="4">
        <v>0.22569444444444445</v>
      </c>
      <c r="H61" s="1" t="s">
        <v>296</v>
      </c>
      <c r="I61" s="1" t="s">
        <v>30</v>
      </c>
      <c r="J61" s="4">
        <v>0.45416666666666666</v>
      </c>
      <c r="K61" s="1" t="s">
        <v>223</v>
      </c>
      <c r="L61" s="1" t="s">
        <v>28</v>
      </c>
      <c r="M61" s="4">
        <v>0.7111111111111111</v>
      </c>
      <c r="N61" s="1" t="s">
        <v>297</v>
      </c>
      <c r="O61" s="1" t="s">
        <v>30</v>
      </c>
      <c r="P61" s="4">
        <v>0.9979166666666667</v>
      </c>
      <c r="Q61" s="1" t="s">
        <v>177</v>
      </c>
      <c r="R61" s="1">
        <f t="shared" si="1"/>
        <v>66</v>
      </c>
      <c r="S61" s="1">
        <f t="shared" si="2"/>
        <v>156</v>
      </c>
      <c r="T61" s="5">
        <f t="shared" si="3"/>
        <v>156</v>
      </c>
      <c r="U61" s="5" t="s">
        <v>47</v>
      </c>
    </row>
    <row r="62">
      <c r="A62" s="1" t="s">
        <v>345</v>
      </c>
      <c r="B62" s="2">
        <v>2.0</v>
      </c>
      <c r="C62" s="1" t="s">
        <v>25</v>
      </c>
      <c r="D62" s="6"/>
      <c r="E62" s="3"/>
      <c r="F62" s="1" t="s">
        <v>28</v>
      </c>
      <c r="G62" s="4">
        <v>0.2465277777777778</v>
      </c>
      <c r="H62" s="1" t="s">
        <v>128</v>
      </c>
      <c r="I62" s="1" t="s">
        <v>30</v>
      </c>
      <c r="J62" s="4">
        <v>0.4840277777777778</v>
      </c>
      <c r="K62" s="1" t="s">
        <v>45</v>
      </c>
      <c r="L62" s="1" t="s">
        <v>28</v>
      </c>
      <c r="M62" s="4">
        <v>0.7402777777777778</v>
      </c>
      <c r="N62" s="1" t="s">
        <v>59</v>
      </c>
      <c r="R62" s="1">
        <f t="shared" si="1"/>
        <v>90</v>
      </c>
      <c r="S62" s="1">
        <f t="shared" si="2"/>
        <v>74</v>
      </c>
      <c r="T62" s="5">
        <f t="shared" si="3"/>
        <v>90</v>
      </c>
      <c r="U62" s="5" t="s">
        <v>39</v>
      </c>
      <c r="Y62" s="6"/>
      <c r="Z62" s="6"/>
      <c r="AA62" s="6"/>
      <c r="AB62" s="6"/>
      <c r="AC62" s="6"/>
      <c r="AD62" s="6"/>
      <c r="AE62" s="6"/>
    </row>
    <row r="63">
      <c r="A63" s="1" t="s">
        <v>345</v>
      </c>
      <c r="B63" s="2">
        <v>3.0</v>
      </c>
      <c r="C63" s="1" t="s">
        <v>75</v>
      </c>
      <c r="D63" s="6"/>
      <c r="E63" s="7" t="s">
        <v>35</v>
      </c>
      <c r="F63" s="1" t="s">
        <v>30</v>
      </c>
      <c r="G63" s="4">
        <v>0.02013888888888889</v>
      </c>
      <c r="H63" s="1" t="s">
        <v>177</v>
      </c>
      <c r="I63" s="1" t="s">
        <v>28</v>
      </c>
      <c r="J63" s="4">
        <v>0.26666666666666666</v>
      </c>
      <c r="K63" s="1" t="s">
        <v>292</v>
      </c>
      <c r="L63" s="1" t="s">
        <v>30</v>
      </c>
      <c r="M63" s="4">
        <v>0.5104166666666666</v>
      </c>
      <c r="N63" s="1" t="s">
        <v>124</v>
      </c>
      <c r="O63" s="1" t="s">
        <v>28</v>
      </c>
      <c r="P63" s="4">
        <v>0.7666666666666667</v>
      </c>
      <c r="Q63" s="1" t="s">
        <v>298</v>
      </c>
      <c r="R63" s="1">
        <f t="shared" si="1"/>
        <v>130</v>
      </c>
      <c r="S63" s="1">
        <f t="shared" si="2"/>
        <v>144</v>
      </c>
      <c r="T63" s="5">
        <f t="shared" si="3"/>
        <v>144</v>
      </c>
      <c r="U63" s="5" t="s">
        <v>47</v>
      </c>
      <c r="Y63" s="8" t="s">
        <v>299</v>
      </c>
    </row>
    <row r="64">
      <c r="A64" s="1" t="s">
        <v>345</v>
      </c>
      <c r="B64" s="2">
        <v>4.0</v>
      </c>
      <c r="C64" s="1" t="s">
        <v>86</v>
      </c>
      <c r="D64" s="6"/>
      <c r="E64" s="3"/>
      <c r="F64" s="1" t="s">
        <v>30</v>
      </c>
      <c r="G64" s="4">
        <v>0.03958333333333333</v>
      </c>
      <c r="H64" s="1" t="s">
        <v>300</v>
      </c>
      <c r="I64" s="1" t="s">
        <v>28</v>
      </c>
      <c r="J64" s="4">
        <v>0.28541666666666665</v>
      </c>
      <c r="K64" s="1" t="s">
        <v>301</v>
      </c>
      <c r="L64" s="1" t="s">
        <v>30</v>
      </c>
      <c r="M64" s="4">
        <v>0.5347222222222222</v>
      </c>
      <c r="N64" s="1" t="s">
        <v>252</v>
      </c>
      <c r="O64" s="1" t="s">
        <v>28</v>
      </c>
      <c r="P64" s="4">
        <v>0.7909722222222222</v>
      </c>
      <c r="Q64" s="1" t="s">
        <v>67</v>
      </c>
      <c r="R64" s="1">
        <f t="shared" si="1"/>
        <v>132</v>
      </c>
      <c r="S64" s="1">
        <f t="shared" si="2"/>
        <v>146</v>
      </c>
      <c r="T64" s="5">
        <f t="shared" si="3"/>
        <v>146</v>
      </c>
      <c r="U64" s="5" t="s">
        <v>47</v>
      </c>
      <c r="Y64" s="9" t="s">
        <v>48</v>
      </c>
      <c r="Z64" s="9" t="s">
        <v>49</v>
      </c>
      <c r="AA64" s="9" t="s">
        <v>50</v>
      </c>
      <c r="AB64" s="9" t="s">
        <v>51</v>
      </c>
      <c r="AC64" s="9" t="s">
        <v>52</v>
      </c>
      <c r="AD64" s="9" t="s">
        <v>53</v>
      </c>
      <c r="AE64" s="9" t="s">
        <v>54</v>
      </c>
    </row>
    <row r="65">
      <c r="A65" s="1" t="s">
        <v>345</v>
      </c>
      <c r="B65" s="2">
        <v>5.0</v>
      </c>
      <c r="C65" s="1" t="s">
        <v>26</v>
      </c>
      <c r="D65" s="6"/>
      <c r="E65" s="3"/>
      <c r="F65" s="1" t="s">
        <v>30</v>
      </c>
      <c r="G65" s="4">
        <v>0.05625</v>
      </c>
      <c r="H65" s="1" t="s">
        <v>302</v>
      </c>
      <c r="I65" s="1" t="s">
        <v>28</v>
      </c>
      <c r="J65" s="4">
        <v>0.30416666666666664</v>
      </c>
      <c r="K65" s="1" t="s">
        <v>195</v>
      </c>
      <c r="L65" s="1" t="s">
        <v>30</v>
      </c>
      <c r="M65" s="4">
        <v>0.5583333333333333</v>
      </c>
      <c r="N65" s="1" t="s">
        <v>219</v>
      </c>
      <c r="O65" s="1" t="s">
        <v>28</v>
      </c>
      <c r="P65" s="4">
        <v>0.8138888888888889</v>
      </c>
      <c r="Q65" s="1" t="s">
        <v>78</v>
      </c>
      <c r="R65" s="1">
        <f t="shared" si="1"/>
        <v>131</v>
      </c>
      <c r="S65" s="1">
        <f t="shared" si="2"/>
        <v>139</v>
      </c>
      <c r="T65" s="5">
        <f t="shared" si="3"/>
        <v>139</v>
      </c>
      <c r="U65" s="5" t="s">
        <v>47</v>
      </c>
      <c r="Y65" s="10" t="s">
        <v>226</v>
      </c>
      <c r="Z65" s="10" t="s">
        <v>303</v>
      </c>
      <c r="AA65" s="10" t="s">
        <v>304</v>
      </c>
      <c r="AB65" s="10" t="s">
        <v>271</v>
      </c>
      <c r="AC65" s="10" t="s">
        <v>139</v>
      </c>
      <c r="AD65" s="11" t="s">
        <v>305</v>
      </c>
      <c r="AE65" s="11" t="s">
        <v>306</v>
      </c>
    </row>
    <row r="66">
      <c r="A66" s="1" t="s">
        <v>345</v>
      </c>
      <c r="B66" s="2">
        <v>6.0</v>
      </c>
      <c r="C66" s="1" t="s">
        <v>34</v>
      </c>
      <c r="D66" s="6"/>
      <c r="E66" s="3"/>
      <c r="F66" s="1" t="s">
        <v>30</v>
      </c>
      <c r="G66" s="4">
        <v>0.07222222222222222</v>
      </c>
      <c r="H66" s="1" t="s">
        <v>108</v>
      </c>
      <c r="I66" s="1" t="s">
        <v>28</v>
      </c>
      <c r="J66" s="4">
        <v>0.3215277777777778</v>
      </c>
      <c r="K66" s="1" t="s">
        <v>267</v>
      </c>
      <c r="L66" s="1" t="s">
        <v>30</v>
      </c>
      <c r="M66" s="4">
        <v>0.5805555555555556</v>
      </c>
      <c r="N66" s="1" t="s">
        <v>252</v>
      </c>
      <c r="O66" s="1" t="s">
        <v>28</v>
      </c>
      <c r="P66" s="4">
        <v>0.8354166666666667</v>
      </c>
      <c r="Q66" s="1" t="s">
        <v>307</v>
      </c>
      <c r="R66" s="1">
        <f t="shared" si="1"/>
        <v>125</v>
      </c>
      <c r="S66" s="1">
        <f t="shared" si="2"/>
        <v>126</v>
      </c>
      <c r="T66" s="5">
        <f t="shared" si="3"/>
        <v>126</v>
      </c>
      <c r="U66" s="5" t="s">
        <v>47</v>
      </c>
      <c r="Y66" s="10" t="s">
        <v>308</v>
      </c>
      <c r="Z66" s="10" t="s">
        <v>72</v>
      </c>
      <c r="AA66" s="10" t="s">
        <v>149</v>
      </c>
      <c r="AB66" s="10" t="s">
        <v>309</v>
      </c>
      <c r="AC66" s="10" t="s">
        <v>310</v>
      </c>
      <c r="AD66" s="11" t="s">
        <v>311</v>
      </c>
      <c r="AE66" s="11" t="s">
        <v>312</v>
      </c>
    </row>
    <row r="67">
      <c r="A67" s="1" t="s">
        <v>345</v>
      </c>
      <c r="B67" s="2">
        <v>7.0</v>
      </c>
      <c r="C67" s="1" t="s">
        <v>41</v>
      </c>
      <c r="D67" s="1" t="s">
        <v>42</v>
      </c>
      <c r="E67" s="3"/>
      <c r="F67" s="1" t="s">
        <v>30</v>
      </c>
      <c r="G67" s="4">
        <v>0.0875</v>
      </c>
      <c r="H67" s="1" t="s">
        <v>313</v>
      </c>
      <c r="I67" s="1" t="s">
        <v>28</v>
      </c>
      <c r="J67" s="4">
        <v>0.33958333333333335</v>
      </c>
      <c r="K67" s="1" t="s">
        <v>267</v>
      </c>
      <c r="L67" s="1" t="s">
        <v>30</v>
      </c>
      <c r="M67" s="4">
        <v>0.6034722222222222</v>
      </c>
      <c r="N67" s="1" t="s">
        <v>314</v>
      </c>
      <c r="O67" s="1" t="s">
        <v>28</v>
      </c>
      <c r="P67" s="4">
        <v>0.85625</v>
      </c>
      <c r="Q67" s="1" t="s">
        <v>262</v>
      </c>
      <c r="R67" s="1">
        <f t="shared" si="1"/>
        <v>117</v>
      </c>
      <c r="S67" s="1">
        <f t="shared" si="2"/>
        <v>108</v>
      </c>
      <c r="T67" s="5">
        <f t="shared" si="3"/>
        <v>117</v>
      </c>
      <c r="U67" s="5" t="s">
        <v>90</v>
      </c>
      <c r="Y67" s="10" t="s">
        <v>315</v>
      </c>
      <c r="Z67" s="10" t="s">
        <v>83</v>
      </c>
      <c r="AA67" s="10" t="s">
        <v>201</v>
      </c>
      <c r="AB67" s="10" t="s">
        <v>279</v>
      </c>
      <c r="AC67" s="10" t="s">
        <v>316</v>
      </c>
      <c r="AD67" s="11" t="s">
        <v>317</v>
      </c>
      <c r="AE67" s="11" t="s">
        <v>318</v>
      </c>
    </row>
    <row r="68">
      <c r="A68" s="1" t="s">
        <v>345</v>
      </c>
      <c r="B68" s="2">
        <v>8.0</v>
      </c>
      <c r="C68" s="1" t="s">
        <v>55</v>
      </c>
      <c r="D68" s="1" t="s">
        <v>42</v>
      </c>
      <c r="E68" s="3"/>
      <c r="F68" s="1" t="s">
        <v>30</v>
      </c>
      <c r="G68" s="4">
        <v>0.10277777777777777</v>
      </c>
      <c r="H68" s="1" t="s">
        <v>146</v>
      </c>
      <c r="I68" s="1" t="s">
        <v>28</v>
      </c>
      <c r="J68" s="4">
        <v>0.3576388888888889</v>
      </c>
      <c r="K68" s="1" t="s">
        <v>265</v>
      </c>
      <c r="L68" s="1" t="s">
        <v>30</v>
      </c>
      <c r="M68" s="4">
        <v>0.6270833333333333</v>
      </c>
      <c r="N68" s="1" t="s">
        <v>58</v>
      </c>
      <c r="O68" s="1" t="s">
        <v>28</v>
      </c>
      <c r="P68" s="4">
        <v>0.8770833333333333</v>
      </c>
      <c r="Q68" s="1" t="s">
        <v>176</v>
      </c>
      <c r="R68" s="1">
        <f t="shared" si="1"/>
        <v>106</v>
      </c>
      <c r="S68" s="1">
        <f t="shared" si="2"/>
        <v>87</v>
      </c>
      <c r="T68" s="5">
        <f t="shared" si="3"/>
        <v>106</v>
      </c>
      <c r="U68" s="5" t="s">
        <v>90</v>
      </c>
      <c r="Y68" s="10" t="s">
        <v>319</v>
      </c>
      <c r="Z68" s="10" t="s">
        <v>243</v>
      </c>
      <c r="AA68" s="10" t="s">
        <v>320</v>
      </c>
      <c r="AB68" s="10" t="s">
        <v>169</v>
      </c>
      <c r="AC68" s="10" t="s">
        <v>170</v>
      </c>
      <c r="AD68" s="11" t="s">
        <v>321</v>
      </c>
      <c r="AE68" s="11" t="s">
        <v>322</v>
      </c>
    </row>
    <row r="69">
      <c r="A69" s="1" t="s">
        <v>345</v>
      </c>
      <c r="B69" s="2">
        <v>9.0</v>
      </c>
      <c r="C69" s="1" t="s">
        <v>25</v>
      </c>
      <c r="D69" s="6"/>
      <c r="E69" s="3"/>
      <c r="F69" s="1" t="s">
        <v>30</v>
      </c>
      <c r="G69" s="4">
        <v>0.11805555555555555</v>
      </c>
      <c r="H69" s="1" t="s">
        <v>112</v>
      </c>
      <c r="I69" s="1" t="s">
        <v>28</v>
      </c>
      <c r="J69" s="4">
        <v>0.3770833333333333</v>
      </c>
      <c r="K69" s="1" t="s">
        <v>179</v>
      </c>
      <c r="L69" s="1" t="s">
        <v>30</v>
      </c>
      <c r="M69" s="4">
        <v>0.6541666666666667</v>
      </c>
      <c r="N69" s="1" t="s">
        <v>257</v>
      </c>
      <c r="O69" s="1" t="s">
        <v>28</v>
      </c>
      <c r="P69" s="4">
        <v>0.9</v>
      </c>
      <c r="Q69" s="1" t="s">
        <v>323</v>
      </c>
      <c r="R69" s="1">
        <f t="shared" si="1"/>
        <v>92</v>
      </c>
      <c r="S69" s="1">
        <f t="shared" si="2"/>
        <v>64</v>
      </c>
      <c r="T69" s="5">
        <f t="shared" si="3"/>
        <v>92</v>
      </c>
      <c r="U69" s="5" t="s">
        <v>90</v>
      </c>
      <c r="Y69" s="10" t="s">
        <v>324</v>
      </c>
      <c r="Z69" s="10" t="s">
        <v>325</v>
      </c>
      <c r="AA69" s="10" t="s">
        <v>60</v>
      </c>
      <c r="AB69" s="10" t="s">
        <v>60</v>
      </c>
      <c r="AC69" s="10" t="s">
        <v>60</v>
      </c>
      <c r="AD69" s="10" t="s">
        <v>60</v>
      </c>
      <c r="AE69" s="10" t="s">
        <v>60</v>
      </c>
    </row>
    <row r="70">
      <c r="A70" s="1" t="s">
        <v>345</v>
      </c>
      <c r="B70" s="2">
        <v>10.0</v>
      </c>
      <c r="C70" s="1" t="s">
        <v>75</v>
      </c>
      <c r="D70" s="6"/>
      <c r="E70" s="3"/>
      <c r="F70" s="1" t="s">
        <v>30</v>
      </c>
      <c r="G70" s="4">
        <v>0.13402777777777777</v>
      </c>
      <c r="H70" s="1" t="s">
        <v>326</v>
      </c>
      <c r="I70" s="1" t="s">
        <v>28</v>
      </c>
      <c r="J70" s="4">
        <v>0.4</v>
      </c>
      <c r="K70" s="1" t="s">
        <v>262</v>
      </c>
      <c r="L70" s="1" t="s">
        <v>30</v>
      </c>
      <c r="M70" s="4">
        <v>0.6881944444444444</v>
      </c>
      <c r="N70" s="1" t="s">
        <v>224</v>
      </c>
      <c r="O70" s="1" t="s">
        <v>28</v>
      </c>
      <c r="P70" s="4">
        <v>0.9298611111111111</v>
      </c>
      <c r="Q70" s="1" t="s">
        <v>130</v>
      </c>
      <c r="R70" s="1">
        <f t="shared" si="1"/>
        <v>76</v>
      </c>
      <c r="S70" s="1">
        <f t="shared" si="2"/>
        <v>41</v>
      </c>
      <c r="T70" s="5">
        <f t="shared" si="3"/>
        <v>76</v>
      </c>
      <c r="U70" s="5" t="s">
        <v>39</v>
      </c>
      <c r="Y70" s="10" t="s">
        <v>60</v>
      </c>
      <c r="Z70" s="10" t="s">
        <v>60</v>
      </c>
      <c r="AA70" s="10" t="s">
        <v>60</v>
      </c>
      <c r="AB70" s="10" t="s">
        <v>60</v>
      </c>
      <c r="AC70" s="10" t="s">
        <v>60</v>
      </c>
      <c r="AD70" s="10" t="s">
        <v>60</v>
      </c>
      <c r="AE70" s="10" t="s">
        <v>60</v>
      </c>
    </row>
    <row r="71">
      <c r="A71" s="1" t="s">
        <v>345</v>
      </c>
      <c r="B71" s="2">
        <v>11.0</v>
      </c>
      <c r="C71" s="1" t="s">
        <v>86</v>
      </c>
      <c r="D71" s="6"/>
      <c r="E71" s="7" t="s">
        <v>107</v>
      </c>
      <c r="F71" s="1" t="s">
        <v>30</v>
      </c>
      <c r="G71" s="4">
        <v>0.15138888888888888</v>
      </c>
      <c r="H71" s="1" t="s">
        <v>327</v>
      </c>
      <c r="I71" s="1" t="s">
        <v>28</v>
      </c>
      <c r="J71" s="4">
        <v>0.42916666666666664</v>
      </c>
      <c r="K71" s="1" t="s">
        <v>190</v>
      </c>
      <c r="L71" s="1" t="s">
        <v>30</v>
      </c>
      <c r="M71" s="4">
        <v>0.7430555555555556</v>
      </c>
      <c r="N71" s="1" t="s">
        <v>328</v>
      </c>
      <c r="R71" s="1">
        <f t="shared" si="1"/>
        <v>58</v>
      </c>
      <c r="S71" s="1">
        <f t="shared" si="2"/>
        <v>34</v>
      </c>
      <c r="T71" s="5">
        <f t="shared" si="3"/>
        <v>58</v>
      </c>
      <c r="U71" s="5" t="s">
        <v>39</v>
      </c>
      <c r="Y71" s="6"/>
      <c r="Z71" s="6"/>
      <c r="AA71" s="6"/>
      <c r="AB71" s="6"/>
      <c r="AC71" s="6"/>
      <c r="AD71" s="6"/>
      <c r="AE71" s="6"/>
    </row>
    <row r="72">
      <c r="A72" s="1" t="s">
        <v>345</v>
      </c>
      <c r="B72" s="2">
        <v>12.0</v>
      </c>
      <c r="C72" s="1" t="s">
        <v>26</v>
      </c>
      <c r="D72" s="6"/>
      <c r="E72" s="3"/>
      <c r="F72" s="1" t="s">
        <v>28</v>
      </c>
      <c r="G72" s="4">
        <v>0.017361111111111112</v>
      </c>
      <c r="H72" s="1" t="s">
        <v>329</v>
      </c>
      <c r="I72" s="1" t="s">
        <v>30</v>
      </c>
      <c r="J72" s="4">
        <v>0.17569444444444443</v>
      </c>
      <c r="K72" s="1" t="s">
        <v>235</v>
      </c>
      <c r="L72" s="1" t="s">
        <v>28</v>
      </c>
      <c r="M72" s="4">
        <v>0.4791666666666667</v>
      </c>
      <c r="N72" s="1" t="s">
        <v>123</v>
      </c>
      <c r="O72" s="1" t="s">
        <v>30</v>
      </c>
      <c r="P72" s="4">
        <v>0.8486111111111111</v>
      </c>
      <c r="Q72" s="1" t="s">
        <v>250</v>
      </c>
      <c r="R72" s="1">
        <f t="shared" si="1"/>
        <v>6</v>
      </c>
      <c r="S72" s="1">
        <f t="shared" si="2"/>
        <v>56</v>
      </c>
      <c r="T72" s="5">
        <f t="shared" si="3"/>
        <v>56</v>
      </c>
      <c r="U72" s="5" t="s">
        <v>39</v>
      </c>
      <c r="Y72" s="6"/>
      <c r="Z72" s="6"/>
      <c r="AA72" s="6"/>
      <c r="AB72" s="6"/>
      <c r="AC72" s="6"/>
      <c r="AD72" s="6"/>
      <c r="AE72" s="6"/>
    </row>
    <row r="73">
      <c r="A73" s="1" t="s">
        <v>345</v>
      </c>
      <c r="B73" s="2">
        <v>13.0</v>
      </c>
      <c r="C73" s="1" t="s">
        <v>34</v>
      </c>
      <c r="D73" s="6"/>
      <c r="E73" s="3"/>
      <c r="F73" s="1" t="s">
        <v>330</v>
      </c>
      <c r="G73" s="4">
        <v>0.14375</v>
      </c>
      <c r="H73" s="1" t="s">
        <v>331</v>
      </c>
      <c r="I73" s="1" t="s">
        <v>330</v>
      </c>
      <c r="J73" s="4">
        <v>0.27569444444444446</v>
      </c>
      <c r="K73" s="1" t="s">
        <v>332</v>
      </c>
      <c r="L73" s="1" t="s">
        <v>28</v>
      </c>
      <c r="M73" s="4">
        <v>0.5708333333333333</v>
      </c>
      <c r="N73" s="1" t="s">
        <v>123</v>
      </c>
      <c r="O73" s="1" t="s">
        <v>30</v>
      </c>
      <c r="P73" s="4">
        <v>0.9083333333333333</v>
      </c>
      <c r="Q73" s="1" t="s">
        <v>333</v>
      </c>
      <c r="R73" s="1">
        <f t="shared" si="1"/>
        <v>3</v>
      </c>
      <c r="S73" s="1">
        <f t="shared" si="2"/>
        <v>65</v>
      </c>
      <c r="T73" s="5">
        <f t="shared" si="3"/>
        <v>65</v>
      </c>
      <c r="U73" s="5" t="s">
        <v>39</v>
      </c>
    </row>
    <row r="74">
      <c r="A74" s="1" t="s">
        <v>345</v>
      </c>
      <c r="B74" s="2">
        <v>14.0</v>
      </c>
      <c r="C74" s="1" t="s">
        <v>41</v>
      </c>
      <c r="D74" s="1" t="s">
        <v>42</v>
      </c>
      <c r="E74" s="3"/>
      <c r="F74" s="1" t="s">
        <v>28</v>
      </c>
      <c r="G74" s="4">
        <v>0.17708333333333334</v>
      </c>
      <c r="H74" s="1" t="s">
        <v>249</v>
      </c>
      <c r="I74" s="1" t="s">
        <v>30</v>
      </c>
      <c r="J74" s="4">
        <v>0.3659722222222222</v>
      </c>
      <c r="K74" s="1" t="s">
        <v>121</v>
      </c>
      <c r="L74" s="1" t="s">
        <v>28</v>
      </c>
      <c r="M74" s="4">
        <v>0.6326388888888889</v>
      </c>
      <c r="N74" s="1" t="s">
        <v>100</v>
      </c>
      <c r="O74" s="1" t="s">
        <v>30</v>
      </c>
      <c r="P74" s="4">
        <v>0.9375</v>
      </c>
      <c r="Q74" s="1" t="s">
        <v>31</v>
      </c>
      <c r="R74" s="1">
        <f t="shared" si="1"/>
        <v>18</v>
      </c>
      <c r="S74" s="1">
        <f t="shared" si="2"/>
        <v>85</v>
      </c>
      <c r="T74" s="5">
        <f t="shared" si="3"/>
        <v>85</v>
      </c>
      <c r="U74" s="5" t="s">
        <v>39</v>
      </c>
      <c r="Y74" s="6"/>
      <c r="Z74" s="6"/>
      <c r="AA74" s="6"/>
      <c r="AB74" s="6"/>
      <c r="AC74" s="6"/>
      <c r="AD74" s="6"/>
      <c r="AE74" s="6"/>
    </row>
    <row r="75">
      <c r="A75" s="1" t="s">
        <v>345</v>
      </c>
      <c r="B75" s="2">
        <v>15.0</v>
      </c>
      <c r="C75" s="1" t="s">
        <v>55</v>
      </c>
      <c r="D75" s="1" t="s">
        <v>42</v>
      </c>
      <c r="E75" s="3"/>
      <c r="F75" s="1" t="s">
        <v>28</v>
      </c>
      <c r="G75" s="4">
        <v>0.19583333333333333</v>
      </c>
      <c r="H75" s="1" t="s">
        <v>65</v>
      </c>
      <c r="I75" s="1" t="s">
        <v>30</v>
      </c>
      <c r="J75" s="4">
        <v>0.4125</v>
      </c>
      <c r="K75" s="1" t="s">
        <v>334</v>
      </c>
      <c r="L75" s="1" t="s">
        <v>28</v>
      </c>
      <c r="M75" s="4">
        <v>0.66875</v>
      </c>
      <c r="N75" s="1" t="s">
        <v>335</v>
      </c>
      <c r="O75" s="1" t="s">
        <v>30</v>
      </c>
      <c r="P75" s="4">
        <v>0.9597222222222223</v>
      </c>
      <c r="Q75" s="1" t="s">
        <v>110</v>
      </c>
      <c r="R75" s="1">
        <f t="shared" si="1"/>
        <v>40</v>
      </c>
      <c r="S75" s="1">
        <f t="shared" si="2"/>
        <v>107</v>
      </c>
      <c r="T75" s="5">
        <f t="shared" si="3"/>
        <v>107</v>
      </c>
      <c r="U75" s="5" t="s">
        <v>90</v>
      </c>
      <c r="Y75" s="8" t="s">
        <v>336</v>
      </c>
    </row>
    <row r="76">
      <c r="A76" s="1" t="s">
        <v>345</v>
      </c>
      <c r="B76" s="2">
        <v>16.0</v>
      </c>
      <c r="C76" s="1" t="s">
        <v>25</v>
      </c>
      <c r="D76" s="6"/>
      <c r="E76" s="3"/>
      <c r="F76" s="1" t="s">
        <v>28</v>
      </c>
      <c r="G76" s="4">
        <v>0.21319444444444444</v>
      </c>
      <c r="H76" s="1" t="s">
        <v>189</v>
      </c>
      <c r="I76" s="1" t="s">
        <v>30</v>
      </c>
      <c r="J76" s="4">
        <v>0.44375</v>
      </c>
      <c r="K76" s="1" t="s">
        <v>326</v>
      </c>
      <c r="L76" s="1" t="s">
        <v>28</v>
      </c>
      <c r="M76" s="4">
        <v>0.6979166666666666</v>
      </c>
      <c r="N76" s="1" t="s">
        <v>337</v>
      </c>
      <c r="O76" s="1" t="s">
        <v>30</v>
      </c>
      <c r="P76" s="4">
        <v>0.9791666666666666</v>
      </c>
      <c r="Q76" s="1" t="s">
        <v>124</v>
      </c>
      <c r="R76" s="1">
        <f t="shared" si="1"/>
        <v>65</v>
      </c>
      <c r="S76" s="1">
        <f t="shared" si="2"/>
        <v>128</v>
      </c>
      <c r="T76" s="5">
        <f t="shared" si="3"/>
        <v>128</v>
      </c>
      <c r="U76" s="5" t="s">
        <v>47</v>
      </c>
      <c r="Y76" s="9" t="s">
        <v>48</v>
      </c>
      <c r="Z76" s="9" t="s">
        <v>49</v>
      </c>
      <c r="AA76" s="9" t="s">
        <v>50</v>
      </c>
      <c r="AB76" s="9" t="s">
        <v>51</v>
      </c>
      <c r="AC76" s="9" t="s">
        <v>52</v>
      </c>
      <c r="AD76" s="9" t="s">
        <v>53</v>
      </c>
      <c r="AE76" s="9" t="s">
        <v>54</v>
      </c>
    </row>
    <row r="77">
      <c r="A77" s="1" t="s">
        <v>345</v>
      </c>
      <c r="B77" s="2">
        <v>17.0</v>
      </c>
      <c r="C77" s="1" t="s">
        <v>75</v>
      </c>
      <c r="D77" s="6"/>
      <c r="E77" s="3"/>
      <c r="F77" s="1" t="s">
        <v>28</v>
      </c>
      <c r="G77" s="4">
        <v>0.23055555555555557</v>
      </c>
      <c r="H77" s="1" t="s">
        <v>192</v>
      </c>
      <c r="I77" s="1" t="s">
        <v>30</v>
      </c>
      <c r="J77" s="4">
        <v>0.4701388888888889</v>
      </c>
      <c r="K77" s="1" t="s">
        <v>257</v>
      </c>
      <c r="L77" s="1" t="s">
        <v>28</v>
      </c>
      <c r="M77" s="4">
        <v>0.7236111111111111</v>
      </c>
      <c r="N77" s="1" t="s">
        <v>338</v>
      </c>
      <c r="O77" s="1" t="s">
        <v>30</v>
      </c>
      <c r="P77" s="4">
        <v>0.9979166666666667</v>
      </c>
      <c r="Q77" s="1" t="s">
        <v>252</v>
      </c>
      <c r="R77" s="1">
        <f t="shared" si="1"/>
        <v>92</v>
      </c>
      <c r="S77" s="1">
        <f t="shared" si="2"/>
        <v>144</v>
      </c>
      <c r="T77" s="5">
        <f t="shared" si="3"/>
        <v>144</v>
      </c>
      <c r="U77" s="5" t="s">
        <v>47</v>
      </c>
      <c r="Y77" s="10" t="s">
        <v>60</v>
      </c>
      <c r="Z77" s="10" t="s">
        <v>60</v>
      </c>
      <c r="AA77" s="10" t="s">
        <v>226</v>
      </c>
      <c r="AB77" s="10" t="s">
        <v>303</v>
      </c>
      <c r="AC77" s="10" t="s">
        <v>304</v>
      </c>
      <c r="AD77" s="11" t="s">
        <v>339</v>
      </c>
      <c r="AE77" s="11" t="s">
        <v>340</v>
      </c>
    </row>
    <row r="78">
      <c r="A78" s="1" t="s">
        <v>345</v>
      </c>
      <c r="B78" s="2">
        <v>18.0</v>
      </c>
      <c r="C78" s="1" t="s">
        <v>86</v>
      </c>
      <c r="D78" s="6"/>
      <c r="E78" s="3"/>
      <c r="F78" s="1" t="s">
        <v>28</v>
      </c>
      <c r="G78" s="4">
        <v>0.24861111111111112</v>
      </c>
      <c r="H78" s="1" t="s">
        <v>307</v>
      </c>
      <c r="I78" s="1" t="s">
        <v>30</v>
      </c>
      <c r="J78" s="4">
        <v>0.4951388888888889</v>
      </c>
      <c r="K78" s="1" t="s">
        <v>182</v>
      </c>
      <c r="L78" s="1" t="s">
        <v>28</v>
      </c>
      <c r="M78" s="4">
        <v>0.7486111111111111</v>
      </c>
      <c r="N78" s="1" t="s">
        <v>211</v>
      </c>
      <c r="R78" s="1">
        <f t="shared" si="1"/>
        <v>117</v>
      </c>
      <c r="S78" s="1">
        <f t="shared" si="2"/>
        <v>76</v>
      </c>
      <c r="T78" s="5">
        <f t="shared" si="3"/>
        <v>117</v>
      </c>
      <c r="U78" s="5" t="s">
        <v>90</v>
      </c>
      <c r="Y78" s="10" t="s">
        <v>341</v>
      </c>
      <c r="Z78" s="10" t="s">
        <v>272</v>
      </c>
      <c r="AA78" s="10" t="s">
        <v>308</v>
      </c>
      <c r="AB78" s="10" t="s">
        <v>72</v>
      </c>
      <c r="AC78" s="10" t="s">
        <v>342</v>
      </c>
      <c r="AD78" s="11" t="s">
        <v>343</v>
      </c>
      <c r="AE78" s="11" t="s">
        <v>344</v>
      </c>
    </row>
    <row r="79">
      <c r="A79" s="1" t="s">
        <v>345</v>
      </c>
      <c r="B79" s="2">
        <v>19.0</v>
      </c>
      <c r="C79" s="1" t="s">
        <v>26</v>
      </c>
      <c r="D79" s="6"/>
      <c r="E79" s="7" t="s">
        <v>143</v>
      </c>
      <c r="F79" s="1" t="s">
        <v>30</v>
      </c>
      <c r="G79" s="4">
        <v>0.017361111111111112</v>
      </c>
      <c r="H79" s="1" t="s">
        <v>219</v>
      </c>
      <c r="I79" s="1" t="s">
        <v>28</v>
      </c>
      <c r="J79" s="4">
        <v>0.26666666666666666</v>
      </c>
      <c r="K79" s="1" t="s">
        <v>158</v>
      </c>
      <c r="L79" s="1" t="s">
        <v>30</v>
      </c>
      <c r="M79" s="4">
        <v>0.5201388888888889</v>
      </c>
      <c r="N79" s="1" t="s">
        <v>129</v>
      </c>
      <c r="O79" s="1" t="s">
        <v>28</v>
      </c>
      <c r="P79" s="4">
        <v>0.7736111111111111</v>
      </c>
      <c r="Q79" s="1" t="s">
        <v>346</v>
      </c>
      <c r="R79" s="1">
        <f t="shared" si="1"/>
        <v>138</v>
      </c>
      <c r="S79" s="1">
        <f t="shared" si="2"/>
        <v>155</v>
      </c>
      <c r="T79" s="5">
        <f t="shared" si="3"/>
        <v>155</v>
      </c>
      <c r="U79" s="5" t="s">
        <v>47</v>
      </c>
      <c r="Y79" s="10" t="s">
        <v>347</v>
      </c>
      <c r="Z79" s="10" t="s">
        <v>348</v>
      </c>
      <c r="AA79" s="10" t="s">
        <v>237</v>
      </c>
      <c r="AB79" s="10" t="s">
        <v>83</v>
      </c>
      <c r="AC79" s="10" t="s">
        <v>201</v>
      </c>
      <c r="AD79" s="11" t="s">
        <v>239</v>
      </c>
      <c r="AE79" s="11" t="s">
        <v>349</v>
      </c>
    </row>
    <row r="80">
      <c r="A80" s="1" t="s">
        <v>345</v>
      </c>
      <c r="B80" s="2">
        <v>20.0</v>
      </c>
      <c r="C80" s="1" t="s">
        <v>34</v>
      </c>
      <c r="D80" s="6"/>
      <c r="E80" s="3"/>
      <c r="F80" s="1" t="s">
        <v>30</v>
      </c>
      <c r="G80" s="4">
        <v>0.03611111111111111</v>
      </c>
      <c r="H80" s="1" t="s">
        <v>219</v>
      </c>
      <c r="I80" s="1" t="s">
        <v>28</v>
      </c>
      <c r="J80" s="4">
        <v>0.2861111111111111</v>
      </c>
      <c r="K80" s="1" t="s">
        <v>338</v>
      </c>
      <c r="L80" s="1" t="s">
        <v>30</v>
      </c>
      <c r="M80" s="4">
        <v>0.5465277777777777</v>
      </c>
      <c r="N80" s="1" t="s">
        <v>132</v>
      </c>
      <c r="O80" s="1" t="s">
        <v>28</v>
      </c>
      <c r="P80" s="4">
        <v>0.7993055555555556</v>
      </c>
      <c r="Q80" s="1" t="s">
        <v>46</v>
      </c>
      <c r="R80" s="1">
        <f t="shared" si="1"/>
        <v>146</v>
      </c>
      <c r="S80" s="1">
        <f t="shared" si="2"/>
        <v>158</v>
      </c>
      <c r="T80" s="5">
        <f t="shared" si="3"/>
        <v>158</v>
      </c>
      <c r="U80" s="5" t="s">
        <v>47</v>
      </c>
      <c r="Y80" s="10" t="s">
        <v>350</v>
      </c>
      <c r="Z80" s="10" t="s">
        <v>351</v>
      </c>
      <c r="AA80" s="10" t="s">
        <v>283</v>
      </c>
      <c r="AB80" s="10" t="s">
        <v>243</v>
      </c>
      <c r="AC80" s="10" t="s">
        <v>320</v>
      </c>
      <c r="AD80" s="11" t="s">
        <v>245</v>
      </c>
      <c r="AE80" s="11" t="s">
        <v>246</v>
      </c>
    </row>
    <row r="81">
      <c r="A81" s="1" t="s">
        <v>345</v>
      </c>
      <c r="B81" s="2">
        <v>21.0</v>
      </c>
      <c r="C81" s="1" t="s">
        <v>41</v>
      </c>
      <c r="D81" s="1" t="s">
        <v>42</v>
      </c>
      <c r="E81" s="3"/>
      <c r="F81" s="1" t="s">
        <v>30</v>
      </c>
      <c r="G81" s="4">
        <v>0.05555555555555555</v>
      </c>
      <c r="H81" s="1" t="s">
        <v>215</v>
      </c>
      <c r="I81" s="1" t="s">
        <v>28</v>
      </c>
      <c r="J81" s="4">
        <v>0.30694444444444446</v>
      </c>
      <c r="K81" s="1" t="s">
        <v>59</v>
      </c>
      <c r="L81" s="1" t="s">
        <v>30</v>
      </c>
      <c r="M81" s="4">
        <v>0.5729166666666666</v>
      </c>
      <c r="N81" s="1" t="s">
        <v>177</v>
      </c>
      <c r="O81" s="1" t="s">
        <v>28</v>
      </c>
      <c r="P81" s="4">
        <v>0.8256944444444444</v>
      </c>
      <c r="Q81" s="1" t="s">
        <v>78</v>
      </c>
      <c r="R81" s="1">
        <f t="shared" si="1"/>
        <v>147</v>
      </c>
      <c r="S81" s="1">
        <f t="shared" si="2"/>
        <v>151</v>
      </c>
      <c r="T81" s="5">
        <f t="shared" si="3"/>
        <v>151</v>
      </c>
      <c r="U81" s="5" t="s">
        <v>47</v>
      </c>
      <c r="Y81" s="10" t="s">
        <v>208</v>
      </c>
      <c r="Z81" s="10" t="s">
        <v>352</v>
      </c>
      <c r="AA81" s="10" t="s">
        <v>353</v>
      </c>
      <c r="AB81" s="10" t="s">
        <v>354</v>
      </c>
      <c r="AC81" s="10" t="s">
        <v>212</v>
      </c>
      <c r="AD81" s="10" t="s">
        <v>60</v>
      </c>
      <c r="AE81" s="10" t="s">
        <v>60</v>
      </c>
    </row>
    <row r="82">
      <c r="A82" s="1" t="s">
        <v>345</v>
      </c>
      <c r="B82" s="2">
        <v>22.0</v>
      </c>
      <c r="C82" s="1" t="s">
        <v>55</v>
      </c>
      <c r="D82" s="1" t="s">
        <v>42</v>
      </c>
      <c r="E82" s="3"/>
      <c r="F82" s="1" t="s">
        <v>30</v>
      </c>
      <c r="G82" s="4">
        <v>0.075</v>
      </c>
      <c r="H82" s="1" t="s">
        <v>182</v>
      </c>
      <c r="I82" s="1" t="s">
        <v>28</v>
      </c>
      <c r="J82" s="4">
        <v>0.3298611111111111</v>
      </c>
      <c r="K82" s="1" t="s">
        <v>298</v>
      </c>
      <c r="L82" s="1" t="s">
        <v>30</v>
      </c>
      <c r="M82" s="4">
        <v>0.6020833333333333</v>
      </c>
      <c r="N82" s="1" t="s">
        <v>260</v>
      </c>
      <c r="O82" s="1" t="s">
        <v>28</v>
      </c>
      <c r="P82" s="4">
        <v>0.8541666666666666</v>
      </c>
      <c r="Q82" s="1" t="s">
        <v>301</v>
      </c>
      <c r="R82" s="1">
        <f t="shared" si="1"/>
        <v>141</v>
      </c>
      <c r="S82" s="1">
        <f t="shared" si="2"/>
        <v>134</v>
      </c>
      <c r="T82" s="5">
        <f t="shared" si="3"/>
        <v>141</v>
      </c>
      <c r="U82" s="5" t="s">
        <v>47</v>
      </c>
      <c r="Y82" s="10" t="s">
        <v>60</v>
      </c>
      <c r="Z82" s="10" t="s">
        <v>60</v>
      </c>
      <c r="AA82" s="10" t="s">
        <v>60</v>
      </c>
      <c r="AB82" s="10" t="s">
        <v>60</v>
      </c>
      <c r="AC82" s="10" t="s">
        <v>60</v>
      </c>
      <c r="AD82" s="10" t="s">
        <v>60</v>
      </c>
      <c r="AE82" s="10" t="s">
        <v>60</v>
      </c>
    </row>
    <row r="83">
      <c r="A83" s="1" t="s">
        <v>345</v>
      </c>
      <c r="B83" s="2">
        <v>23.0</v>
      </c>
      <c r="C83" s="1" t="s">
        <v>25</v>
      </c>
      <c r="D83" s="6"/>
      <c r="E83" s="3"/>
      <c r="F83" s="1" t="s">
        <v>30</v>
      </c>
      <c r="G83" s="4">
        <v>0.09513888888888888</v>
      </c>
      <c r="H83" s="1" t="s">
        <v>146</v>
      </c>
      <c r="I83" s="1" t="s">
        <v>28</v>
      </c>
      <c r="J83" s="4">
        <v>0.3541666666666667</v>
      </c>
      <c r="K83" s="1" t="s">
        <v>67</v>
      </c>
      <c r="L83" s="1" t="s">
        <v>30</v>
      </c>
      <c r="M83" s="4">
        <v>0.6340277777777777</v>
      </c>
      <c r="N83" s="1" t="s">
        <v>129</v>
      </c>
      <c r="O83" s="1" t="s">
        <v>28</v>
      </c>
      <c r="P83" s="4">
        <v>0.8847222222222222</v>
      </c>
      <c r="Q83" s="1" t="s">
        <v>214</v>
      </c>
      <c r="R83" s="1">
        <f t="shared" si="1"/>
        <v>127</v>
      </c>
      <c r="S83" s="1">
        <f t="shared" si="2"/>
        <v>107</v>
      </c>
      <c r="T83" s="5">
        <f t="shared" si="3"/>
        <v>127</v>
      </c>
      <c r="U83" s="5" t="s">
        <v>47</v>
      </c>
      <c r="Y83" s="6"/>
      <c r="Z83" s="6"/>
      <c r="AA83" s="6"/>
      <c r="AB83" s="6"/>
      <c r="AC83" s="6"/>
      <c r="AD83" s="6"/>
      <c r="AE83" s="6"/>
    </row>
    <row r="84">
      <c r="A84" s="1" t="s">
        <v>345</v>
      </c>
      <c r="B84" s="2">
        <v>24.0</v>
      </c>
      <c r="C84" s="1" t="s">
        <v>75</v>
      </c>
      <c r="D84" s="6"/>
      <c r="E84" s="3"/>
      <c r="F84" s="1" t="s">
        <v>30</v>
      </c>
      <c r="G84" s="4">
        <v>0.11597222222222223</v>
      </c>
      <c r="H84" s="1" t="s">
        <v>115</v>
      </c>
      <c r="I84" s="1" t="s">
        <v>28</v>
      </c>
      <c r="J84" s="4">
        <v>0.38263888888888886</v>
      </c>
      <c r="K84" s="1" t="s">
        <v>167</v>
      </c>
      <c r="L84" s="1" t="s">
        <v>30</v>
      </c>
      <c r="M84" s="4">
        <v>0.6729166666666667</v>
      </c>
      <c r="N84" s="1" t="s">
        <v>66</v>
      </c>
      <c r="O84" s="1" t="s">
        <v>28</v>
      </c>
      <c r="P84" s="4">
        <v>0.9229166666666667</v>
      </c>
      <c r="Q84" s="1" t="s">
        <v>44</v>
      </c>
      <c r="R84" s="1">
        <f t="shared" si="1"/>
        <v>108</v>
      </c>
      <c r="S84" s="1">
        <f t="shared" si="2"/>
        <v>75</v>
      </c>
      <c r="T84" s="5">
        <f t="shared" si="3"/>
        <v>108</v>
      </c>
      <c r="U84" s="5" t="s">
        <v>90</v>
      </c>
      <c r="Y84" s="6"/>
      <c r="Z84" s="6"/>
      <c r="AA84" s="6"/>
      <c r="AB84" s="6"/>
      <c r="AC84" s="6"/>
      <c r="AD84" s="6"/>
      <c r="AE84" s="6"/>
    </row>
    <row r="85">
      <c r="A85" s="1" t="s">
        <v>345</v>
      </c>
      <c r="B85" s="2">
        <v>25.0</v>
      </c>
      <c r="C85" s="1" t="s">
        <v>86</v>
      </c>
      <c r="D85" s="6"/>
      <c r="E85" s="3"/>
      <c r="F85" s="1" t="s">
        <v>30</v>
      </c>
      <c r="G85" s="4">
        <v>0.14027777777777778</v>
      </c>
      <c r="H85" s="1" t="s">
        <v>250</v>
      </c>
      <c r="I85" s="1" t="s">
        <v>28</v>
      </c>
      <c r="J85" s="4">
        <v>0.41875</v>
      </c>
      <c r="K85" s="1" t="s">
        <v>307</v>
      </c>
      <c r="L85" s="1" t="s">
        <v>30</v>
      </c>
      <c r="M85" s="4">
        <v>0.7291666666666666</v>
      </c>
      <c r="N85" s="1" t="s">
        <v>257</v>
      </c>
      <c r="O85" s="1" t="s">
        <v>28</v>
      </c>
      <c r="P85" s="4">
        <v>0.9909722222222223</v>
      </c>
      <c r="Q85" s="1" t="s">
        <v>278</v>
      </c>
      <c r="R85" s="1">
        <f t="shared" si="1"/>
        <v>84</v>
      </c>
      <c r="S85" s="1">
        <f t="shared" si="2"/>
        <v>49</v>
      </c>
      <c r="T85" s="5">
        <f t="shared" si="3"/>
        <v>84</v>
      </c>
      <c r="U85" s="5" t="s">
        <v>39</v>
      </c>
    </row>
    <row r="86">
      <c r="A86" s="1" t="s">
        <v>345</v>
      </c>
      <c r="B86" s="2">
        <v>26.0</v>
      </c>
      <c r="C86" s="1" t="s">
        <v>26</v>
      </c>
      <c r="D86" s="6"/>
      <c r="E86" s="7" t="s">
        <v>184</v>
      </c>
      <c r="F86" s="1" t="s">
        <v>30</v>
      </c>
      <c r="G86" s="4">
        <v>0.17569444444444443</v>
      </c>
      <c r="H86" s="1" t="s">
        <v>355</v>
      </c>
      <c r="I86" s="1" t="s">
        <v>28</v>
      </c>
      <c r="J86" s="4">
        <v>0.4736111111111111</v>
      </c>
      <c r="K86" s="1" t="s">
        <v>131</v>
      </c>
      <c r="L86" s="1" t="s">
        <v>30</v>
      </c>
      <c r="M86" s="4">
        <v>0.8173611111111111</v>
      </c>
      <c r="N86" s="1" t="s">
        <v>200</v>
      </c>
      <c r="R86" s="1">
        <f t="shared" si="1"/>
        <v>61</v>
      </c>
      <c r="S86" s="1">
        <f t="shared" si="2"/>
        <v>48</v>
      </c>
      <c r="T86" s="5">
        <f t="shared" si="3"/>
        <v>61</v>
      </c>
      <c r="U86" s="5" t="s">
        <v>39</v>
      </c>
      <c r="Y86" s="6"/>
      <c r="Z86" s="6"/>
      <c r="AA86" s="6"/>
      <c r="AB86" s="6"/>
      <c r="AC86" s="6"/>
      <c r="AD86" s="6"/>
      <c r="AE86" s="6"/>
    </row>
    <row r="87">
      <c r="A87" s="1" t="s">
        <v>345</v>
      </c>
      <c r="B87" s="2">
        <v>27.0</v>
      </c>
      <c r="C87" s="1" t="s">
        <v>34</v>
      </c>
      <c r="D87" s="6"/>
      <c r="E87" s="3"/>
      <c r="F87" s="1" t="s">
        <v>28</v>
      </c>
      <c r="G87" s="4">
        <v>0.10208333333333333</v>
      </c>
      <c r="H87" s="1" t="s">
        <v>356</v>
      </c>
      <c r="I87" s="1" t="s">
        <v>30</v>
      </c>
      <c r="J87" s="4">
        <v>0.26180555555555557</v>
      </c>
      <c r="K87" s="1" t="s">
        <v>329</v>
      </c>
      <c r="L87" s="1" t="s">
        <v>28</v>
      </c>
      <c r="M87" s="4">
        <v>0.5590277777777778</v>
      </c>
      <c r="N87" s="1" t="s">
        <v>357</v>
      </c>
      <c r="O87" s="1" t="s">
        <v>30</v>
      </c>
      <c r="P87" s="4">
        <v>0.8861111111111111</v>
      </c>
      <c r="Q87" s="1" t="s">
        <v>37</v>
      </c>
      <c r="R87" s="1">
        <f t="shared" si="1"/>
        <v>9</v>
      </c>
      <c r="S87" s="1">
        <f t="shared" si="2"/>
        <v>91</v>
      </c>
      <c r="T87" s="5">
        <f t="shared" si="3"/>
        <v>91</v>
      </c>
      <c r="U87" s="5" t="s">
        <v>90</v>
      </c>
      <c r="Y87" s="8" t="s">
        <v>358</v>
      </c>
    </row>
    <row r="88">
      <c r="A88" s="1" t="s">
        <v>345</v>
      </c>
      <c r="B88" s="2">
        <v>28.0</v>
      </c>
      <c r="C88" s="1" t="s">
        <v>41</v>
      </c>
      <c r="D88" s="1" t="s">
        <v>42</v>
      </c>
      <c r="E88" s="3"/>
      <c r="F88" s="1" t="s">
        <v>28</v>
      </c>
      <c r="G88" s="4">
        <v>0.15555555555555556</v>
      </c>
      <c r="H88" s="1" t="s">
        <v>359</v>
      </c>
      <c r="I88" s="1" t="s">
        <v>30</v>
      </c>
      <c r="J88" s="4">
        <v>0.3659722222222222</v>
      </c>
      <c r="K88" s="1" t="s">
        <v>235</v>
      </c>
      <c r="L88" s="1" t="s">
        <v>28</v>
      </c>
      <c r="M88" s="4">
        <v>0.6256944444444444</v>
      </c>
      <c r="N88" s="1" t="s">
        <v>360</v>
      </c>
      <c r="O88" s="1" t="s">
        <v>30</v>
      </c>
      <c r="P88" s="4">
        <v>0.925</v>
      </c>
      <c r="Q88" s="1" t="s">
        <v>88</v>
      </c>
      <c r="R88" s="1">
        <f t="shared" si="1"/>
        <v>27</v>
      </c>
      <c r="S88" s="1">
        <f t="shared" si="2"/>
        <v>106</v>
      </c>
      <c r="T88" s="5">
        <f t="shared" si="3"/>
        <v>106</v>
      </c>
      <c r="U88" s="5" t="s">
        <v>90</v>
      </c>
      <c r="Y88" s="9" t="s">
        <v>48</v>
      </c>
      <c r="Z88" s="9" t="s">
        <v>49</v>
      </c>
      <c r="AA88" s="9" t="s">
        <v>50</v>
      </c>
      <c r="AB88" s="9" t="s">
        <v>51</v>
      </c>
      <c r="AC88" s="9" t="s">
        <v>52</v>
      </c>
      <c r="AD88" s="9" t="s">
        <v>53</v>
      </c>
      <c r="AE88" s="9" t="s">
        <v>54</v>
      </c>
    </row>
    <row r="89">
      <c r="A89" s="1" t="s">
        <v>345</v>
      </c>
      <c r="B89" s="2">
        <v>29.0</v>
      </c>
      <c r="C89" s="1" t="s">
        <v>55</v>
      </c>
      <c r="D89" s="1" t="s">
        <v>42</v>
      </c>
      <c r="E89" s="3"/>
      <c r="F89" s="1" t="s">
        <v>28</v>
      </c>
      <c r="G89" s="4">
        <v>0.18194444444444444</v>
      </c>
      <c r="H89" s="1" t="s">
        <v>256</v>
      </c>
      <c r="I89" s="1" t="s">
        <v>30</v>
      </c>
      <c r="J89" s="4">
        <v>0.4166666666666667</v>
      </c>
      <c r="K89" s="1" t="s">
        <v>250</v>
      </c>
      <c r="L89" s="1" t="s">
        <v>28</v>
      </c>
      <c r="M89" s="4">
        <v>0.66875</v>
      </c>
      <c r="N89" s="1" t="s">
        <v>147</v>
      </c>
      <c r="O89" s="1" t="s">
        <v>30</v>
      </c>
      <c r="P89" s="4">
        <v>0.9534722222222223</v>
      </c>
      <c r="Q89" s="1" t="s">
        <v>274</v>
      </c>
      <c r="R89" s="1">
        <f t="shared" si="1"/>
        <v>55</v>
      </c>
      <c r="S89" s="1">
        <f t="shared" si="2"/>
        <v>122</v>
      </c>
      <c r="T89" s="5">
        <f t="shared" si="3"/>
        <v>122</v>
      </c>
      <c r="U89" s="5" t="s">
        <v>90</v>
      </c>
      <c r="Y89" s="10" t="s">
        <v>60</v>
      </c>
      <c r="Z89" s="10" t="s">
        <v>60</v>
      </c>
      <c r="AA89" s="10" t="s">
        <v>60</v>
      </c>
      <c r="AB89" s="10" t="s">
        <v>60</v>
      </c>
      <c r="AC89" s="10" t="s">
        <v>60</v>
      </c>
      <c r="AD89" s="11" t="s">
        <v>133</v>
      </c>
      <c r="AE89" s="11" t="s">
        <v>361</v>
      </c>
    </row>
    <row r="90">
      <c r="A90" s="1" t="s">
        <v>345</v>
      </c>
      <c r="B90" s="2">
        <v>30.0</v>
      </c>
      <c r="C90" s="1" t="s">
        <v>25</v>
      </c>
      <c r="D90" s="6"/>
      <c r="E90" s="3"/>
      <c r="F90" s="1" t="s">
        <v>28</v>
      </c>
      <c r="G90" s="4">
        <v>0.20347222222222222</v>
      </c>
      <c r="H90" s="1" t="s">
        <v>218</v>
      </c>
      <c r="I90" s="1" t="s">
        <v>30</v>
      </c>
      <c r="J90" s="4">
        <v>0.44930555555555557</v>
      </c>
      <c r="K90" s="1" t="s">
        <v>112</v>
      </c>
      <c r="L90" s="1" t="s">
        <v>28</v>
      </c>
      <c r="M90" s="4">
        <v>0.7013888888888888</v>
      </c>
      <c r="N90" s="1" t="s">
        <v>78</v>
      </c>
      <c r="O90" s="1" t="s">
        <v>30</v>
      </c>
      <c r="P90" s="4">
        <v>0.9756944444444444</v>
      </c>
      <c r="Q90" s="1" t="s">
        <v>124</v>
      </c>
      <c r="R90" s="1">
        <f t="shared" si="1"/>
        <v>81</v>
      </c>
      <c r="S90" s="1">
        <f t="shared" si="2"/>
        <v>131</v>
      </c>
      <c r="T90" s="5">
        <f t="shared" si="3"/>
        <v>131</v>
      </c>
      <c r="U90" s="5" t="s">
        <v>47</v>
      </c>
      <c r="Y90" s="10" t="s">
        <v>304</v>
      </c>
      <c r="Z90" s="10" t="s">
        <v>271</v>
      </c>
      <c r="AA90" s="10" t="s">
        <v>362</v>
      </c>
      <c r="AB90" s="10" t="s">
        <v>363</v>
      </c>
      <c r="AC90" s="10" t="s">
        <v>272</v>
      </c>
      <c r="AD90" s="11" t="s">
        <v>194</v>
      </c>
      <c r="AE90" s="11" t="s">
        <v>364</v>
      </c>
    </row>
    <row r="91">
      <c r="A91" s="1" t="s">
        <v>345</v>
      </c>
      <c r="B91" s="2">
        <v>31.0</v>
      </c>
      <c r="C91" s="1" t="s">
        <v>75</v>
      </c>
      <c r="D91" s="6"/>
      <c r="E91" s="3"/>
      <c r="F91" s="1" t="s">
        <v>28</v>
      </c>
      <c r="G91" s="4">
        <v>0.2222222222222222</v>
      </c>
      <c r="H91" s="1" t="s">
        <v>179</v>
      </c>
      <c r="I91" s="1" t="s">
        <v>30</v>
      </c>
      <c r="J91" s="4">
        <v>0.4756944444444444</v>
      </c>
      <c r="K91" s="1" t="s">
        <v>186</v>
      </c>
      <c r="L91" s="1" t="s">
        <v>28</v>
      </c>
      <c r="M91" s="4">
        <v>0.7291666666666666</v>
      </c>
      <c r="N91" s="1" t="s">
        <v>38</v>
      </c>
      <c r="O91" s="1" t="s">
        <v>30</v>
      </c>
      <c r="P91" s="4">
        <v>0.9951388888888889</v>
      </c>
      <c r="Q91" s="1" t="s">
        <v>174</v>
      </c>
      <c r="R91" s="1">
        <f t="shared" si="1"/>
        <v>105</v>
      </c>
      <c r="S91" s="1">
        <f t="shared" si="2"/>
        <v>133</v>
      </c>
      <c r="T91" s="5">
        <f t="shared" si="3"/>
        <v>133</v>
      </c>
      <c r="U91" s="5" t="s">
        <v>47</v>
      </c>
      <c r="Y91" s="10" t="s">
        <v>365</v>
      </c>
      <c r="Z91" s="10" t="s">
        <v>366</v>
      </c>
      <c r="AA91" s="10" t="s">
        <v>367</v>
      </c>
      <c r="AB91" s="10" t="s">
        <v>368</v>
      </c>
      <c r="AC91" s="10" t="s">
        <v>369</v>
      </c>
      <c r="AD91" s="11" t="s">
        <v>370</v>
      </c>
      <c r="AE91" s="11" t="s">
        <v>275</v>
      </c>
    </row>
    <row r="92">
      <c r="A92" s="1" t="s">
        <v>413</v>
      </c>
      <c r="B92" s="2">
        <v>1.0</v>
      </c>
      <c r="C92" s="1" t="s">
        <v>86</v>
      </c>
      <c r="D92" s="6"/>
      <c r="E92" s="3"/>
      <c r="F92" s="1" t="s">
        <v>28</v>
      </c>
      <c r="G92" s="4">
        <v>0.24097222222222223</v>
      </c>
      <c r="H92" s="1" t="s">
        <v>267</v>
      </c>
      <c r="I92" s="1" t="s">
        <v>30</v>
      </c>
      <c r="J92" s="4">
        <v>0.5</v>
      </c>
      <c r="K92" s="1" t="s">
        <v>124</v>
      </c>
      <c r="L92" s="1" t="s">
        <v>28</v>
      </c>
      <c r="M92" s="4">
        <v>0.7541666666666667</v>
      </c>
      <c r="N92" s="1" t="s">
        <v>38</v>
      </c>
      <c r="R92" s="1">
        <f t="shared" si="1"/>
        <v>122</v>
      </c>
      <c r="S92" s="1">
        <f t="shared" si="2"/>
        <v>65</v>
      </c>
      <c r="T92" s="5">
        <f t="shared" si="3"/>
        <v>122</v>
      </c>
      <c r="U92" s="5" t="s">
        <v>90</v>
      </c>
      <c r="Y92" s="10" t="s">
        <v>371</v>
      </c>
      <c r="Z92" s="10" t="s">
        <v>372</v>
      </c>
      <c r="AA92" s="10" t="s">
        <v>373</v>
      </c>
      <c r="AB92" s="10" t="s">
        <v>374</v>
      </c>
      <c r="AC92" s="10" t="s">
        <v>375</v>
      </c>
      <c r="AD92" s="11" t="s">
        <v>376</v>
      </c>
      <c r="AE92" s="11" t="s">
        <v>377</v>
      </c>
    </row>
    <row r="93">
      <c r="A93" s="1" t="s">
        <v>413</v>
      </c>
      <c r="B93" s="2">
        <v>2.0</v>
      </c>
      <c r="C93" s="1" t="s">
        <v>26</v>
      </c>
      <c r="D93" s="6"/>
      <c r="E93" s="7" t="s">
        <v>35</v>
      </c>
      <c r="F93" s="1" t="s">
        <v>30</v>
      </c>
      <c r="G93" s="4">
        <v>0.011805555555555555</v>
      </c>
      <c r="H93" s="1" t="s">
        <v>66</v>
      </c>
      <c r="I93" s="1" t="s">
        <v>28</v>
      </c>
      <c r="J93" s="4">
        <v>0.2590277777777778</v>
      </c>
      <c r="K93" s="1" t="s">
        <v>378</v>
      </c>
      <c r="L93" s="1" t="s">
        <v>30</v>
      </c>
      <c r="M93" s="4">
        <v>0.5215277777777778</v>
      </c>
      <c r="N93" s="1" t="s">
        <v>252</v>
      </c>
      <c r="O93" s="1" t="s">
        <v>28</v>
      </c>
      <c r="P93" s="4">
        <v>0.7770833333333333</v>
      </c>
      <c r="Q93" s="1" t="s">
        <v>378</v>
      </c>
      <c r="R93" s="1">
        <f t="shared" si="1"/>
        <v>125</v>
      </c>
      <c r="S93" s="1">
        <f t="shared" si="2"/>
        <v>135</v>
      </c>
      <c r="T93" s="5">
        <f t="shared" si="3"/>
        <v>135</v>
      </c>
      <c r="U93" s="5" t="s">
        <v>47</v>
      </c>
      <c r="Y93" s="10" t="s">
        <v>207</v>
      </c>
      <c r="Z93" s="10" t="s">
        <v>379</v>
      </c>
      <c r="AA93" s="10" t="s">
        <v>380</v>
      </c>
      <c r="AB93" s="10" t="s">
        <v>381</v>
      </c>
      <c r="AC93" s="10" t="s">
        <v>382</v>
      </c>
      <c r="AD93" s="11" t="s">
        <v>383</v>
      </c>
      <c r="AE93" s="11" t="s">
        <v>288</v>
      </c>
    </row>
    <row r="94">
      <c r="A94" s="1" t="s">
        <v>413</v>
      </c>
      <c r="B94" s="2">
        <v>3.0</v>
      </c>
      <c r="C94" s="1" t="s">
        <v>34</v>
      </c>
      <c r="D94" s="1" t="s">
        <v>264</v>
      </c>
      <c r="E94" s="3"/>
      <c r="F94" s="1" t="s">
        <v>30</v>
      </c>
      <c r="G94" s="4">
        <v>0.027777777777777776</v>
      </c>
      <c r="H94" s="1" t="s">
        <v>110</v>
      </c>
      <c r="I94" s="1" t="s">
        <v>28</v>
      </c>
      <c r="J94" s="4">
        <v>0.27708333333333335</v>
      </c>
      <c r="K94" s="1" t="s">
        <v>216</v>
      </c>
      <c r="L94" s="1" t="s">
        <v>30</v>
      </c>
      <c r="M94" s="4">
        <v>0.5430555555555555</v>
      </c>
      <c r="N94" s="1" t="s">
        <v>219</v>
      </c>
      <c r="O94" s="1" t="s">
        <v>28</v>
      </c>
      <c r="P94" s="4">
        <v>0.7993055555555556</v>
      </c>
      <c r="Q94" s="1" t="s">
        <v>267</v>
      </c>
      <c r="R94" s="1">
        <f t="shared" si="1"/>
        <v>125</v>
      </c>
      <c r="S94" s="1">
        <f t="shared" si="2"/>
        <v>130</v>
      </c>
      <c r="T94" s="5">
        <f t="shared" si="3"/>
        <v>130</v>
      </c>
      <c r="U94" s="5" t="s">
        <v>47</v>
      </c>
      <c r="Y94" s="10" t="s">
        <v>212</v>
      </c>
      <c r="Z94" s="10" t="s">
        <v>60</v>
      </c>
      <c r="AA94" s="10" t="s">
        <v>60</v>
      </c>
      <c r="AB94" s="10" t="s">
        <v>60</v>
      </c>
      <c r="AC94" s="10" t="s">
        <v>60</v>
      </c>
      <c r="AD94" s="10" t="s">
        <v>60</v>
      </c>
      <c r="AE94" s="10" t="s">
        <v>60</v>
      </c>
    </row>
    <row r="95">
      <c r="A95" s="1" t="s">
        <v>413</v>
      </c>
      <c r="B95" s="2">
        <v>4.0</v>
      </c>
      <c r="C95" s="1" t="s">
        <v>41</v>
      </c>
      <c r="D95" s="1" t="s">
        <v>384</v>
      </c>
      <c r="E95" s="3"/>
      <c r="F95" s="1" t="s">
        <v>30</v>
      </c>
      <c r="G95" s="4">
        <v>0.04375</v>
      </c>
      <c r="H95" s="1" t="s">
        <v>146</v>
      </c>
      <c r="I95" s="1" t="s">
        <v>28</v>
      </c>
      <c r="J95" s="4">
        <v>0.29444444444444445</v>
      </c>
      <c r="K95" s="1" t="s">
        <v>385</v>
      </c>
      <c r="L95" s="1" t="s">
        <v>30</v>
      </c>
      <c r="M95" s="4">
        <v>0.5645833333333333</v>
      </c>
      <c r="N95" s="1" t="s">
        <v>386</v>
      </c>
      <c r="O95" s="1" t="s">
        <v>28</v>
      </c>
      <c r="P95" s="4">
        <v>0.8208333333333333</v>
      </c>
      <c r="Q95" s="1" t="s">
        <v>360</v>
      </c>
      <c r="R95" s="1">
        <f t="shared" si="1"/>
        <v>122</v>
      </c>
      <c r="S95" s="1">
        <f t="shared" si="2"/>
        <v>120</v>
      </c>
      <c r="T95" s="5">
        <f t="shared" si="3"/>
        <v>122</v>
      </c>
      <c r="U95" s="5" t="s">
        <v>90</v>
      </c>
      <c r="Y95" s="6"/>
      <c r="Z95" s="6"/>
      <c r="AA95" s="6"/>
      <c r="AB95" s="6"/>
      <c r="AC95" s="6"/>
      <c r="AD95" s="6"/>
      <c r="AE95" s="6"/>
    </row>
    <row r="96">
      <c r="A96" s="1" t="s">
        <v>413</v>
      </c>
      <c r="B96" s="2">
        <v>5.0</v>
      </c>
      <c r="C96" s="1" t="s">
        <v>55</v>
      </c>
      <c r="D96" s="1" t="s">
        <v>387</v>
      </c>
      <c r="E96" s="3"/>
      <c r="F96" s="1" t="s">
        <v>30</v>
      </c>
      <c r="G96" s="4">
        <v>0.059722222222222225</v>
      </c>
      <c r="H96" s="1" t="s">
        <v>114</v>
      </c>
      <c r="I96" s="1" t="s">
        <v>28</v>
      </c>
      <c r="J96" s="4">
        <v>0.3125</v>
      </c>
      <c r="K96" s="1" t="s">
        <v>38</v>
      </c>
      <c r="L96" s="1" t="s">
        <v>30</v>
      </c>
      <c r="M96" s="4">
        <v>0.5868055555555556</v>
      </c>
      <c r="N96" s="1" t="s">
        <v>108</v>
      </c>
      <c r="O96" s="1" t="s">
        <v>28</v>
      </c>
      <c r="P96" s="4">
        <v>0.8423611111111111</v>
      </c>
      <c r="Q96" s="1" t="s">
        <v>218</v>
      </c>
      <c r="R96" s="1">
        <f t="shared" si="1"/>
        <v>116</v>
      </c>
      <c r="S96" s="1">
        <f t="shared" si="2"/>
        <v>106</v>
      </c>
      <c r="T96" s="5">
        <f t="shared" si="3"/>
        <v>116</v>
      </c>
      <c r="U96" s="5" t="s">
        <v>90</v>
      </c>
      <c r="Y96" s="6"/>
      <c r="Z96" s="6"/>
      <c r="AA96" s="6"/>
      <c r="AB96" s="6"/>
      <c r="AC96" s="6"/>
      <c r="AD96" s="6"/>
      <c r="AE96" s="6"/>
    </row>
    <row r="97">
      <c r="A97" s="1" t="s">
        <v>413</v>
      </c>
      <c r="B97" s="2">
        <v>6.0</v>
      </c>
      <c r="C97" s="1" t="s">
        <v>25</v>
      </c>
      <c r="D97" s="1" t="s">
        <v>264</v>
      </c>
      <c r="E97" s="3"/>
      <c r="F97" s="1" t="s">
        <v>30</v>
      </c>
      <c r="G97" s="4">
        <v>0.07569444444444444</v>
      </c>
      <c r="H97" s="1" t="s">
        <v>115</v>
      </c>
      <c r="I97" s="1" t="s">
        <v>28</v>
      </c>
      <c r="J97" s="4">
        <v>0.33125</v>
      </c>
      <c r="K97" s="1" t="s">
        <v>158</v>
      </c>
      <c r="L97" s="1" t="s">
        <v>30</v>
      </c>
      <c r="M97" s="4">
        <v>0.6097222222222223</v>
      </c>
      <c r="N97" s="1" t="s">
        <v>182</v>
      </c>
      <c r="O97" s="1" t="s">
        <v>28</v>
      </c>
      <c r="P97" s="4">
        <v>0.8638888888888889</v>
      </c>
      <c r="Q97" s="1" t="s">
        <v>123</v>
      </c>
      <c r="R97" s="1">
        <f t="shared" si="1"/>
        <v>106</v>
      </c>
      <c r="S97" s="1">
        <f t="shared" si="2"/>
        <v>89</v>
      </c>
      <c r="T97" s="5">
        <f t="shared" si="3"/>
        <v>106</v>
      </c>
      <c r="U97" s="5" t="s">
        <v>90</v>
      </c>
    </row>
    <row r="98">
      <c r="A98" s="1" t="s">
        <v>413</v>
      </c>
      <c r="B98" s="2">
        <v>7.0</v>
      </c>
      <c r="C98" s="1" t="s">
        <v>75</v>
      </c>
      <c r="D98" s="6"/>
      <c r="E98" s="3"/>
      <c r="F98" s="1" t="s">
        <v>30</v>
      </c>
      <c r="G98" s="4">
        <v>0.09305555555555556</v>
      </c>
      <c r="H98" s="1" t="s">
        <v>120</v>
      </c>
      <c r="I98" s="1" t="s">
        <v>28</v>
      </c>
      <c r="J98" s="4">
        <v>0.35208333333333336</v>
      </c>
      <c r="K98" s="1" t="s">
        <v>388</v>
      </c>
      <c r="L98" s="1" t="s">
        <v>30</v>
      </c>
      <c r="M98" s="4">
        <v>0.6347222222222222</v>
      </c>
      <c r="N98" s="1" t="s">
        <v>146</v>
      </c>
      <c r="O98" s="1" t="s">
        <v>28</v>
      </c>
      <c r="P98" s="4">
        <v>0.8875</v>
      </c>
      <c r="Q98" s="1" t="s">
        <v>57</v>
      </c>
      <c r="R98" s="1">
        <f t="shared" si="1"/>
        <v>95</v>
      </c>
      <c r="S98" s="1">
        <f t="shared" si="2"/>
        <v>69</v>
      </c>
      <c r="T98" s="5">
        <f t="shared" si="3"/>
        <v>95</v>
      </c>
      <c r="U98" s="5" t="s">
        <v>90</v>
      </c>
      <c r="Y98" s="6"/>
      <c r="Z98" s="6"/>
      <c r="AA98" s="6"/>
      <c r="AB98" s="6"/>
      <c r="AC98" s="6"/>
      <c r="AD98" s="6"/>
      <c r="AE98" s="6"/>
    </row>
    <row r="99">
      <c r="A99" s="1" t="s">
        <v>413</v>
      </c>
      <c r="B99" s="2">
        <v>8.0</v>
      </c>
      <c r="C99" s="1" t="s">
        <v>86</v>
      </c>
      <c r="D99" s="6"/>
      <c r="E99" s="3"/>
      <c r="F99" s="1" t="s">
        <v>30</v>
      </c>
      <c r="G99" s="4">
        <v>0.11041666666666666</v>
      </c>
      <c r="H99" s="1" t="s">
        <v>389</v>
      </c>
      <c r="I99" s="1" t="s">
        <v>28</v>
      </c>
      <c r="J99" s="4">
        <v>0.375</v>
      </c>
      <c r="K99" s="1" t="s">
        <v>89</v>
      </c>
      <c r="L99" s="1" t="s">
        <v>30</v>
      </c>
      <c r="M99" s="4">
        <v>0.6645833333333333</v>
      </c>
      <c r="N99" s="1" t="s">
        <v>223</v>
      </c>
      <c r="O99" s="1" t="s">
        <v>28</v>
      </c>
      <c r="P99" s="4">
        <v>0.91875</v>
      </c>
      <c r="Q99" s="1" t="s">
        <v>249</v>
      </c>
      <c r="R99" s="1">
        <f t="shared" si="1"/>
        <v>80</v>
      </c>
      <c r="S99" s="1">
        <f t="shared" si="2"/>
        <v>50</v>
      </c>
      <c r="T99" s="5">
        <f t="shared" si="3"/>
        <v>80</v>
      </c>
      <c r="U99" s="5" t="s">
        <v>39</v>
      </c>
      <c r="Y99" s="8" t="s">
        <v>390</v>
      </c>
    </row>
    <row r="100">
      <c r="A100" s="1" t="s">
        <v>413</v>
      </c>
      <c r="B100" s="2">
        <v>9.0</v>
      </c>
      <c r="C100" s="1" t="s">
        <v>26</v>
      </c>
      <c r="D100" s="6"/>
      <c r="E100" s="3"/>
      <c r="F100" s="1" t="s">
        <v>30</v>
      </c>
      <c r="G100" s="4">
        <v>0.13125</v>
      </c>
      <c r="H100" s="1" t="s">
        <v>291</v>
      </c>
      <c r="I100" s="1" t="s">
        <v>28</v>
      </c>
      <c r="J100" s="4">
        <v>0.4041666666666667</v>
      </c>
      <c r="K100" s="1" t="s">
        <v>131</v>
      </c>
      <c r="L100" s="1" t="s">
        <v>30</v>
      </c>
      <c r="M100" s="4">
        <v>0.7090277777777778</v>
      </c>
      <c r="N100" s="1" t="s">
        <v>191</v>
      </c>
      <c r="O100" s="1" t="s">
        <v>28</v>
      </c>
      <c r="P100" s="4">
        <v>0.9895833333333334</v>
      </c>
      <c r="Q100" s="1" t="s">
        <v>356</v>
      </c>
      <c r="R100" s="1">
        <f t="shared" si="1"/>
        <v>62</v>
      </c>
      <c r="S100" s="1">
        <f t="shared" si="2"/>
        <v>33</v>
      </c>
      <c r="T100" s="5">
        <f t="shared" si="3"/>
        <v>62</v>
      </c>
      <c r="U100" s="5" t="s">
        <v>39</v>
      </c>
      <c r="Y100" s="9" t="s">
        <v>48</v>
      </c>
      <c r="Z100" s="9" t="s">
        <v>49</v>
      </c>
      <c r="AA100" s="9" t="s">
        <v>50</v>
      </c>
      <c r="AB100" s="9" t="s">
        <v>51</v>
      </c>
      <c r="AC100" s="9" t="s">
        <v>52</v>
      </c>
      <c r="AD100" s="9" t="s">
        <v>53</v>
      </c>
      <c r="AE100" s="9" t="s">
        <v>54</v>
      </c>
    </row>
    <row r="101">
      <c r="A101" s="1" t="s">
        <v>413</v>
      </c>
      <c r="B101" s="2">
        <v>10.0</v>
      </c>
      <c r="C101" s="1" t="s">
        <v>34</v>
      </c>
      <c r="D101" s="6"/>
      <c r="E101" s="7" t="s">
        <v>107</v>
      </c>
      <c r="F101" s="1" t="s">
        <v>30</v>
      </c>
      <c r="G101" s="4">
        <v>0.16319444444444445</v>
      </c>
      <c r="H101" s="1" t="s">
        <v>290</v>
      </c>
      <c r="I101" s="1" t="s">
        <v>28</v>
      </c>
      <c r="J101" s="4">
        <v>0.4479166666666667</v>
      </c>
      <c r="K101" s="1" t="s">
        <v>183</v>
      </c>
      <c r="L101" s="1" t="s">
        <v>30</v>
      </c>
      <c r="M101" s="4">
        <v>0.7881944444444444</v>
      </c>
      <c r="N101" s="1" t="s">
        <v>391</v>
      </c>
      <c r="R101" s="1">
        <f t="shared" si="1"/>
        <v>45</v>
      </c>
      <c r="S101" s="1">
        <f t="shared" si="2"/>
        <v>30</v>
      </c>
      <c r="T101" s="5">
        <f t="shared" si="3"/>
        <v>45</v>
      </c>
      <c r="U101" s="5" t="s">
        <v>39</v>
      </c>
      <c r="Y101" s="10" t="s">
        <v>60</v>
      </c>
      <c r="Z101" s="10" t="s">
        <v>392</v>
      </c>
      <c r="AA101" s="10" t="s">
        <v>303</v>
      </c>
      <c r="AB101" s="10" t="s">
        <v>393</v>
      </c>
      <c r="AC101" s="10" t="s">
        <v>394</v>
      </c>
      <c r="AD101" s="11" t="s">
        <v>395</v>
      </c>
      <c r="AE101" s="11" t="s">
        <v>396</v>
      </c>
    </row>
    <row r="102">
      <c r="A102" s="1" t="s">
        <v>413</v>
      </c>
      <c r="B102" s="2">
        <v>11.0</v>
      </c>
      <c r="C102" s="1" t="s">
        <v>41</v>
      </c>
      <c r="D102" s="1" t="s">
        <v>42</v>
      </c>
      <c r="E102" s="3"/>
      <c r="F102" s="1" t="s">
        <v>28</v>
      </c>
      <c r="G102" s="4">
        <v>0.08958333333333333</v>
      </c>
      <c r="H102" s="1" t="s">
        <v>397</v>
      </c>
      <c r="I102" s="1" t="s">
        <v>30</v>
      </c>
      <c r="J102" s="4">
        <v>0.24722222222222223</v>
      </c>
      <c r="K102" s="1" t="s">
        <v>398</v>
      </c>
      <c r="L102" s="1" t="s">
        <v>28</v>
      </c>
      <c r="M102" s="4">
        <v>0.5243055555555556</v>
      </c>
      <c r="N102" s="1" t="s">
        <v>181</v>
      </c>
      <c r="O102" s="1" t="s">
        <v>30</v>
      </c>
      <c r="P102" s="4">
        <v>0.8604166666666667</v>
      </c>
      <c r="Q102" s="1" t="s">
        <v>286</v>
      </c>
      <c r="R102" s="1">
        <f t="shared" si="1"/>
        <v>7</v>
      </c>
      <c r="S102" s="1">
        <f t="shared" si="2"/>
        <v>63</v>
      </c>
      <c r="T102" s="5">
        <f t="shared" si="3"/>
        <v>63</v>
      </c>
      <c r="U102" s="5" t="s">
        <v>39</v>
      </c>
      <c r="Y102" s="10" t="s">
        <v>70</v>
      </c>
      <c r="Z102" s="10" t="s">
        <v>399</v>
      </c>
      <c r="AA102" s="10" t="s">
        <v>400</v>
      </c>
      <c r="AB102" s="10" t="s">
        <v>365</v>
      </c>
      <c r="AC102" s="10" t="s">
        <v>401</v>
      </c>
      <c r="AD102" s="11" t="s">
        <v>344</v>
      </c>
      <c r="AE102" s="11" t="s">
        <v>311</v>
      </c>
    </row>
    <row r="103">
      <c r="A103" s="1" t="s">
        <v>413</v>
      </c>
      <c r="B103" s="2">
        <v>12.0</v>
      </c>
      <c r="C103" s="1" t="s">
        <v>55</v>
      </c>
      <c r="D103" s="1" t="s">
        <v>42</v>
      </c>
      <c r="E103" s="3"/>
      <c r="F103" s="1" t="s">
        <v>28</v>
      </c>
      <c r="G103" s="4">
        <v>0.13402777777777777</v>
      </c>
      <c r="H103" s="1" t="s">
        <v>157</v>
      </c>
      <c r="I103" s="1" t="s">
        <v>30</v>
      </c>
      <c r="J103" s="4">
        <v>0.3375</v>
      </c>
      <c r="K103" s="1" t="s">
        <v>332</v>
      </c>
      <c r="L103" s="1" t="s">
        <v>28</v>
      </c>
      <c r="M103" s="4">
        <v>0.5958333333333333</v>
      </c>
      <c r="N103" s="1" t="s">
        <v>402</v>
      </c>
      <c r="O103" s="1" t="s">
        <v>30</v>
      </c>
      <c r="P103" s="4">
        <v>0.8972222222222223</v>
      </c>
      <c r="Q103" s="1" t="s">
        <v>333</v>
      </c>
      <c r="R103" s="1">
        <f t="shared" si="1"/>
        <v>22</v>
      </c>
      <c r="S103" s="1">
        <f t="shared" si="2"/>
        <v>77</v>
      </c>
      <c r="T103" s="5">
        <f t="shared" si="3"/>
        <v>77</v>
      </c>
      <c r="U103" s="5" t="s">
        <v>39</v>
      </c>
      <c r="Y103" s="10" t="s">
        <v>369</v>
      </c>
      <c r="Z103" s="10" t="s">
        <v>82</v>
      </c>
      <c r="AA103" s="10" t="s">
        <v>403</v>
      </c>
      <c r="AB103" s="10" t="s">
        <v>404</v>
      </c>
      <c r="AC103" s="10" t="s">
        <v>372</v>
      </c>
      <c r="AD103" s="11" t="s">
        <v>405</v>
      </c>
      <c r="AE103" s="11" t="s">
        <v>406</v>
      </c>
    </row>
    <row r="104">
      <c r="A104" s="1" t="s">
        <v>413</v>
      </c>
      <c r="B104" s="2">
        <v>13.0</v>
      </c>
      <c r="C104" s="1" t="s">
        <v>25</v>
      </c>
      <c r="D104" s="6"/>
      <c r="E104" s="3"/>
      <c r="F104" s="1" t="s">
        <v>28</v>
      </c>
      <c r="G104" s="4">
        <v>0.15833333333333333</v>
      </c>
      <c r="H104" s="1" t="s">
        <v>176</v>
      </c>
      <c r="I104" s="1" t="s">
        <v>30</v>
      </c>
      <c r="J104" s="4">
        <v>0.38819444444444445</v>
      </c>
      <c r="K104" s="1" t="s">
        <v>241</v>
      </c>
      <c r="L104" s="1" t="s">
        <v>28</v>
      </c>
      <c r="M104" s="4">
        <v>0.6402777777777777</v>
      </c>
      <c r="N104" s="1" t="s">
        <v>335</v>
      </c>
      <c r="O104" s="1" t="s">
        <v>30</v>
      </c>
      <c r="P104" s="4">
        <v>0.9229166666666667</v>
      </c>
      <c r="Q104" s="1" t="s">
        <v>134</v>
      </c>
      <c r="R104" s="1">
        <f t="shared" si="1"/>
        <v>47</v>
      </c>
      <c r="S104" s="1">
        <f t="shared" si="2"/>
        <v>96</v>
      </c>
      <c r="T104" s="5">
        <f t="shared" si="3"/>
        <v>96</v>
      </c>
      <c r="U104" s="5" t="s">
        <v>90</v>
      </c>
      <c r="Y104" s="10" t="s">
        <v>375</v>
      </c>
      <c r="Z104" s="10" t="s">
        <v>283</v>
      </c>
      <c r="AA104" s="10" t="s">
        <v>95</v>
      </c>
      <c r="AB104" s="10" t="s">
        <v>207</v>
      </c>
      <c r="AC104" s="10" t="s">
        <v>407</v>
      </c>
      <c r="AD104" s="11" t="s">
        <v>408</v>
      </c>
      <c r="AE104" s="11" t="s">
        <v>409</v>
      </c>
    </row>
    <row r="105">
      <c r="A105" s="1" t="s">
        <v>413</v>
      </c>
      <c r="B105" s="2">
        <v>14.0</v>
      </c>
      <c r="C105" s="1" t="s">
        <v>75</v>
      </c>
      <c r="D105" s="6"/>
      <c r="E105" s="3"/>
      <c r="F105" s="1" t="s">
        <v>28</v>
      </c>
      <c r="G105" s="4">
        <v>0.17847222222222223</v>
      </c>
      <c r="H105" s="1" t="s">
        <v>262</v>
      </c>
      <c r="I105" s="1" t="s">
        <v>30</v>
      </c>
      <c r="J105" s="4">
        <v>0.4222222222222222</v>
      </c>
      <c r="K105" s="1" t="s">
        <v>120</v>
      </c>
      <c r="L105" s="1" t="s">
        <v>28</v>
      </c>
      <c r="M105" s="4">
        <v>0.6736111111111112</v>
      </c>
      <c r="N105" s="1" t="s">
        <v>410</v>
      </c>
      <c r="O105" s="1" t="s">
        <v>30</v>
      </c>
      <c r="P105" s="4">
        <v>0.9451388888888889</v>
      </c>
      <c r="Q105" s="1" t="s">
        <v>277</v>
      </c>
      <c r="R105" s="1">
        <f t="shared" si="1"/>
        <v>77</v>
      </c>
      <c r="S105" s="1">
        <f t="shared" si="2"/>
        <v>114</v>
      </c>
      <c r="T105" s="5">
        <f t="shared" si="3"/>
        <v>114</v>
      </c>
      <c r="U105" s="5" t="s">
        <v>90</v>
      </c>
      <c r="Y105" s="10" t="s">
        <v>411</v>
      </c>
      <c r="Z105" s="10" t="s">
        <v>324</v>
      </c>
      <c r="AA105" s="10" t="s">
        <v>105</v>
      </c>
      <c r="AB105" s="10" t="s">
        <v>60</v>
      </c>
      <c r="AC105" s="10" t="s">
        <v>60</v>
      </c>
      <c r="AD105" s="10" t="s">
        <v>60</v>
      </c>
      <c r="AE105" s="10" t="s">
        <v>60</v>
      </c>
    </row>
    <row r="106">
      <c r="A106" s="1" t="s">
        <v>413</v>
      </c>
      <c r="B106" s="2">
        <v>15.0</v>
      </c>
      <c r="C106" s="1" t="s">
        <v>86</v>
      </c>
      <c r="D106" s="6"/>
      <c r="E106" s="3"/>
      <c r="F106" s="1" t="s">
        <v>28</v>
      </c>
      <c r="G106" s="4">
        <v>0.19791666666666666</v>
      </c>
      <c r="H106" s="1" t="s">
        <v>195</v>
      </c>
      <c r="I106" s="1" t="s">
        <v>30</v>
      </c>
      <c r="J106" s="4">
        <v>0.45069444444444445</v>
      </c>
      <c r="K106" s="1" t="s">
        <v>146</v>
      </c>
      <c r="L106" s="1" t="s">
        <v>28</v>
      </c>
      <c r="M106" s="4">
        <v>0.7034722222222223</v>
      </c>
      <c r="N106" s="1" t="s">
        <v>38</v>
      </c>
      <c r="O106" s="1" t="s">
        <v>30</v>
      </c>
      <c r="P106" s="4">
        <v>0.9666666666666667</v>
      </c>
      <c r="Q106" s="1" t="s">
        <v>110</v>
      </c>
      <c r="R106" s="1">
        <f t="shared" si="1"/>
        <v>108</v>
      </c>
      <c r="S106" s="1">
        <f t="shared" si="2"/>
        <v>126</v>
      </c>
      <c r="T106" s="5">
        <f t="shared" si="3"/>
        <v>126</v>
      </c>
      <c r="U106" s="5" t="s">
        <v>47</v>
      </c>
      <c r="Y106" s="10" t="s">
        <v>60</v>
      </c>
      <c r="Z106" s="10" t="s">
        <v>60</v>
      </c>
      <c r="AA106" s="10" t="s">
        <v>60</v>
      </c>
      <c r="AB106" s="10" t="s">
        <v>60</v>
      </c>
      <c r="AC106" s="10" t="s">
        <v>60</v>
      </c>
      <c r="AD106" s="10" t="s">
        <v>60</v>
      </c>
      <c r="AE106" s="10" t="s">
        <v>60</v>
      </c>
    </row>
    <row r="107">
      <c r="A107" s="1" t="s">
        <v>413</v>
      </c>
      <c r="B107" s="2">
        <v>16.0</v>
      </c>
      <c r="C107" s="1" t="s">
        <v>26</v>
      </c>
      <c r="D107" s="6"/>
      <c r="E107" s="3"/>
      <c r="F107" s="1" t="s">
        <v>28</v>
      </c>
      <c r="G107" s="4">
        <v>0.21805555555555556</v>
      </c>
      <c r="H107" s="1" t="s">
        <v>38</v>
      </c>
      <c r="I107" s="1" t="s">
        <v>30</v>
      </c>
      <c r="J107" s="4">
        <v>0.4777777777777778</v>
      </c>
      <c r="K107" s="1" t="s">
        <v>108</v>
      </c>
      <c r="L107" s="1" t="s">
        <v>28</v>
      </c>
      <c r="M107" s="4">
        <v>0.7319444444444444</v>
      </c>
      <c r="N107" s="1" t="s">
        <v>412</v>
      </c>
      <c r="O107" s="1" t="s">
        <v>30</v>
      </c>
      <c r="P107" s="4">
        <v>0.9875</v>
      </c>
      <c r="Q107" s="1" t="s">
        <v>58</v>
      </c>
      <c r="R107" s="1">
        <f t="shared" si="1"/>
        <v>137</v>
      </c>
      <c r="S107" s="1">
        <f t="shared" si="2"/>
        <v>133</v>
      </c>
      <c r="T107" s="5">
        <f t="shared" si="3"/>
        <v>137</v>
      </c>
      <c r="U107" s="5" t="s">
        <v>47</v>
      </c>
      <c r="Y107" s="6"/>
      <c r="Z107" s="6"/>
      <c r="AA107" s="6"/>
      <c r="AB107" s="6"/>
      <c r="AC107" s="6"/>
      <c r="AD107" s="6"/>
      <c r="AE107" s="6"/>
    </row>
    <row r="108">
      <c r="A108" s="1" t="s">
        <v>413</v>
      </c>
      <c r="B108" s="2">
        <v>17.0</v>
      </c>
      <c r="C108" s="1" t="s">
        <v>34</v>
      </c>
      <c r="D108" s="6"/>
      <c r="E108" s="7" t="s">
        <v>143</v>
      </c>
      <c r="F108" s="1" t="s">
        <v>28</v>
      </c>
      <c r="G108" s="4">
        <v>0.2388888888888889</v>
      </c>
      <c r="H108" s="1" t="s">
        <v>211</v>
      </c>
      <c r="I108" s="1" t="s">
        <v>30</v>
      </c>
      <c r="J108" s="4">
        <v>0.5055555555555555</v>
      </c>
      <c r="K108" s="1" t="s">
        <v>300</v>
      </c>
      <c r="L108" s="1" t="s">
        <v>28</v>
      </c>
      <c r="M108" s="4">
        <v>0.7597222222222222</v>
      </c>
      <c r="N108" s="1" t="s">
        <v>338</v>
      </c>
      <c r="R108" s="1">
        <f t="shared" si="1"/>
        <v>161</v>
      </c>
      <c r="S108" s="1">
        <f t="shared" si="2"/>
        <v>69</v>
      </c>
      <c r="T108" s="5">
        <f t="shared" si="3"/>
        <v>161</v>
      </c>
      <c r="U108" s="5" t="s">
        <v>47</v>
      </c>
      <c r="Y108" s="6"/>
      <c r="Z108" s="6"/>
      <c r="AA108" s="6"/>
      <c r="AB108" s="6"/>
      <c r="AC108" s="6"/>
      <c r="AD108" s="6"/>
      <c r="AE108" s="6"/>
    </row>
    <row r="109">
      <c r="A109" s="1" t="s">
        <v>413</v>
      </c>
      <c r="B109" s="2">
        <v>18.0</v>
      </c>
      <c r="C109" s="1" t="s">
        <v>41</v>
      </c>
      <c r="D109" s="1" t="s">
        <v>42</v>
      </c>
      <c r="E109" s="3"/>
      <c r="F109" s="1" t="s">
        <v>30</v>
      </c>
      <c r="G109" s="4">
        <v>0.009027777777777777</v>
      </c>
      <c r="H109" s="1" t="s">
        <v>88</v>
      </c>
      <c r="I109" s="1" t="s">
        <v>28</v>
      </c>
      <c r="J109" s="4">
        <v>0.26180555555555557</v>
      </c>
      <c r="K109" s="1" t="s">
        <v>414</v>
      </c>
      <c r="L109" s="1" t="s">
        <v>30</v>
      </c>
      <c r="M109" s="4">
        <v>0.5333333333333333</v>
      </c>
      <c r="N109" s="1" t="s">
        <v>415</v>
      </c>
      <c r="O109" s="1" t="s">
        <v>28</v>
      </c>
      <c r="P109" s="4">
        <v>0.7888888888888889</v>
      </c>
      <c r="Q109" s="1" t="s">
        <v>167</v>
      </c>
      <c r="R109" s="1">
        <f t="shared" si="1"/>
        <v>147</v>
      </c>
      <c r="S109" s="1">
        <f t="shared" si="2"/>
        <v>156</v>
      </c>
      <c r="T109" s="5">
        <f t="shared" si="3"/>
        <v>156</v>
      </c>
      <c r="U109" s="5" t="s">
        <v>47</v>
      </c>
    </row>
    <row r="110">
      <c r="A110" s="1" t="s">
        <v>413</v>
      </c>
      <c r="B110" s="2">
        <v>19.0</v>
      </c>
      <c r="C110" s="1" t="s">
        <v>55</v>
      </c>
      <c r="D110" s="1" t="s">
        <v>42</v>
      </c>
      <c r="E110" s="3"/>
      <c r="F110" s="1" t="s">
        <v>30</v>
      </c>
      <c r="G110" s="4">
        <v>0.03125</v>
      </c>
      <c r="H110" s="1" t="s">
        <v>99</v>
      </c>
      <c r="I110" s="1" t="s">
        <v>28</v>
      </c>
      <c r="J110" s="4">
        <v>0.2861111111111111</v>
      </c>
      <c r="K110" s="1" t="s">
        <v>416</v>
      </c>
      <c r="L110" s="1" t="s">
        <v>30</v>
      </c>
      <c r="M110" s="4">
        <v>0.5638888888888889</v>
      </c>
      <c r="N110" s="1" t="s">
        <v>175</v>
      </c>
      <c r="O110" s="1" t="s">
        <v>28</v>
      </c>
      <c r="P110" s="4">
        <v>0.81875</v>
      </c>
      <c r="Q110" s="1" t="s">
        <v>195</v>
      </c>
      <c r="R110" s="1">
        <f t="shared" si="1"/>
        <v>147</v>
      </c>
      <c r="S110" s="1">
        <f t="shared" si="2"/>
        <v>146</v>
      </c>
      <c r="T110" s="5">
        <f t="shared" si="3"/>
        <v>147</v>
      </c>
      <c r="U110" s="5" t="s">
        <v>47</v>
      </c>
      <c r="Y110" s="6"/>
      <c r="Z110" s="6"/>
      <c r="AA110" s="6"/>
      <c r="AB110" s="6"/>
      <c r="AC110" s="6"/>
      <c r="AD110" s="6"/>
      <c r="AE110" s="6"/>
    </row>
    <row r="111">
      <c r="A111" s="1" t="s">
        <v>413</v>
      </c>
      <c r="B111" s="2">
        <v>20.0</v>
      </c>
      <c r="C111" s="1" t="s">
        <v>25</v>
      </c>
      <c r="D111" s="6"/>
      <c r="E111" s="3"/>
      <c r="F111" s="1" t="s">
        <v>30</v>
      </c>
      <c r="G111" s="4">
        <v>0.05416666666666667</v>
      </c>
      <c r="H111" s="1" t="s">
        <v>31</v>
      </c>
      <c r="I111" s="1" t="s">
        <v>28</v>
      </c>
      <c r="J111" s="4">
        <v>0.31319444444444444</v>
      </c>
      <c r="K111" s="1" t="s">
        <v>417</v>
      </c>
      <c r="L111" s="1" t="s">
        <v>30</v>
      </c>
      <c r="M111" s="4">
        <v>0.5958333333333333</v>
      </c>
      <c r="N111" s="1" t="s">
        <v>177</v>
      </c>
      <c r="O111" s="1" t="s">
        <v>28</v>
      </c>
      <c r="P111" s="4">
        <v>0.8513888888888889</v>
      </c>
      <c r="Q111" s="1" t="s">
        <v>262</v>
      </c>
      <c r="R111" s="1">
        <f t="shared" si="1"/>
        <v>139</v>
      </c>
      <c r="S111" s="1">
        <f t="shared" si="2"/>
        <v>127</v>
      </c>
      <c r="T111" s="5">
        <f t="shared" si="3"/>
        <v>139</v>
      </c>
      <c r="U111" s="5" t="s">
        <v>47</v>
      </c>
      <c r="Y111" s="8" t="s">
        <v>418</v>
      </c>
    </row>
    <row r="112">
      <c r="A112" s="1" t="s">
        <v>413</v>
      </c>
      <c r="B112" s="2">
        <v>21.0</v>
      </c>
      <c r="C112" s="1" t="s">
        <v>75</v>
      </c>
      <c r="D112" s="6"/>
      <c r="E112" s="3"/>
      <c r="F112" s="1" t="s">
        <v>30</v>
      </c>
      <c r="G112" s="4">
        <v>0.07847222222222222</v>
      </c>
      <c r="H112" s="1" t="s">
        <v>117</v>
      </c>
      <c r="I112" s="1" t="s">
        <v>28</v>
      </c>
      <c r="J112" s="4">
        <v>0.3423611111111111</v>
      </c>
      <c r="K112" s="1" t="s">
        <v>419</v>
      </c>
      <c r="L112" s="1" t="s">
        <v>30</v>
      </c>
      <c r="M112" s="4">
        <v>0.6319444444444444</v>
      </c>
      <c r="N112" s="1" t="s">
        <v>129</v>
      </c>
      <c r="O112" s="1" t="s">
        <v>28</v>
      </c>
      <c r="P112" s="4">
        <v>0.8875</v>
      </c>
      <c r="Q112" s="1" t="s">
        <v>123</v>
      </c>
      <c r="R112" s="1">
        <f t="shared" si="1"/>
        <v>124</v>
      </c>
      <c r="S112" s="1">
        <f t="shared" si="2"/>
        <v>101</v>
      </c>
      <c r="T112" s="5">
        <f t="shared" si="3"/>
        <v>124</v>
      </c>
      <c r="U112" s="5" t="s">
        <v>47</v>
      </c>
      <c r="Y112" s="9" t="s">
        <v>48</v>
      </c>
      <c r="Z112" s="9" t="s">
        <v>49</v>
      </c>
      <c r="AA112" s="9" t="s">
        <v>50</v>
      </c>
      <c r="AB112" s="9" t="s">
        <v>51</v>
      </c>
      <c r="AC112" s="9" t="s">
        <v>52</v>
      </c>
      <c r="AD112" s="9" t="s">
        <v>53</v>
      </c>
      <c r="AE112" s="9" t="s">
        <v>54</v>
      </c>
    </row>
    <row r="113">
      <c r="A113" s="1" t="s">
        <v>413</v>
      </c>
      <c r="B113" s="2">
        <v>22.0</v>
      </c>
      <c r="C113" s="1" t="s">
        <v>86</v>
      </c>
      <c r="D113" s="6"/>
      <c r="E113" s="3"/>
      <c r="F113" s="1" t="s">
        <v>30</v>
      </c>
      <c r="G113" s="4">
        <v>0.10555555555555556</v>
      </c>
      <c r="H113" s="1" t="s">
        <v>328</v>
      </c>
      <c r="I113" s="1" t="s">
        <v>28</v>
      </c>
      <c r="J113" s="4">
        <v>0.37569444444444444</v>
      </c>
      <c r="K113" s="1" t="s">
        <v>338</v>
      </c>
      <c r="L113" s="1" t="s">
        <v>30</v>
      </c>
      <c r="M113" s="4">
        <v>0.6756944444444445</v>
      </c>
      <c r="N113" s="1" t="s">
        <v>313</v>
      </c>
      <c r="O113" s="1" t="s">
        <v>28</v>
      </c>
      <c r="P113" s="4">
        <v>0.9354166666666667</v>
      </c>
      <c r="Q113" s="1" t="s">
        <v>44</v>
      </c>
      <c r="R113" s="1">
        <f t="shared" si="1"/>
        <v>103</v>
      </c>
      <c r="S113" s="1">
        <f t="shared" si="2"/>
        <v>74</v>
      </c>
      <c r="T113" s="5">
        <f t="shared" si="3"/>
        <v>103</v>
      </c>
      <c r="U113" s="5" t="s">
        <v>90</v>
      </c>
      <c r="Y113" s="10" t="s">
        <v>60</v>
      </c>
      <c r="Z113" s="10" t="s">
        <v>60</v>
      </c>
      <c r="AA113" s="10" t="s">
        <v>60</v>
      </c>
      <c r="AB113" s="10" t="s">
        <v>226</v>
      </c>
      <c r="AC113" s="10" t="s">
        <v>62</v>
      </c>
      <c r="AD113" s="11" t="s">
        <v>420</v>
      </c>
      <c r="AE113" s="11" t="s">
        <v>421</v>
      </c>
    </row>
    <row r="114">
      <c r="A114" s="1" t="s">
        <v>413</v>
      </c>
      <c r="B114" s="2">
        <v>23.0</v>
      </c>
      <c r="C114" s="1" t="s">
        <v>26</v>
      </c>
      <c r="D114" s="6"/>
      <c r="E114" s="3"/>
      <c r="F114" s="1" t="s">
        <v>30</v>
      </c>
      <c r="G114" s="4">
        <v>0.13958333333333334</v>
      </c>
      <c r="H114" s="1" t="s">
        <v>422</v>
      </c>
      <c r="I114" s="1" t="s">
        <v>28</v>
      </c>
      <c r="J114" s="4">
        <v>0.4173611111111111</v>
      </c>
      <c r="K114" s="1" t="s">
        <v>388</v>
      </c>
      <c r="L114" s="1" t="s">
        <v>30</v>
      </c>
      <c r="M114" s="4">
        <v>0.7333333333333333</v>
      </c>
      <c r="N114" s="1" t="s">
        <v>31</v>
      </c>
      <c r="R114" s="1">
        <f t="shared" si="1"/>
        <v>80</v>
      </c>
      <c r="S114" s="1">
        <f t="shared" si="2"/>
        <v>52</v>
      </c>
      <c r="T114" s="5">
        <f t="shared" si="3"/>
        <v>80</v>
      </c>
      <c r="U114" s="5" t="s">
        <v>39</v>
      </c>
      <c r="Y114" s="10" t="s">
        <v>139</v>
      </c>
      <c r="Z114" s="10" t="s">
        <v>140</v>
      </c>
      <c r="AA114" s="10" t="s">
        <v>70</v>
      </c>
      <c r="AB114" s="10" t="s">
        <v>399</v>
      </c>
      <c r="AC114" s="10" t="s">
        <v>423</v>
      </c>
      <c r="AD114" s="11" t="s">
        <v>424</v>
      </c>
      <c r="AE114" s="11" t="s">
        <v>425</v>
      </c>
    </row>
    <row r="115">
      <c r="A115" s="1" t="s">
        <v>413</v>
      </c>
      <c r="B115" s="2">
        <v>24.0</v>
      </c>
      <c r="C115" s="1" t="s">
        <v>34</v>
      </c>
      <c r="D115" s="6"/>
      <c r="E115" s="7" t="s">
        <v>184</v>
      </c>
      <c r="F115" s="1" t="s">
        <v>28</v>
      </c>
      <c r="G115" s="4">
        <v>0.003472222222222222</v>
      </c>
      <c r="H115" s="1" t="s">
        <v>426</v>
      </c>
      <c r="I115" s="1" t="s">
        <v>30</v>
      </c>
      <c r="J115" s="4">
        <v>0.19375</v>
      </c>
      <c r="K115" s="1" t="s">
        <v>427</v>
      </c>
      <c r="L115" s="1" t="s">
        <v>28</v>
      </c>
      <c r="M115" s="4">
        <v>0.4756944444444444</v>
      </c>
      <c r="N115" s="1" t="s">
        <v>360</v>
      </c>
      <c r="O115" s="1" t="s">
        <v>30</v>
      </c>
      <c r="P115" s="4">
        <v>0.8034722222222223</v>
      </c>
      <c r="Q115" s="1" t="s">
        <v>112</v>
      </c>
      <c r="R115" s="1">
        <f t="shared" si="1"/>
        <v>20</v>
      </c>
      <c r="S115" s="1">
        <f t="shared" si="2"/>
        <v>91</v>
      </c>
      <c r="T115" s="5">
        <f t="shared" si="3"/>
        <v>91</v>
      </c>
      <c r="U115" s="5" t="s">
        <v>90</v>
      </c>
      <c r="Y115" s="10" t="s">
        <v>367</v>
      </c>
      <c r="Z115" s="10" t="s">
        <v>151</v>
      </c>
      <c r="AA115" s="10" t="s">
        <v>81</v>
      </c>
      <c r="AB115" s="10" t="s">
        <v>428</v>
      </c>
      <c r="AC115" s="10" t="s">
        <v>403</v>
      </c>
      <c r="AD115" s="11" t="s">
        <v>84</v>
      </c>
      <c r="AE115" s="11" t="s">
        <v>429</v>
      </c>
    </row>
    <row r="116">
      <c r="A116" s="1" t="s">
        <v>413</v>
      </c>
      <c r="B116" s="2">
        <v>25.0</v>
      </c>
      <c r="C116" s="1" t="s">
        <v>41</v>
      </c>
      <c r="D116" s="1" t="s">
        <v>42</v>
      </c>
      <c r="E116" s="3"/>
      <c r="F116" s="1" t="s">
        <v>28</v>
      </c>
      <c r="G116" s="4">
        <v>0.07430555555555556</v>
      </c>
      <c r="H116" s="1" t="s">
        <v>359</v>
      </c>
      <c r="I116" s="1" t="s">
        <v>30</v>
      </c>
      <c r="J116" s="4">
        <v>0.27847222222222223</v>
      </c>
      <c r="K116" s="1" t="s">
        <v>290</v>
      </c>
      <c r="L116" s="1" t="s">
        <v>28</v>
      </c>
      <c r="M116" s="4">
        <v>0.55</v>
      </c>
      <c r="N116" s="1" t="s">
        <v>131</v>
      </c>
      <c r="O116" s="1" t="s">
        <v>30</v>
      </c>
      <c r="P116" s="4">
        <v>0.8576388888888888</v>
      </c>
      <c r="Q116" s="1" t="s">
        <v>112</v>
      </c>
      <c r="R116" s="1">
        <f t="shared" si="1"/>
        <v>22</v>
      </c>
      <c r="S116" s="1">
        <f t="shared" si="2"/>
        <v>87</v>
      </c>
      <c r="T116" s="5">
        <f t="shared" si="3"/>
        <v>87</v>
      </c>
      <c r="U116" s="5" t="s">
        <v>39</v>
      </c>
      <c r="Y116" s="10" t="s">
        <v>430</v>
      </c>
      <c r="Z116" s="10" t="s">
        <v>350</v>
      </c>
      <c r="AA116" s="10" t="s">
        <v>375</v>
      </c>
      <c r="AB116" s="10" t="s">
        <v>283</v>
      </c>
      <c r="AC116" s="10" t="s">
        <v>95</v>
      </c>
      <c r="AD116" s="11" t="s">
        <v>431</v>
      </c>
      <c r="AE116" s="11" t="s">
        <v>432</v>
      </c>
    </row>
    <row r="117">
      <c r="A117" s="1" t="s">
        <v>413</v>
      </c>
      <c r="B117" s="2">
        <v>26.0</v>
      </c>
      <c r="C117" s="1" t="s">
        <v>55</v>
      </c>
      <c r="D117" s="1" t="s">
        <v>42</v>
      </c>
      <c r="E117" s="3"/>
      <c r="F117" s="1" t="s">
        <v>28</v>
      </c>
      <c r="G117" s="4">
        <v>0.11944444444444445</v>
      </c>
      <c r="H117" s="1" t="s">
        <v>296</v>
      </c>
      <c r="I117" s="1" t="s">
        <v>30</v>
      </c>
      <c r="J117" s="4">
        <v>0.35694444444444445</v>
      </c>
      <c r="K117" s="1" t="s">
        <v>291</v>
      </c>
      <c r="L117" s="1" t="s">
        <v>28</v>
      </c>
      <c r="M117" s="4">
        <v>0.6090277777777777</v>
      </c>
      <c r="N117" s="1" t="s">
        <v>251</v>
      </c>
      <c r="O117" s="1" t="s">
        <v>30</v>
      </c>
      <c r="P117" s="4">
        <v>0.8951388888888889</v>
      </c>
      <c r="Q117" s="1" t="s">
        <v>118</v>
      </c>
      <c r="R117" s="1">
        <f t="shared" si="1"/>
        <v>42</v>
      </c>
      <c r="S117" s="1">
        <f t="shared" si="2"/>
        <v>91</v>
      </c>
      <c r="T117" s="5">
        <f t="shared" si="3"/>
        <v>91</v>
      </c>
      <c r="U117" s="5" t="s">
        <v>90</v>
      </c>
      <c r="Y117" s="10" t="s">
        <v>433</v>
      </c>
      <c r="Z117" s="10" t="s">
        <v>381</v>
      </c>
      <c r="AA117" s="10" t="s">
        <v>352</v>
      </c>
      <c r="AB117" s="10" t="s">
        <v>324</v>
      </c>
      <c r="AC117" s="10" t="s">
        <v>354</v>
      </c>
      <c r="AD117" s="11" t="s">
        <v>106</v>
      </c>
      <c r="AE117" s="10" t="s">
        <v>60</v>
      </c>
    </row>
    <row r="118">
      <c r="A118" s="1" t="s">
        <v>413</v>
      </c>
      <c r="B118" s="2">
        <v>27.0</v>
      </c>
      <c r="C118" s="1" t="s">
        <v>25</v>
      </c>
      <c r="D118" s="6"/>
      <c r="E118" s="3"/>
      <c r="F118" s="1" t="s">
        <v>28</v>
      </c>
      <c r="G118" s="4">
        <v>0.1486111111111111</v>
      </c>
      <c r="H118" s="1" t="s">
        <v>128</v>
      </c>
      <c r="I118" s="1" t="s">
        <v>30</v>
      </c>
      <c r="J118" s="4">
        <v>0.4027777777777778</v>
      </c>
      <c r="K118" s="1" t="s">
        <v>191</v>
      </c>
      <c r="L118" s="1" t="s">
        <v>28</v>
      </c>
      <c r="M118" s="4">
        <v>0.6520833333333333</v>
      </c>
      <c r="N118" s="1" t="s">
        <v>335</v>
      </c>
      <c r="O118" s="1" t="s">
        <v>30</v>
      </c>
      <c r="P118" s="4">
        <v>0.9229166666666667</v>
      </c>
      <c r="Q118" s="1" t="s">
        <v>118</v>
      </c>
      <c r="R118" s="1">
        <f t="shared" si="1"/>
        <v>67</v>
      </c>
      <c r="S118" s="1">
        <f t="shared" si="2"/>
        <v>95</v>
      </c>
      <c r="T118" s="5">
        <f t="shared" si="3"/>
        <v>95</v>
      </c>
      <c r="U118" s="5" t="s">
        <v>90</v>
      </c>
      <c r="Y118" s="10" t="s">
        <v>60</v>
      </c>
      <c r="Z118" s="10" t="s">
        <v>60</v>
      </c>
      <c r="AA118" s="10" t="s">
        <v>60</v>
      </c>
      <c r="AB118" s="10" t="s">
        <v>60</v>
      </c>
      <c r="AC118" s="10" t="s">
        <v>60</v>
      </c>
      <c r="AD118" s="10" t="s">
        <v>60</v>
      </c>
      <c r="AE118" s="10" t="s">
        <v>60</v>
      </c>
    </row>
    <row r="119">
      <c r="A119" s="1" t="s">
        <v>413</v>
      </c>
      <c r="B119" s="2">
        <v>28.0</v>
      </c>
      <c r="C119" s="1" t="s">
        <v>75</v>
      </c>
      <c r="D119" s="6"/>
      <c r="E119" s="3"/>
      <c r="F119" s="1" t="s">
        <v>28</v>
      </c>
      <c r="G119" s="4">
        <v>0.17222222222222222</v>
      </c>
      <c r="H119" s="1" t="s">
        <v>251</v>
      </c>
      <c r="I119" s="1" t="s">
        <v>30</v>
      </c>
      <c r="J119" s="4">
        <v>0.4354166666666667</v>
      </c>
      <c r="K119" s="1" t="s">
        <v>200</v>
      </c>
      <c r="L119" s="1" t="s">
        <v>28</v>
      </c>
      <c r="M119" s="4">
        <v>0.6861111111111111</v>
      </c>
      <c r="N119" s="1" t="s">
        <v>89</v>
      </c>
      <c r="O119" s="1" t="s">
        <v>30</v>
      </c>
      <c r="P119" s="4">
        <v>0.9458333333333333</v>
      </c>
      <c r="Q119" s="1" t="s">
        <v>118</v>
      </c>
      <c r="R119" s="1">
        <f t="shared" si="1"/>
        <v>90</v>
      </c>
      <c r="S119" s="1">
        <f t="shared" si="2"/>
        <v>98</v>
      </c>
      <c r="T119" s="5">
        <f t="shared" si="3"/>
        <v>98</v>
      </c>
      <c r="U119" s="5" t="s">
        <v>90</v>
      </c>
      <c r="Y119" s="6"/>
      <c r="Z119" s="6"/>
      <c r="AA119" s="6"/>
      <c r="AB119" s="6"/>
      <c r="AC119" s="6"/>
      <c r="AD119" s="6"/>
      <c r="AE119" s="6"/>
    </row>
    <row r="120">
      <c r="A120" s="1" t="s">
        <v>413</v>
      </c>
      <c r="B120" s="2">
        <v>29.0</v>
      </c>
      <c r="C120" s="1" t="s">
        <v>86</v>
      </c>
      <c r="D120" s="6"/>
      <c r="E120" s="3"/>
      <c r="F120" s="1" t="s">
        <v>28</v>
      </c>
      <c r="G120" s="4">
        <v>0.19375</v>
      </c>
      <c r="H120" s="1" t="s">
        <v>307</v>
      </c>
      <c r="I120" s="1" t="s">
        <v>30</v>
      </c>
      <c r="J120" s="4">
        <v>0.4618055555555556</v>
      </c>
      <c r="K120" s="1" t="s">
        <v>45</v>
      </c>
      <c r="L120" s="1" t="s">
        <v>28</v>
      </c>
      <c r="M120" s="4">
        <v>0.7145833333333333</v>
      </c>
      <c r="N120" s="1" t="s">
        <v>265</v>
      </c>
      <c r="O120" s="1" t="s">
        <v>30</v>
      </c>
      <c r="P120" s="4">
        <v>0.9645833333333333</v>
      </c>
      <c r="Q120" s="1" t="s">
        <v>118</v>
      </c>
      <c r="R120" s="1">
        <f t="shared" si="1"/>
        <v>110</v>
      </c>
      <c r="S120" s="1">
        <f t="shared" si="2"/>
        <v>99</v>
      </c>
      <c r="T120" s="5">
        <f t="shared" si="3"/>
        <v>110</v>
      </c>
      <c r="U120" s="5" t="s">
        <v>90</v>
      </c>
      <c r="Y120" s="6"/>
      <c r="Z120" s="6"/>
      <c r="AA120" s="6"/>
      <c r="AB120" s="6"/>
      <c r="AC120" s="6"/>
      <c r="AD120" s="6"/>
      <c r="AE120" s="6"/>
    </row>
    <row r="121">
      <c r="A121" s="1" t="s">
        <v>413</v>
      </c>
      <c r="B121" s="2">
        <v>30.0</v>
      </c>
      <c r="C121" s="1" t="s">
        <v>26</v>
      </c>
      <c r="D121" s="6"/>
      <c r="E121" s="3"/>
      <c r="F121" s="1" t="s">
        <v>28</v>
      </c>
      <c r="G121" s="4">
        <v>0.21388888888888888</v>
      </c>
      <c r="H121" s="1" t="s">
        <v>434</v>
      </c>
      <c r="I121" s="1" t="s">
        <v>30</v>
      </c>
      <c r="J121" s="4">
        <v>0.4861111111111111</v>
      </c>
      <c r="K121" s="1" t="s">
        <v>174</v>
      </c>
      <c r="L121" s="1" t="s">
        <v>28</v>
      </c>
      <c r="M121" s="4">
        <v>0.7409722222222223</v>
      </c>
      <c r="N121" s="1" t="s">
        <v>89</v>
      </c>
      <c r="O121" s="1" t="s">
        <v>30</v>
      </c>
      <c r="P121" s="4">
        <v>0.9826388888888888</v>
      </c>
      <c r="Q121" s="1" t="s">
        <v>200</v>
      </c>
      <c r="R121" s="1">
        <f t="shared" si="1"/>
        <v>126</v>
      </c>
      <c r="S121" s="1">
        <f t="shared" si="2"/>
        <v>97</v>
      </c>
      <c r="T121" s="5">
        <f t="shared" si="3"/>
        <v>126</v>
      </c>
      <c r="U121" s="5" t="s">
        <v>47</v>
      </c>
    </row>
    <row r="122">
      <c r="A122" s="1" t="s">
        <v>454</v>
      </c>
      <c r="B122" s="2">
        <v>1.0</v>
      </c>
      <c r="C122" s="1" t="s">
        <v>34</v>
      </c>
      <c r="D122" s="1" t="s">
        <v>435</v>
      </c>
      <c r="E122" s="3"/>
      <c r="F122" s="1" t="s">
        <v>28</v>
      </c>
      <c r="G122" s="4">
        <v>0.23402777777777778</v>
      </c>
      <c r="H122" s="1" t="s">
        <v>216</v>
      </c>
      <c r="I122" s="1" t="s">
        <v>30</v>
      </c>
      <c r="J122" s="4">
        <v>0.5083333333333333</v>
      </c>
      <c r="K122" s="1" t="s">
        <v>215</v>
      </c>
      <c r="L122" s="1" t="s">
        <v>28</v>
      </c>
      <c r="M122" s="4">
        <v>0.7652777777777777</v>
      </c>
      <c r="N122" s="1" t="s">
        <v>179</v>
      </c>
      <c r="R122" s="1">
        <f t="shared" si="1"/>
        <v>137</v>
      </c>
      <c r="S122" s="1">
        <f t="shared" si="2"/>
        <v>45</v>
      </c>
      <c r="T122" s="5">
        <f t="shared" si="3"/>
        <v>137</v>
      </c>
      <c r="U122" s="5" t="s">
        <v>47</v>
      </c>
      <c r="Y122" s="6"/>
      <c r="Z122" s="6"/>
      <c r="AA122" s="6"/>
      <c r="AB122" s="6"/>
      <c r="AC122" s="6"/>
      <c r="AD122" s="6"/>
      <c r="AE122" s="6"/>
    </row>
    <row r="123">
      <c r="A123" s="1" t="s">
        <v>454</v>
      </c>
      <c r="B123" s="2">
        <v>2.0</v>
      </c>
      <c r="C123" s="1" t="s">
        <v>41</v>
      </c>
      <c r="D123" s="1" t="s">
        <v>42</v>
      </c>
      <c r="E123" s="7" t="s">
        <v>35</v>
      </c>
      <c r="F123" s="1" t="s">
        <v>30</v>
      </c>
      <c r="G123" s="4">
        <v>6.944444444444445E-4</v>
      </c>
      <c r="H123" s="1" t="s">
        <v>223</v>
      </c>
      <c r="I123" s="1" t="s">
        <v>28</v>
      </c>
      <c r="J123" s="4">
        <v>0.2534722222222222</v>
      </c>
      <c r="K123" s="1" t="s">
        <v>436</v>
      </c>
      <c r="L123" s="1" t="s">
        <v>30</v>
      </c>
      <c r="M123" s="4">
        <v>0.5298611111111111</v>
      </c>
      <c r="N123" s="1" t="s">
        <v>386</v>
      </c>
      <c r="O123" s="1" t="s">
        <v>28</v>
      </c>
      <c r="P123" s="4">
        <v>0.7888888888888889</v>
      </c>
      <c r="Q123" s="1" t="s">
        <v>292</v>
      </c>
      <c r="R123" s="1">
        <f t="shared" si="1"/>
        <v>114</v>
      </c>
      <c r="S123" s="1">
        <f t="shared" si="2"/>
        <v>117</v>
      </c>
      <c r="T123" s="5">
        <f t="shared" si="3"/>
        <v>117</v>
      </c>
      <c r="U123" s="5" t="s">
        <v>90</v>
      </c>
      <c r="Y123" s="8" t="s">
        <v>437</v>
      </c>
    </row>
    <row r="124">
      <c r="A124" s="1" t="s">
        <v>454</v>
      </c>
      <c r="B124" s="2">
        <v>3.0</v>
      </c>
      <c r="C124" s="1" t="s">
        <v>55</v>
      </c>
      <c r="D124" s="1" t="s">
        <v>42</v>
      </c>
      <c r="E124" s="3"/>
      <c r="F124" s="1" t="s">
        <v>30</v>
      </c>
      <c r="G124" s="4">
        <v>0.019444444444444445</v>
      </c>
      <c r="H124" s="1" t="s">
        <v>115</v>
      </c>
      <c r="I124" s="1" t="s">
        <v>28</v>
      </c>
      <c r="J124" s="4">
        <v>0.27361111111111114</v>
      </c>
      <c r="K124" s="1" t="s">
        <v>338</v>
      </c>
      <c r="L124" s="1" t="s">
        <v>30</v>
      </c>
      <c r="M124" s="4">
        <v>0.5520833333333334</v>
      </c>
      <c r="N124" s="1" t="s">
        <v>386</v>
      </c>
      <c r="O124" s="1" t="s">
        <v>28</v>
      </c>
      <c r="P124" s="4">
        <v>0.8118055555555556</v>
      </c>
      <c r="Q124" s="1" t="s">
        <v>402</v>
      </c>
      <c r="R124" s="1">
        <f t="shared" si="1"/>
        <v>114</v>
      </c>
      <c r="S124" s="1">
        <f t="shared" si="2"/>
        <v>111</v>
      </c>
      <c r="T124" s="5">
        <f t="shared" si="3"/>
        <v>114</v>
      </c>
      <c r="U124" s="5" t="s">
        <v>90</v>
      </c>
      <c r="Y124" s="9" t="s">
        <v>48</v>
      </c>
      <c r="Z124" s="9" t="s">
        <v>49</v>
      </c>
      <c r="AA124" s="9" t="s">
        <v>50</v>
      </c>
      <c r="AB124" s="9" t="s">
        <v>51</v>
      </c>
      <c r="AC124" s="9" t="s">
        <v>52</v>
      </c>
      <c r="AD124" s="9" t="s">
        <v>53</v>
      </c>
      <c r="AE124" s="9" t="s">
        <v>54</v>
      </c>
    </row>
    <row r="125">
      <c r="A125" s="1" t="s">
        <v>454</v>
      </c>
      <c r="B125" s="2">
        <v>4.0</v>
      </c>
      <c r="C125" s="1" t="s">
        <v>25</v>
      </c>
      <c r="D125" s="6"/>
      <c r="E125" s="3"/>
      <c r="F125" s="1" t="s">
        <v>30</v>
      </c>
      <c r="G125" s="4">
        <v>0.03819444444444445</v>
      </c>
      <c r="H125" s="1" t="s">
        <v>333</v>
      </c>
      <c r="I125" s="1" t="s">
        <v>28</v>
      </c>
      <c r="J125" s="4">
        <v>0.29375</v>
      </c>
      <c r="K125" s="1" t="s">
        <v>436</v>
      </c>
      <c r="L125" s="1" t="s">
        <v>30</v>
      </c>
      <c r="M125" s="4">
        <v>0.5743055555555555</v>
      </c>
      <c r="N125" s="1" t="s">
        <v>215</v>
      </c>
      <c r="O125" s="1" t="s">
        <v>28</v>
      </c>
      <c r="P125" s="4">
        <v>0.8347222222222223</v>
      </c>
      <c r="Q125" s="1" t="s">
        <v>181</v>
      </c>
      <c r="R125" s="1">
        <f t="shared" si="1"/>
        <v>110</v>
      </c>
      <c r="S125" s="1">
        <f t="shared" si="2"/>
        <v>101</v>
      </c>
      <c r="T125" s="5">
        <f t="shared" si="3"/>
        <v>110</v>
      </c>
      <c r="U125" s="5" t="s">
        <v>90</v>
      </c>
      <c r="Y125" s="10" t="s">
        <v>60</v>
      </c>
      <c r="Z125" s="10" t="s">
        <v>60</v>
      </c>
      <c r="AA125" s="10" t="s">
        <v>60</v>
      </c>
      <c r="AB125" s="10" t="s">
        <v>60</v>
      </c>
      <c r="AC125" s="10" t="s">
        <v>60</v>
      </c>
      <c r="AD125" s="10" t="s">
        <v>60</v>
      </c>
      <c r="AE125" s="11" t="s">
        <v>438</v>
      </c>
    </row>
    <row r="126">
      <c r="A126" s="1" t="s">
        <v>454</v>
      </c>
      <c r="B126" s="2">
        <v>5.0</v>
      </c>
      <c r="C126" s="1" t="s">
        <v>75</v>
      </c>
      <c r="D126" s="6"/>
      <c r="E126" s="3"/>
      <c r="F126" s="1" t="s">
        <v>30</v>
      </c>
      <c r="G126" s="4">
        <v>0.05763888888888889</v>
      </c>
      <c r="H126" s="1" t="s">
        <v>120</v>
      </c>
      <c r="I126" s="1" t="s">
        <v>28</v>
      </c>
      <c r="J126" s="4">
        <v>0.3145833333333333</v>
      </c>
      <c r="K126" s="1" t="s">
        <v>385</v>
      </c>
      <c r="L126" s="1" t="s">
        <v>30</v>
      </c>
      <c r="M126" s="4">
        <v>0.5979166666666667</v>
      </c>
      <c r="N126" s="1" t="s">
        <v>274</v>
      </c>
      <c r="O126" s="1" t="s">
        <v>28</v>
      </c>
      <c r="P126" s="4">
        <v>0.8576388888888888</v>
      </c>
      <c r="Q126" s="1" t="s">
        <v>256</v>
      </c>
      <c r="R126" s="1">
        <f t="shared" si="1"/>
        <v>105</v>
      </c>
      <c r="S126" s="1">
        <f t="shared" si="2"/>
        <v>89</v>
      </c>
      <c r="T126" s="5">
        <f t="shared" si="3"/>
        <v>105</v>
      </c>
      <c r="U126" s="5" t="s">
        <v>90</v>
      </c>
      <c r="Y126" s="10" t="s">
        <v>439</v>
      </c>
      <c r="Z126" s="10" t="s">
        <v>393</v>
      </c>
      <c r="AA126" s="10" t="s">
        <v>271</v>
      </c>
      <c r="AB126" s="10" t="s">
        <v>139</v>
      </c>
      <c r="AC126" s="10" t="s">
        <v>140</v>
      </c>
      <c r="AD126" s="11" t="s">
        <v>440</v>
      </c>
      <c r="AE126" s="11" t="s">
        <v>441</v>
      </c>
    </row>
    <row r="127">
      <c r="A127" s="1" t="s">
        <v>454</v>
      </c>
      <c r="B127" s="2">
        <v>6.0</v>
      </c>
      <c r="C127" s="1" t="s">
        <v>86</v>
      </c>
      <c r="D127" s="6"/>
      <c r="E127" s="3"/>
      <c r="F127" s="1" t="s">
        <v>30</v>
      </c>
      <c r="G127" s="4">
        <v>0.07777777777777778</v>
      </c>
      <c r="H127" s="1" t="s">
        <v>328</v>
      </c>
      <c r="I127" s="1" t="s">
        <v>28</v>
      </c>
      <c r="J127" s="4">
        <v>0.33819444444444446</v>
      </c>
      <c r="K127" s="1" t="s">
        <v>158</v>
      </c>
      <c r="L127" s="1" t="s">
        <v>30</v>
      </c>
      <c r="M127" s="4">
        <v>0.6229166666666667</v>
      </c>
      <c r="N127" s="1" t="s">
        <v>45</v>
      </c>
      <c r="O127" s="1" t="s">
        <v>28</v>
      </c>
      <c r="P127" s="4">
        <v>0.8833333333333333</v>
      </c>
      <c r="Q127" s="1" t="s">
        <v>65</v>
      </c>
      <c r="R127" s="1">
        <f t="shared" si="1"/>
        <v>95</v>
      </c>
      <c r="S127" s="1">
        <f t="shared" si="2"/>
        <v>74</v>
      </c>
      <c r="T127" s="5">
        <f t="shared" si="3"/>
        <v>95</v>
      </c>
      <c r="U127" s="5" t="s">
        <v>90</v>
      </c>
      <c r="Y127" s="10" t="s">
        <v>442</v>
      </c>
      <c r="Z127" s="10" t="s">
        <v>342</v>
      </c>
      <c r="AA127" s="10" t="s">
        <v>309</v>
      </c>
      <c r="AB127" s="10" t="s">
        <v>310</v>
      </c>
      <c r="AC127" s="10" t="s">
        <v>151</v>
      </c>
      <c r="AD127" s="11" t="s">
        <v>198</v>
      </c>
      <c r="AE127" s="11" t="s">
        <v>443</v>
      </c>
    </row>
    <row r="128">
      <c r="A128" s="1" t="s">
        <v>454</v>
      </c>
      <c r="B128" s="2">
        <v>7.0</v>
      </c>
      <c r="C128" s="1" t="s">
        <v>26</v>
      </c>
      <c r="D128" s="6"/>
      <c r="E128" s="3"/>
      <c r="F128" s="1" t="s">
        <v>30</v>
      </c>
      <c r="G128" s="4">
        <v>0.10069444444444445</v>
      </c>
      <c r="H128" s="1" t="s">
        <v>327</v>
      </c>
      <c r="I128" s="1" t="s">
        <v>28</v>
      </c>
      <c r="J128" s="4">
        <v>0.3638888888888889</v>
      </c>
      <c r="K128" s="1" t="s">
        <v>147</v>
      </c>
      <c r="L128" s="1" t="s">
        <v>30</v>
      </c>
      <c r="M128" s="4">
        <v>0.6520833333333333</v>
      </c>
      <c r="N128" s="1" t="s">
        <v>134</v>
      </c>
      <c r="O128" s="1" t="s">
        <v>28</v>
      </c>
      <c r="P128" s="4">
        <v>0.9159722222222222</v>
      </c>
      <c r="Q128" s="1" t="s">
        <v>44</v>
      </c>
      <c r="R128" s="1">
        <f t="shared" si="1"/>
        <v>83</v>
      </c>
      <c r="S128" s="1">
        <f t="shared" si="2"/>
        <v>60</v>
      </c>
      <c r="T128" s="5">
        <f t="shared" si="3"/>
        <v>83</v>
      </c>
      <c r="U128" s="5" t="s">
        <v>39</v>
      </c>
      <c r="Y128" s="10" t="s">
        <v>403</v>
      </c>
      <c r="Z128" s="10" t="s">
        <v>444</v>
      </c>
      <c r="AA128" s="10" t="s">
        <v>372</v>
      </c>
      <c r="AB128" s="10" t="s">
        <v>373</v>
      </c>
      <c r="AC128" s="10" t="s">
        <v>350</v>
      </c>
      <c r="AD128" s="11" t="s">
        <v>445</v>
      </c>
      <c r="AE128" s="11" t="s">
        <v>204</v>
      </c>
    </row>
    <row r="129">
      <c r="A129" s="1" t="s">
        <v>454</v>
      </c>
      <c r="B129" s="2">
        <v>8.0</v>
      </c>
      <c r="C129" s="1" t="s">
        <v>34</v>
      </c>
      <c r="D129" s="6"/>
      <c r="E129" s="3"/>
      <c r="F129" s="1" t="s">
        <v>30</v>
      </c>
      <c r="G129" s="4">
        <v>0.1284722222222222</v>
      </c>
      <c r="H129" s="1" t="s">
        <v>291</v>
      </c>
      <c r="I129" s="1" t="s">
        <v>28</v>
      </c>
      <c r="J129" s="4">
        <v>0.39444444444444443</v>
      </c>
      <c r="K129" s="1" t="s">
        <v>301</v>
      </c>
      <c r="L129" s="1" t="s">
        <v>30</v>
      </c>
      <c r="M129" s="4">
        <v>0.6902777777777778</v>
      </c>
      <c r="N129" s="1" t="s">
        <v>446</v>
      </c>
      <c r="O129" s="1" t="s">
        <v>28</v>
      </c>
      <c r="P129" s="4">
        <v>0.9673611111111111</v>
      </c>
      <c r="Q129" s="1" t="s">
        <v>36</v>
      </c>
      <c r="R129" s="1">
        <f t="shared" si="1"/>
        <v>69</v>
      </c>
      <c r="S129" s="1">
        <f t="shared" si="2"/>
        <v>48</v>
      </c>
      <c r="T129" s="5">
        <f t="shared" si="3"/>
        <v>69</v>
      </c>
      <c r="U129" s="5" t="s">
        <v>39</v>
      </c>
      <c r="Y129" s="10" t="s">
        <v>206</v>
      </c>
      <c r="Z129" s="10" t="s">
        <v>447</v>
      </c>
      <c r="AA129" s="10" t="s">
        <v>448</v>
      </c>
      <c r="AB129" s="10" t="s">
        <v>380</v>
      </c>
      <c r="AC129" s="10" t="s">
        <v>381</v>
      </c>
      <c r="AD129" s="11" t="s">
        <v>209</v>
      </c>
      <c r="AE129" s="11" t="s">
        <v>210</v>
      </c>
    </row>
    <row r="130">
      <c r="A130" s="1" t="s">
        <v>454</v>
      </c>
      <c r="B130" s="2">
        <v>9.0</v>
      </c>
      <c r="C130" s="1" t="s">
        <v>41</v>
      </c>
      <c r="D130" s="1" t="s">
        <v>42</v>
      </c>
      <c r="E130" s="3"/>
      <c r="F130" s="1" t="s">
        <v>30</v>
      </c>
      <c r="G130" s="4">
        <v>0.16805555555555557</v>
      </c>
      <c r="H130" s="1" t="s">
        <v>427</v>
      </c>
      <c r="I130" s="1" t="s">
        <v>28</v>
      </c>
      <c r="J130" s="4">
        <v>0.4354166666666667</v>
      </c>
      <c r="K130" s="1" t="s">
        <v>131</v>
      </c>
      <c r="L130" s="1" t="s">
        <v>30</v>
      </c>
      <c r="M130" s="4">
        <v>0.74375</v>
      </c>
      <c r="N130" s="1" t="s">
        <v>286</v>
      </c>
      <c r="R130" s="1">
        <f t="shared" si="1"/>
        <v>55</v>
      </c>
      <c r="S130" s="1">
        <f t="shared" si="2"/>
        <v>35</v>
      </c>
      <c r="T130" s="5">
        <f t="shared" si="3"/>
        <v>55</v>
      </c>
      <c r="U130" s="5" t="s">
        <v>39</v>
      </c>
      <c r="Y130" s="10" t="s">
        <v>449</v>
      </c>
      <c r="Z130" s="10" t="s">
        <v>60</v>
      </c>
      <c r="AA130" s="10" t="s">
        <v>60</v>
      </c>
      <c r="AB130" s="10" t="s">
        <v>60</v>
      </c>
      <c r="AC130" s="10" t="s">
        <v>60</v>
      </c>
      <c r="AD130" s="10" t="s">
        <v>60</v>
      </c>
      <c r="AE130" s="10" t="s">
        <v>60</v>
      </c>
    </row>
    <row r="131">
      <c r="A131" s="1" t="s">
        <v>454</v>
      </c>
      <c r="B131" s="2">
        <v>10.0</v>
      </c>
      <c r="C131" s="1" t="s">
        <v>55</v>
      </c>
      <c r="D131" s="1" t="s">
        <v>42</v>
      </c>
      <c r="E131" s="7" t="s">
        <v>107</v>
      </c>
      <c r="F131" s="1" t="s">
        <v>28</v>
      </c>
      <c r="G131" s="4">
        <v>0.03125</v>
      </c>
      <c r="H131" s="1" t="s">
        <v>44</v>
      </c>
      <c r="I131" s="1" t="s">
        <v>30</v>
      </c>
      <c r="J131" s="4">
        <v>0.23125</v>
      </c>
      <c r="K131" s="1" t="s">
        <v>116</v>
      </c>
      <c r="L131" s="1" t="s">
        <v>28</v>
      </c>
      <c r="M131" s="4">
        <v>0.49166666666666664</v>
      </c>
      <c r="N131" s="1" t="s">
        <v>402</v>
      </c>
      <c r="O131" s="1" t="s">
        <v>30</v>
      </c>
      <c r="P131" s="4">
        <v>0.8013888888888889</v>
      </c>
      <c r="Q131" s="1" t="s">
        <v>286</v>
      </c>
      <c r="R131" s="1">
        <f t="shared" si="1"/>
        <v>21</v>
      </c>
      <c r="S131" s="1">
        <f t="shared" si="2"/>
        <v>70</v>
      </c>
      <c r="T131" s="5">
        <f t="shared" si="3"/>
        <v>70</v>
      </c>
      <c r="U131" s="5" t="s">
        <v>39</v>
      </c>
      <c r="Y131" s="6"/>
      <c r="Z131" s="6"/>
      <c r="AA131" s="6"/>
      <c r="AB131" s="6"/>
      <c r="AC131" s="6"/>
      <c r="AD131" s="6"/>
      <c r="AE131" s="6"/>
    </row>
    <row r="132">
      <c r="A132" s="1" t="s">
        <v>454</v>
      </c>
      <c r="B132" s="2">
        <v>11.0</v>
      </c>
      <c r="C132" s="1" t="s">
        <v>25</v>
      </c>
      <c r="D132" s="6"/>
      <c r="E132" s="3"/>
      <c r="F132" s="1" t="s">
        <v>28</v>
      </c>
      <c r="G132" s="4">
        <v>0.07847222222222222</v>
      </c>
      <c r="H132" s="1" t="s">
        <v>230</v>
      </c>
      <c r="I132" s="1" t="s">
        <v>30</v>
      </c>
      <c r="J132" s="4">
        <v>0.3020833333333333</v>
      </c>
      <c r="K132" s="1" t="s">
        <v>427</v>
      </c>
      <c r="L132" s="1" t="s">
        <v>28</v>
      </c>
      <c r="M132" s="4">
        <v>0.5541666666666667</v>
      </c>
      <c r="N132" s="1" t="s">
        <v>220</v>
      </c>
      <c r="O132" s="1" t="s">
        <v>30</v>
      </c>
      <c r="P132" s="4">
        <v>0.8451388888888889</v>
      </c>
      <c r="Q132" s="1" t="s">
        <v>122</v>
      </c>
      <c r="R132" s="1">
        <f t="shared" si="1"/>
        <v>34</v>
      </c>
      <c r="S132" s="1">
        <f t="shared" si="2"/>
        <v>74</v>
      </c>
      <c r="T132" s="5">
        <f t="shared" si="3"/>
        <v>74</v>
      </c>
      <c r="U132" s="5" t="s">
        <v>39</v>
      </c>
      <c r="Y132" s="6"/>
      <c r="Z132" s="6"/>
      <c r="AA132" s="6"/>
      <c r="AB132" s="6"/>
      <c r="AC132" s="6"/>
      <c r="AD132" s="6"/>
      <c r="AE132" s="6"/>
    </row>
    <row r="133">
      <c r="A133" s="1" t="s">
        <v>454</v>
      </c>
      <c r="B133" s="2">
        <v>12.0</v>
      </c>
      <c r="C133" s="1" t="s">
        <v>75</v>
      </c>
      <c r="D133" s="6"/>
      <c r="E133" s="3"/>
      <c r="F133" s="1" t="s">
        <v>28</v>
      </c>
      <c r="G133" s="4">
        <v>0.1111111111111111</v>
      </c>
      <c r="H133" s="1" t="s">
        <v>128</v>
      </c>
      <c r="I133" s="1" t="s">
        <v>30</v>
      </c>
      <c r="J133" s="4">
        <v>0.35555555555555557</v>
      </c>
      <c r="K133" s="1" t="s">
        <v>236</v>
      </c>
      <c r="L133" s="1" t="s">
        <v>28</v>
      </c>
      <c r="M133" s="4">
        <v>0.6055555555555555</v>
      </c>
      <c r="N133" s="1" t="s">
        <v>251</v>
      </c>
      <c r="O133" s="1" t="s">
        <v>30</v>
      </c>
      <c r="P133" s="4">
        <v>0.8784722222222222</v>
      </c>
      <c r="Q133" s="1" t="s">
        <v>446</v>
      </c>
      <c r="R133" s="1">
        <f t="shared" si="1"/>
        <v>58</v>
      </c>
      <c r="S133" s="1">
        <f t="shared" si="2"/>
        <v>83</v>
      </c>
      <c r="T133" s="5">
        <f t="shared" si="3"/>
        <v>83</v>
      </c>
      <c r="U133" s="5" t="s">
        <v>39</v>
      </c>
    </row>
    <row r="134">
      <c r="A134" s="1" t="s">
        <v>454</v>
      </c>
      <c r="B134" s="2">
        <v>13.0</v>
      </c>
      <c r="C134" s="1" t="s">
        <v>86</v>
      </c>
      <c r="D134" s="6"/>
      <c r="E134" s="3"/>
      <c r="F134" s="1" t="s">
        <v>28</v>
      </c>
      <c r="G134" s="4">
        <v>0.1375</v>
      </c>
      <c r="H134" s="1" t="s">
        <v>360</v>
      </c>
      <c r="I134" s="1" t="s">
        <v>30</v>
      </c>
      <c r="J134" s="4">
        <v>0.3951388888888889</v>
      </c>
      <c r="K134" s="1" t="s">
        <v>224</v>
      </c>
      <c r="L134" s="1" t="s">
        <v>28</v>
      </c>
      <c r="M134" s="4">
        <v>0.6465277777777778</v>
      </c>
      <c r="N134" s="1" t="s">
        <v>89</v>
      </c>
      <c r="O134" s="1" t="s">
        <v>30</v>
      </c>
      <c r="P134" s="4">
        <v>0.9069444444444444</v>
      </c>
      <c r="Q134" s="1" t="s">
        <v>115</v>
      </c>
      <c r="R134" s="1">
        <f t="shared" si="1"/>
        <v>87</v>
      </c>
      <c r="S134" s="1">
        <f t="shared" si="2"/>
        <v>94</v>
      </c>
      <c r="T134" s="5">
        <f t="shared" si="3"/>
        <v>94</v>
      </c>
      <c r="U134" s="5" t="s">
        <v>90</v>
      </c>
      <c r="Y134" s="6"/>
      <c r="Z134" s="6"/>
      <c r="AA134" s="6"/>
      <c r="AB134" s="6"/>
      <c r="AC134" s="6"/>
      <c r="AD134" s="6"/>
      <c r="AE134" s="6"/>
    </row>
    <row r="135">
      <c r="A135" s="1" t="s">
        <v>454</v>
      </c>
      <c r="B135" s="2">
        <v>14.0</v>
      </c>
      <c r="C135" s="1" t="s">
        <v>26</v>
      </c>
      <c r="D135" s="6"/>
      <c r="E135" s="3"/>
      <c r="F135" s="1" t="s">
        <v>28</v>
      </c>
      <c r="G135" s="4">
        <v>0.1625</v>
      </c>
      <c r="H135" s="1" t="s">
        <v>434</v>
      </c>
      <c r="I135" s="1" t="s">
        <v>30</v>
      </c>
      <c r="J135" s="4">
        <v>0.42916666666666664</v>
      </c>
      <c r="K135" s="1" t="s">
        <v>110</v>
      </c>
      <c r="L135" s="1" t="s">
        <v>28</v>
      </c>
      <c r="M135" s="4">
        <v>0.6826388888888889</v>
      </c>
      <c r="N135" s="1" t="s">
        <v>32</v>
      </c>
      <c r="O135" s="1" t="s">
        <v>30</v>
      </c>
      <c r="P135" s="4">
        <v>0.9333333333333333</v>
      </c>
      <c r="Q135" s="1" t="s">
        <v>112</v>
      </c>
      <c r="R135" s="1">
        <f t="shared" si="1"/>
        <v>119</v>
      </c>
      <c r="S135" s="1">
        <f t="shared" si="2"/>
        <v>101</v>
      </c>
      <c r="T135" s="5">
        <f t="shared" si="3"/>
        <v>119</v>
      </c>
      <c r="U135" s="5" t="s">
        <v>90</v>
      </c>
      <c r="Y135" s="8" t="s">
        <v>450</v>
      </c>
    </row>
    <row r="136">
      <c r="A136" s="1" t="s">
        <v>454</v>
      </c>
      <c r="B136" s="2">
        <v>15.0</v>
      </c>
      <c r="C136" s="1" t="s">
        <v>34</v>
      </c>
      <c r="D136" s="6"/>
      <c r="E136" s="3"/>
      <c r="F136" s="1" t="s">
        <v>28</v>
      </c>
      <c r="G136" s="4">
        <v>0.18819444444444444</v>
      </c>
      <c r="H136" s="1" t="s">
        <v>67</v>
      </c>
      <c r="I136" s="1" t="s">
        <v>30</v>
      </c>
      <c r="J136" s="4">
        <v>0.46041666666666664</v>
      </c>
      <c r="K136" s="1" t="s">
        <v>219</v>
      </c>
      <c r="L136" s="1" t="s">
        <v>28</v>
      </c>
      <c r="M136" s="4">
        <v>0.7166666666666667</v>
      </c>
      <c r="N136" s="1" t="s">
        <v>388</v>
      </c>
      <c r="O136" s="1" t="s">
        <v>30</v>
      </c>
      <c r="P136" s="4">
        <v>0.9590277777777778</v>
      </c>
      <c r="Q136" s="1" t="s">
        <v>200</v>
      </c>
      <c r="R136" s="1">
        <f t="shared" si="1"/>
        <v>148</v>
      </c>
      <c r="S136" s="1">
        <f t="shared" si="2"/>
        <v>104</v>
      </c>
      <c r="T136" s="5">
        <f t="shared" si="3"/>
        <v>148</v>
      </c>
      <c r="U136" s="5" t="s">
        <v>47</v>
      </c>
      <c r="Y136" s="9" t="s">
        <v>48</v>
      </c>
      <c r="Z136" s="9" t="s">
        <v>49</v>
      </c>
      <c r="AA136" s="9" t="s">
        <v>50</v>
      </c>
      <c r="AB136" s="9" t="s">
        <v>51</v>
      </c>
      <c r="AC136" s="9" t="s">
        <v>52</v>
      </c>
      <c r="AD136" s="9" t="s">
        <v>53</v>
      </c>
      <c r="AE136" s="9" t="s">
        <v>54</v>
      </c>
    </row>
    <row r="137">
      <c r="A137" s="1" t="s">
        <v>454</v>
      </c>
      <c r="B137" s="2">
        <v>16.0</v>
      </c>
      <c r="C137" s="1" t="s">
        <v>41</v>
      </c>
      <c r="D137" s="1" t="s">
        <v>42</v>
      </c>
      <c r="E137" s="3"/>
      <c r="F137" s="1" t="s">
        <v>28</v>
      </c>
      <c r="G137" s="4">
        <v>0.21458333333333332</v>
      </c>
      <c r="H137" s="1" t="s">
        <v>451</v>
      </c>
      <c r="I137" s="1" t="s">
        <v>30</v>
      </c>
      <c r="J137" s="4">
        <v>0.49236111111111114</v>
      </c>
      <c r="K137" s="1" t="s">
        <v>177</v>
      </c>
      <c r="L137" s="1" t="s">
        <v>28</v>
      </c>
      <c r="M137" s="4">
        <v>0.75</v>
      </c>
      <c r="N137" s="1" t="s">
        <v>32</v>
      </c>
      <c r="O137" s="1" t="s">
        <v>30</v>
      </c>
      <c r="P137" s="4">
        <v>0.9854166666666667</v>
      </c>
      <c r="Q137" s="1" t="s">
        <v>200</v>
      </c>
      <c r="R137" s="1">
        <f t="shared" si="1"/>
        <v>172</v>
      </c>
      <c r="S137" s="1">
        <f t="shared" si="2"/>
        <v>102</v>
      </c>
      <c r="T137" s="5">
        <f t="shared" si="3"/>
        <v>172</v>
      </c>
      <c r="U137" s="5" t="s">
        <v>47</v>
      </c>
      <c r="Y137" s="10" t="s">
        <v>60</v>
      </c>
      <c r="Z137" s="10" t="s">
        <v>452</v>
      </c>
      <c r="AA137" s="10" t="s">
        <v>62</v>
      </c>
      <c r="AB137" s="10" t="s">
        <v>393</v>
      </c>
      <c r="AC137" s="10" t="s">
        <v>271</v>
      </c>
      <c r="AD137" s="11" t="s">
        <v>340</v>
      </c>
      <c r="AE137" s="11" t="s">
        <v>453</v>
      </c>
    </row>
    <row r="138">
      <c r="A138" s="1" t="s">
        <v>454</v>
      </c>
      <c r="B138" s="2">
        <v>17.0</v>
      </c>
      <c r="C138" s="1" t="s">
        <v>55</v>
      </c>
      <c r="D138" s="1" t="s">
        <v>42</v>
      </c>
      <c r="E138" s="7" t="s">
        <v>143</v>
      </c>
      <c r="F138" s="1" t="s">
        <v>28</v>
      </c>
      <c r="G138" s="4">
        <v>0.24305555555555555</v>
      </c>
      <c r="H138" s="1" t="s">
        <v>455</v>
      </c>
      <c r="I138" s="1" t="s">
        <v>30</v>
      </c>
      <c r="J138" s="4">
        <v>0.525</v>
      </c>
      <c r="K138" s="1" t="s">
        <v>456</v>
      </c>
      <c r="L138" s="1" t="s">
        <v>28</v>
      </c>
      <c r="M138" s="4">
        <v>0.7833333333333333</v>
      </c>
      <c r="N138" s="1" t="s">
        <v>89</v>
      </c>
      <c r="R138" s="1">
        <f t="shared" si="1"/>
        <v>185</v>
      </c>
      <c r="S138" s="1">
        <f t="shared" si="2"/>
        <v>49</v>
      </c>
      <c r="T138" s="5">
        <f t="shared" si="3"/>
        <v>185</v>
      </c>
      <c r="U138" s="5" t="s">
        <v>47</v>
      </c>
      <c r="Y138" s="10" t="s">
        <v>457</v>
      </c>
      <c r="Z138" s="10" t="s">
        <v>232</v>
      </c>
      <c r="AA138" s="10" t="s">
        <v>458</v>
      </c>
      <c r="AB138" s="10" t="s">
        <v>342</v>
      </c>
      <c r="AC138" s="10" t="s">
        <v>309</v>
      </c>
      <c r="AD138" s="11" t="s">
        <v>459</v>
      </c>
      <c r="AE138" s="11" t="s">
        <v>460</v>
      </c>
    </row>
    <row r="139">
      <c r="A139" s="1" t="s">
        <v>454</v>
      </c>
      <c r="B139" s="2">
        <v>18.0</v>
      </c>
      <c r="C139" s="1" t="s">
        <v>25</v>
      </c>
      <c r="D139" s="6"/>
      <c r="E139" s="3"/>
      <c r="F139" s="1" t="s">
        <v>30</v>
      </c>
      <c r="G139" s="4">
        <v>0.0125</v>
      </c>
      <c r="H139" s="1" t="s">
        <v>223</v>
      </c>
      <c r="I139" s="1" t="s">
        <v>28</v>
      </c>
      <c r="J139" s="4">
        <v>0.27291666666666664</v>
      </c>
      <c r="K139" s="1" t="s">
        <v>461</v>
      </c>
      <c r="L139" s="1" t="s">
        <v>30</v>
      </c>
      <c r="M139" s="4">
        <v>0.5590277777777778</v>
      </c>
      <c r="N139" s="1" t="s">
        <v>175</v>
      </c>
      <c r="O139" s="1" t="s">
        <v>28</v>
      </c>
      <c r="P139" s="4">
        <v>0.8180555555555555</v>
      </c>
      <c r="Q139" s="1" t="s">
        <v>292</v>
      </c>
      <c r="R139" s="1">
        <f t="shared" si="1"/>
        <v>140</v>
      </c>
      <c r="S139" s="1">
        <f t="shared" si="2"/>
        <v>135</v>
      </c>
      <c r="T139" s="5">
        <f t="shared" si="3"/>
        <v>140</v>
      </c>
      <c r="U139" s="5" t="s">
        <v>47</v>
      </c>
      <c r="Y139" s="10" t="s">
        <v>462</v>
      </c>
      <c r="Z139" s="10" t="s">
        <v>428</v>
      </c>
      <c r="AA139" s="10" t="s">
        <v>403</v>
      </c>
      <c r="AB139" s="10" t="s">
        <v>444</v>
      </c>
      <c r="AC139" s="10" t="s">
        <v>372</v>
      </c>
      <c r="AD139" s="11" t="s">
        <v>463</v>
      </c>
      <c r="AE139" s="11" t="s">
        <v>317</v>
      </c>
    </row>
    <row r="140">
      <c r="A140" s="1" t="s">
        <v>454</v>
      </c>
      <c r="B140" s="2">
        <v>19.0</v>
      </c>
      <c r="C140" s="1" t="s">
        <v>75</v>
      </c>
      <c r="D140" s="6"/>
      <c r="E140" s="3"/>
      <c r="F140" s="1" t="s">
        <v>30</v>
      </c>
      <c r="G140" s="4">
        <v>0.04097222222222222</v>
      </c>
      <c r="H140" s="1" t="s">
        <v>224</v>
      </c>
      <c r="I140" s="1" t="s">
        <v>28</v>
      </c>
      <c r="J140" s="4">
        <v>0.30486111111111114</v>
      </c>
      <c r="K140" s="1" t="s">
        <v>464</v>
      </c>
      <c r="L140" s="1" t="s">
        <v>30</v>
      </c>
      <c r="M140" s="4">
        <v>0.5951388888888889</v>
      </c>
      <c r="N140" s="1" t="s">
        <v>217</v>
      </c>
      <c r="O140" s="1" t="s">
        <v>28</v>
      </c>
      <c r="P140" s="4">
        <v>0.8534722222222222</v>
      </c>
      <c r="Q140" s="1" t="s">
        <v>183</v>
      </c>
      <c r="R140" s="1">
        <f t="shared" si="1"/>
        <v>135</v>
      </c>
      <c r="S140" s="1">
        <f t="shared" si="2"/>
        <v>120</v>
      </c>
      <c r="T140" s="5">
        <f t="shared" si="3"/>
        <v>135</v>
      </c>
      <c r="U140" s="5" t="s">
        <v>47</v>
      </c>
      <c r="Y140" s="10" t="s">
        <v>93</v>
      </c>
      <c r="Z140" s="10" t="s">
        <v>94</v>
      </c>
      <c r="AA140" s="10" t="s">
        <v>243</v>
      </c>
      <c r="AB140" s="10" t="s">
        <v>465</v>
      </c>
      <c r="AC140" s="10" t="s">
        <v>466</v>
      </c>
      <c r="AD140" s="11" t="s">
        <v>408</v>
      </c>
      <c r="AE140" s="11" t="s">
        <v>467</v>
      </c>
    </row>
    <row r="141">
      <c r="A141" s="1" t="s">
        <v>454</v>
      </c>
      <c r="B141" s="2">
        <v>20.0</v>
      </c>
      <c r="C141" s="1" t="s">
        <v>86</v>
      </c>
      <c r="D141" s="6"/>
      <c r="E141" s="3"/>
      <c r="F141" s="1" t="s">
        <v>30</v>
      </c>
      <c r="G141" s="4">
        <v>0.07222222222222222</v>
      </c>
      <c r="H141" s="1" t="s">
        <v>326</v>
      </c>
      <c r="I141" s="1" t="s">
        <v>28</v>
      </c>
      <c r="J141" s="4">
        <v>0.3388888888888889</v>
      </c>
      <c r="K141" s="1" t="s">
        <v>414</v>
      </c>
      <c r="L141" s="1" t="s">
        <v>30</v>
      </c>
      <c r="M141" s="4">
        <v>0.6340277777777777</v>
      </c>
      <c r="N141" s="1" t="s">
        <v>129</v>
      </c>
      <c r="O141" s="1" t="s">
        <v>28</v>
      </c>
      <c r="P141" s="4">
        <v>0.8923611111111112</v>
      </c>
      <c r="Q141" s="1" t="s">
        <v>176</v>
      </c>
      <c r="R141" s="1">
        <f t="shared" si="1"/>
        <v>123</v>
      </c>
      <c r="S141" s="1">
        <f t="shared" si="2"/>
        <v>102</v>
      </c>
      <c r="T141" s="5">
        <f t="shared" si="3"/>
        <v>123</v>
      </c>
      <c r="U141" s="5" t="s">
        <v>90</v>
      </c>
      <c r="Y141" s="10" t="s">
        <v>103</v>
      </c>
      <c r="Z141" s="10" t="s">
        <v>104</v>
      </c>
      <c r="AA141" s="10" t="s">
        <v>449</v>
      </c>
      <c r="AB141" s="10" t="s">
        <v>468</v>
      </c>
      <c r="AC141" s="10" t="s">
        <v>60</v>
      </c>
      <c r="AD141" s="10" t="s">
        <v>60</v>
      </c>
      <c r="AE141" s="10" t="s">
        <v>60</v>
      </c>
    </row>
    <row r="142">
      <c r="A142" s="1" t="s">
        <v>454</v>
      </c>
      <c r="B142" s="2">
        <v>21.0</v>
      </c>
      <c r="C142" s="1" t="s">
        <v>26</v>
      </c>
      <c r="D142" s="6"/>
      <c r="E142" s="3"/>
      <c r="F142" s="1" t="s">
        <v>30</v>
      </c>
      <c r="G142" s="4">
        <v>0.1076388888888889</v>
      </c>
      <c r="H142" s="1" t="s">
        <v>389</v>
      </c>
      <c r="I142" s="1" t="s">
        <v>28</v>
      </c>
      <c r="J142" s="4">
        <v>0.3763888888888889</v>
      </c>
      <c r="K142" s="1" t="s">
        <v>59</v>
      </c>
      <c r="L142" s="1" t="s">
        <v>30</v>
      </c>
      <c r="M142" s="4">
        <v>0.6756944444444445</v>
      </c>
      <c r="N142" s="1" t="s">
        <v>66</v>
      </c>
      <c r="O142" s="1" t="s">
        <v>28</v>
      </c>
      <c r="P142" s="4">
        <v>0.9361111111111111</v>
      </c>
      <c r="Q142" s="1" t="s">
        <v>230</v>
      </c>
      <c r="R142" s="1">
        <f t="shared" si="1"/>
        <v>105</v>
      </c>
      <c r="S142" s="1">
        <f t="shared" si="2"/>
        <v>84</v>
      </c>
      <c r="T142" s="5">
        <f t="shared" si="3"/>
        <v>105</v>
      </c>
      <c r="U142" s="5" t="s">
        <v>90</v>
      </c>
      <c r="Y142" s="10" t="s">
        <v>60</v>
      </c>
      <c r="Z142" s="10" t="s">
        <v>60</v>
      </c>
      <c r="AA142" s="10" t="s">
        <v>60</v>
      </c>
      <c r="AB142" s="10" t="s">
        <v>60</v>
      </c>
      <c r="AC142" s="10" t="s">
        <v>60</v>
      </c>
      <c r="AD142" s="10" t="s">
        <v>60</v>
      </c>
      <c r="AE142" s="10" t="s">
        <v>60</v>
      </c>
    </row>
    <row r="143">
      <c r="A143" s="1" t="s">
        <v>454</v>
      </c>
      <c r="B143" s="2">
        <v>22.0</v>
      </c>
      <c r="C143" s="1" t="s">
        <v>34</v>
      </c>
      <c r="D143" s="6"/>
      <c r="E143" s="3"/>
      <c r="F143" s="1" t="s">
        <v>30</v>
      </c>
      <c r="G143" s="4">
        <v>0.15</v>
      </c>
      <c r="H143" s="1" t="s">
        <v>334</v>
      </c>
      <c r="I143" s="1" t="s">
        <v>28</v>
      </c>
      <c r="J143" s="4">
        <v>0.41805555555555557</v>
      </c>
      <c r="K143" s="1" t="s">
        <v>158</v>
      </c>
      <c r="L143" s="1" t="s">
        <v>30</v>
      </c>
      <c r="M143" s="4">
        <v>0.7222222222222222</v>
      </c>
      <c r="N143" s="1" t="s">
        <v>469</v>
      </c>
      <c r="O143" s="1" t="s">
        <v>28</v>
      </c>
      <c r="P143" s="4">
        <v>0.9840277777777777</v>
      </c>
      <c r="Q143" s="1" t="s">
        <v>470</v>
      </c>
      <c r="R143" s="1">
        <f t="shared" si="1"/>
        <v>86</v>
      </c>
      <c r="S143" s="1">
        <f t="shared" si="2"/>
        <v>72</v>
      </c>
      <c r="T143" s="5">
        <f t="shared" si="3"/>
        <v>86</v>
      </c>
      <c r="U143" s="5" t="s">
        <v>39</v>
      </c>
      <c r="Y143" s="6"/>
      <c r="Z143" s="6"/>
      <c r="AA143" s="6"/>
      <c r="AB143" s="6"/>
      <c r="AC143" s="6"/>
      <c r="AD143" s="6"/>
      <c r="AE143" s="6"/>
    </row>
    <row r="144">
      <c r="A144" s="1" t="s">
        <v>454</v>
      </c>
      <c r="B144" s="2">
        <v>23.0</v>
      </c>
      <c r="C144" s="1" t="s">
        <v>41</v>
      </c>
      <c r="D144" s="1" t="s">
        <v>42</v>
      </c>
      <c r="E144" s="7" t="s">
        <v>184</v>
      </c>
      <c r="F144" s="1" t="s">
        <v>30</v>
      </c>
      <c r="G144" s="4">
        <v>0.20347222222222222</v>
      </c>
      <c r="H144" s="1" t="s">
        <v>355</v>
      </c>
      <c r="I144" s="1" t="s">
        <v>28</v>
      </c>
      <c r="J144" s="4">
        <v>0.46875</v>
      </c>
      <c r="K144" s="1" t="s">
        <v>135</v>
      </c>
      <c r="L144" s="1" t="s">
        <v>30</v>
      </c>
      <c r="M144" s="4">
        <v>0.7701388888888889</v>
      </c>
      <c r="N144" s="1" t="s">
        <v>115</v>
      </c>
      <c r="R144" s="1">
        <f t="shared" si="1"/>
        <v>69</v>
      </c>
      <c r="S144" s="1">
        <f t="shared" si="2"/>
        <v>45</v>
      </c>
      <c r="T144" s="5">
        <f t="shared" si="3"/>
        <v>69</v>
      </c>
      <c r="U144" s="5" t="s">
        <v>39</v>
      </c>
      <c r="Y144" s="6"/>
      <c r="Z144" s="6"/>
      <c r="AA144" s="6"/>
      <c r="AB144" s="6"/>
      <c r="AC144" s="6"/>
      <c r="AD144" s="6"/>
      <c r="AE144" s="6"/>
    </row>
    <row r="145">
      <c r="A145" s="1" t="s">
        <v>454</v>
      </c>
      <c r="B145" s="2">
        <v>24.0</v>
      </c>
      <c r="C145" s="1" t="s">
        <v>55</v>
      </c>
      <c r="D145" s="1" t="s">
        <v>42</v>
      </c>
      <c r="E145" s="3"/>
      <c r="F145" s="1" t="s">
        <v>28</v>
      </c>
      <c r="G145" s="4">
        <v>0.03194444444444444</v>
      </c>
      <c r="H145" s="1" t="s">
        <v>256</v>
      </c>
      <c r="I145" s="1" t="s">
        <v>30</v>
      </c>
      <c r="J145" s="4">
        <v>0.2673611111111111</v>
      </c>
      <c r="K145" s="1" t="s">
        <v>355</v>
      </c>
      <c r="L145" s="1" t="s">
        <v>28</v>
      </c>
      <c r="M145" s="4">
        <v>0.5263888888888889</v>
      </c>
      <c r="N145" s="1" t="s">
        <v>192</v>
      </c>
      <c r="O145" s="1" t="s">
        <v>30</v>
      </c>
      <c r="P145" s="4">
        <v>0.8138888888888889</v>
      </c>
      <c r="Q145" s="1" t="s">
        <v>120</v>
      </c>
      <c r="R145" s="1">
        <f t="shared" si="1"/>
        <v>43</v>
      </c>
      <c r="S145" s="1">
        <f t="shared" si="2"/>
        <v>78</v>
      </c>
      <c r="T145" s="5">
        <f t="shared" si="3"/>
        <v>78</v>
      </c>
      <c r="U145" s="5" t="s">
        <v>39</v>
      </c>
    </row>
    <row r="146">
      <c r="A146" s="1" t="s">
        <v>454</v>
      </c>
      <c r="B146" s="2">
        <v>25.0</v>
      </c>
      <c r="C146" s="1" t="s">
        <v>25</v>
      </c>
      <c r="D146" s="6"/>
      <c r="E146" s="3"/>
      <c r="F146" s="1" t="s">
        <v>28</v>
      </c>
      <c r="G146" s="4">
        <v>0.07361111111111111</v>
      </c>
      <c r="H146" s="1" t="s">
        <v>181</v>
      </c>
      <c r="I146" s="1" t="s">
        <v>30</v>
      </c>
      <c r="J146" s="4">
        <v>0.3298611111111111</v>
      </c>
      <c r="K146" s="1" t="s">
        <v>248</v>
      </c>
      <c r="L146" s="1" t="s">
        <v>28</v>
      </c>
      <c r="M146" s="4">
        <v>0.58125</v>
      </c>
      <c r="N146" s="1" t="s">
        <v>402</v>
      </c>
      <c r="O146" s="1" t="s">
        <v>30</v>
      </c>
      <c r="P146" s="4">
        <v>0.8513888888888889</v>
      </c>
      <c r="Q146" s="1" t="s">
        <v>286</v>
      </c>
      <c r="R146" s="1">
        <f t="shared" si="1"/>
        <v>54</v>
      </c>
      <c r="S146" s="1">
        <f t="shared" si="2"/>
        <v>70</v>
      </c>
      <c r="T146" s="5">
        <f t="shared" si="3"/>
        <v>70</v>
      </c>
      <c r="U146" s="5" t="s">
        <v>39</v>
      </c>
    </row>
    <row r="147">
      <c r="A147" s="1" t="s">
        <v>454</v>
      </c>
      <c r="B147" s="2">
        <v>26.0</v>
      </c>
      <c r="C147" s="1" t="s">
        <v>75</v>
      </c>
      <c r="D147" s="6"/>
      <c r="E147" s="3"/>
      <c r="F147" s="1" t="s">
        <v>28</v>
      </c>
      <c r="G147" s="4">
        <v>0.10833333333333334</v>
      </c>
      <c r="H147" s="1" t="s">
        <v>357</v>
      </c>
      <c r="I147" s="1" t="s">
        <v>30</v>
      </c>
      <c r="J147" s="4">
        <v>0.37916666666666665</v>
      </c>
      <c r="K147" s="1" t="s">
        <v>191</v>
      </c>
      <c r="L147" s="1" t="s">
        <v>28</v>
      </c>
      <c r="M147" s="4">
        <v>0.6291666666666667</v>
      </c>
      <c r="N147" s="1" t="s">
        <v>100</v>
      </c>
      <c r="O147" s="1" t="s">
        <v>30</v>
      </c>
      <c r="P147" s="4">
        <v>0.8833333333333333</v>
      </c>
      <c r="Q147" s="1" t="s">
        <v>250</v>
      </c>
      <c r="R147" s="1">
        <f t="shared" si="1"/>
        <v>72</v>
      </c>
      <c r="S147" s="1">
        <f t="shared" si="2"/>
        <v>66</v>
      </c>
      <c r="T147" s="5">
        <f t="shared" si="3"/>
        <v>72</v>
      </c>
      <c r="U147" s="5" t="s">
        <v>39</v>
      </c>
    </row>
    <row r="148">
      <c r="A148" s="1" t="s">
        <v>454</v>
      </c>
      <c r="B148" s="2">
        <v>27.0</v>
      </c>
      <c r="C148" s="1" t="s">
        <v>86</v>
      </c>
      <c r="D148" s="6"/>
      <c r="E148" s="3"/>
      <c r="F148" s="1" t="s">
        <v>28</v>
      </c>
      <c r="G148" s="4">
        <v>0.13819444444444445</v>
      </c>
      <c r="H148" s="1" t="s">
        <v>360</v>
      </c>
      <c r="I148" s="1" t="s">
        <v>30</v>
      </c>
      <c r="J148" s="4">
        <v>0.4166666666666667</v>
      </c>
      <c r="K148" s="1" t="s">
        <v>223</v>
      </c>
      <c r="L148" s="1" t="s">
        <v>28</v>
      </c>
      <c r="M148" s="4">
        <v>0.66875</v>
      </c>
      <c r="N148" s="1" t="s">
        <v>100</v>
      </c>
      <c r="O148" s="1" t="s">
        <v>30</v>
      </c>
      <c r="P148" s="4">
        <v>0.9097222222222222</v>
      </c>
      <c r="Q148" s="1" t="s">
        <v>250</v>
      </c>
      <c r="R148" s="1">
        <f t="shared" si="1"/>
        <v>90</v>
      </c>
      <c r="S148" s="1">
        <f t="shared" si="2"/>
        <v>66</v>
      </c>
      <c r="T148" s="5">
        <f t="shared" si="3"/>
        <v>90</v>
      </c>
      <c r="U148" s="5" t="s">
        <v>39</v>
      </c>
    </row>
    <row r="149">
      <c r="A149" s="1" t="s">
        <v>454</v>
      </c>
      <c r="B149" s="2">
        <v>28.0</v>
      </c>
      <c r="C149" s="1" t="s">
        <v>26</v>
      </c>
      <c r="D149" s="6"/>
      <c r="E149" s="3"/>
      <c r="F149" s="1" t="s">
        <v>28</v>
      </c>
      <c r="G149" s="4">
        <v>0.16458333333333333</v>
      </c>
      <c r="H149" s="1" t="s">
        <v>307</v>
      </c>
      <c r="I149" s="1" t="s">
        <v>30</v>
      </c>
      <c r="J149" s="4">
        <v>0.44722222222222224</v>
      </c>
      <c r="K149" s="1" t="s">
        <v>37</v>
      </c>
      <c r="L149" s="1" t="s">
        <v>28</v>
      </c>
      <c r="M149" s="4">
        <v>0.7013888888888888</v>
      </c>
      <c r="N149" s="1" t="s">
        <v>218</v>
      </c>
      <c r="O149" s="1" t="s">
        <v>30</v>
      </c>
      <c r="P149" s="4">
        <v>0.9340277777777778</v>
      </c>
      <c r="Q149" s="1" t="s">
        <v>250</v>
      </c>
      <c r="R149" s="1">
        <f t="shared" si="1"/>
        <v>106</v>
      </c>
      <c r="S149" s="1">
        <f t="shared" si="2"/>
        <v>67</v>
      </c>
      <c r="T149" s="5">
        <f t="shared" si="3"/>
        <v>106</v>
      </c>
      <c r="U149" s="5" t="s">
        <v>90</v>
      </c>
    </row>
    <row r="150">
      <c r="A150" s="1" t="s">
        <v>454</v>
      </c>
      <c r="B150" s="2">
        <v>29.0</v>
      </c>
      <c r="C150" s="1" t="s">
        <v>34</v>
      </c>
      <c r="D150" s="6"/>
      <c r="E150" s="3"/>
      <c r="F150" s="1" t="s">
        <v>28</v>
      </c>
      <c r="G150" s="4">
        <v>0.18958333333333333</v>
      </c>
      <c r="H150" s="1" t="s">
        <v>434</v>
      </c>
      <c r="I150" s="1" t="s">
        <v>30</v>
      </c>
      <c r="J150" s="4">
        <v>0.47291666666666665</v>
      </c>
      <c r="K150" s="1" t="s">
        <v>58</v>
      </c>
      <c r="L150" s="1" t="s">
        <v>28</v>
      </c>
      <c r="M150" s="4">
        <v>0.7305555555555555</v>
      </c>
      <c r="N150" s="1" t="s">
        <v>218</v>
      </c>
      <c r="O150" s="1" t="s">
        <v>30</v>
      </c>
      <c r="P150" s="4">
        <v>0.9569444444444445</v>
      </c>
      <c r="Q150" s="1" t="s">
        <v>328</v>
      </c>
      <c r="R150" s="1">
        <f t="shared" si="1"/>
        <v>121</v>
      </c>
      <c r="S150" s="1">
        <f t="shared" si="2"/>
        <v>68</v>
      </c>
      <c r="T150" s="5">
        <f t="shared" si="3"/>
        <v>121</v>
      </c>
      <c r="U150" s="5" t="s">
        <v>90</v>
      </c>
    </row>
    <row r="151">
      <c r="A151" s="1" t="s">
        <v>454</v>
      </c>
      <c r="B151" s="2">
        <v>30.0</v>
      </c>
      <c r="C151" s="1" t="s">
        <v>41</v>
      </c>
      <c r="D151" s="1" t="s">
        <v>42</v>
      </c>
      <c r="E151" s="3"/>
      <c r="F151" s="1" t="s">
        <v>28</v>
      </c>
      <c r="G151" s="4">
        <v>0.21319444444444444</v>
      </c>
      <c r="H151" s="1" t="s">
        <v>167</v>
      </c>
      <c r="I151" s="1" t="s">
        <v>30</v>
      </c>
      <c r="J151" s="4">
        <v>0.49722222222222223</v>
      </c>
      <c r="K151" s="1" t="s">
        <v>124</v>
      </c>
      <c r="L151" s="1" t="s">
        <v>28</v>
      </c>
      <c r="M151" s="4">
        <v>0.7569444444444444</v>
      </c>
      <c r="N151" s="1" t="s">
        <v>218</v>
      </c>
      <c r="O151" s="1" t="s">
        <v>30</v>
      </c>
      <c r="P151" s="4">
        <v>0.9798611111111111</v>
      </c>
      <c r="Q151" s="1" t="s">
        <v>191</v>
      </c>
      <c r="R151" s="1">
        <f t="shared" si="1"/>
        <v>132</v>
      </c>
      <c r="S151" s="1">
        <f t="shared" si="2"/>
        <v>70</v>
      </c>
      <c r="T151" s="5">
        <f t="shared" si="3"/>
        <v>132</v>
      </c>
      <c r="U151" s="5" t="s">
        <v>47</v>
      </c>
    </row>
    <row r="152">
      <c r="A152" s="1" t="s">
        <v>454</v>
      </c>
      <c r="B152" s="2">
        <v>31.0</v>
      </c>
      <c r="C152" s="1" t="s">
        <v>55</v>
      </c>
      <c r="D152" s="1" t="s">
        <v>42</v>
      </c>
      <c r="E152" s="7" t="s">
        <v>35</v>
      </c>
      <c r="F152" s="1" t="s">
        <v>28</v>
      </c>
      <c r="G152" s="4">
        <v>0.23680555555555555</v>
      </c>
      <c r="H152" s="1" t="s">
        <v>297</v>
      </c>
      <c r="I152" s="1" t="s">
        <v>30</v>
      </c>
      <c r="J152" s="4">
        <v>0.5201388888888889</v>
      </c>
      <c r="K152" s="1" t="s">
        <v>215</v>
      </c>
      <c r="L152" s="1" t="s">
        <v>28</v>
      </c>
      <c r="M152" s="4">
        <v>0.7819444444444444</v>
      </c>
      <c r="N152" s="1" t="s">
        <v>183</v>
      </c>
      <c r="R152" s="1">
        <f t="shared" si="1"/>
        <v>140</v>
      </c>
      <c r="S152" s="1">
        <f t="shared" si="2"/>
        <v>32</v>
      </c>
      <c r="T152" s="5">
        <f t="shared" si="3"/>
        <v>140</v>
      </c>
      <c r="U152" s="5" t="s">
        <v>47</v>
      </c>
    </row>
    <row r="153">
      <c r="A153" s="1" t="s">
        <v>474</v>
      </c>
      <c r="B153" s="2">
        <v>1.0</v>
      </c>
      <c r="C153" s="1" t="s">
        <v>25</v>
      </c>
      <c r="D153" s="6"/>
      <c r="E153" s="3"/>
      <c r="F153" s="1" t="s">
        <v>30</v>
      </c>
      <c r="G153" s="4">
        <v>0.0020833333333333333</v>
      </c>
      <c r="H153" s="1" t="s">
        <v>191</v>
      </c>
      <c r="I153" s="1" t="s">
        <v>28</v>
      </c>
      <c r="J153" s="4">
        <v>0.2590277777777778</v>
      </c>
      <c r="K153" s="1" t="s">
        <v>338</v>
      </c>
      <c r="L153" s="1" t="s">
        <v>30</v>
      </c>
      <c r="M153" s="4">
        <v>0.5430555555555555</v>
      </c>
      <c r="N153" s="1" t="s">
        <v>215</v>
      </c>
      <c r="O153" s="1" t="s">
        <v>28</v>
      </c>
      <c r="P153" s="4">
        <v>0.8055555555555556</v>
      </c>
      <c r="Q153" s="1" t="s">
        <v>190</v>
      </c>
      <c r="R153" s="1">
        <f t="shared" si="1"/>
        <v>105</v>
      </c>
      <c r="S153" s="1">
        <f t="shared" si="2"/>
        <v>103</v>
      </c>
      <c r="T153" s="5">
        <f t="shared" si="3"/>
        <v>105</v>
      </c>
      <c r="U153" s="5" t="s">
        <v>90</v>
      </c>
    </row>
    <row r="154">
      <c r="A154" s="1" t="s">
        <v>474</v>
      </c>
      <c r="B154" s="2">
        <v>2.0</v>
      </c>
      <c r="C154" s="1" t="s">
        <v>75</v>
      </c>
      <c r="D154" s="6"/>
      <c r="E154" s="3"/>
      <c r="F154" s="1" t="s">
        <v>30</v>
      </c>
      <c r="G154" s="4">
        <v>0.024305555555555556</v>
      </c>
      <c r="H154" s="1" t="s">
        <v>191</v>
      </c>
      <c r="I154" s="1" t="s">
        <v>28</v>
      </c>
      <c r="J154" s="4">
        <v>0.2826388888888889</v>
      </c>
      <c r="K154" s="1" t="s">
        <v>412</v>
      </c>
      <c r="L154" s="1" t="s">
        <v>30</v>
      </c>
      <c r="M154" s="4">
        <v>0.5659722222222222</v>
      </c>
      <c r="N154" s="1" t="s">
        <v>185</v>
      </c>
      <c r="O154" s="1" t="s">
        <v>28</v>
      </c>
      <c r="P154" s="4">
        <v>0.8284722222222223</v>
      </c>
      <c r="Q154" s="1" t="s">
        <v>181</v>
      </c>
      <c r="R154" s="1">
        <f t="shared" si="1"/>
        <v>106</v>
      </c>
      <c r="S154" s="1">
        <f t="shared" si="2"/>
        <v>99</v>
      </c>
      <c r="T154" s="5">
        <f t="shared" si="3"/>
        <v>106</v>
      </c>
      <c r="U154" s="5" t="s">
        <v>90</v>
      </c>
    </row>
    <row r="155">
      <c r="A155" s="1" t="s">
        <v>474</v>
      </c>
      <c r="B155" s="2">
        <v>3.0</v>
      </c>
      <c r="C155" s="1" t="s">
        <v>86</v>
      </c>
      <c r="D155" s="6"/>
      <c r="E155" s="3"/>
      <c r="F155" s="1" t="s">
        <v>30</v>
      </c>
      <c r="G155" s="4">
        <v>0.04722222222222222</v>
      </c>
      <c r="H155" s="1" t="s">
        <v>191</v>
      </c>
      <c r="I155" s="1" t="s">
        <v>28</v>
      </c>
      <c r="J155" s="4">
        <v>0.3055555555555556</v>
      </c>
      <c r="K155" s="1" t="s">
        <v>338</v>
      </c>
      <c r="L155" s="1" t="s">
        <v>30</v>
      </c>
      <c r="M155" s="4">
        <v>0.5895833333333333</v>
      </c>
      <c r="N155" s="1" t="s">
        <v>274</v>
      </c>
      <c r="O155" s="1" t="s">
        <v>28</v>
      </c>
      <c r="P155" s="4">
        <v>0.8520833333333333</v>
      </c>
      <c r="Q155" s="1" t="s">
        <v>471</v>
      </c>
      <c r="R155" s="1">
        <f t="shared" si="1"/>
        <v>105</v>
      </c>
      <c r="S155" s="1">
        <f t="shared" si="2"/>
        <v>92</v>
      </c>
      <c r="T155" s="5">
        <f t="shared" si="3"/>
        <v>105</v>
      </c>
      <c r="U155" s="5" t="s">
        <v>90</v>
      </c>
    </row>
    <row r="156">
      <c r="A156" s="1" t="s">
        <v>474</v>
      </c>
      <c r="B156" s="2">
        <v>4.0</v>
      </c>
      <c r="C156" s="1" t="s">
        <v>26</v>
      </c>
      <c r="D156" s="6"/>
      <c r="E156" s="3"/>
      <c r="F156" s="1" t="s">
        <v>30</v>
      </c>
      <c r="G156" s="4">
        <v>0.07152777777777777</v>
      </c>
      <c r="H156" s="1" t="s">
        <v>328</v>
      </c>
      <c r="I156" s="1" t="s">
        <v>28</v>
      </c>
      <c r="J156" s="4">
        <v>0.33055555555555555</v>
      </c>
      <c r="K156" s="1" t="s">
        <v>385</v>
      </c>
      <c r="L156" s="1" t="s">
        <v>30</v>
      </c>
      <c r="M156" s="4">
        <v>0.6152777777777778</v>
      </c>
      <c r="N156" s="1" t="s">
        <v>110</v>
      </c>
      <c r="O156" s="1" t="s">
        <v>28</v>
      </c>
      <c r="P156" s="4">
        <v>0.8770833333333333</v>
      </c>
      <c r="Q156" s="1" t="s">
        <v>123</v>
      </c>
      <c r="R156" s="1">
        <f t="shared" si="1"/>
        <v>100</v>
      </c>
      <c r="S156" s="1">
        <f t="shared" si="2"/>
        <v>84</v>
      </c>
      <c r="T156" s="5">
        <f t="shared" si="3"/>
        <v>100</v>
      </c>
      <c r="U156" s="5" t="s">
        <v>90</v>
      </c>
    </row>
    <row r="157">
      <c r="A157" s="1" t="s">
        <v>474</v>
      </c>
      <c r="B157" s="2">
        <v>5.0</v>
      </c>
      <c r="C157" s="1" t="s">
        <v>34</v>
      </c>
      <c r="D157" s="6"/>
      <c r="E157" s="3"/>
      <c r="F157" s="1" t="s">
        <v>30</v>
      </c>
      <c r="G157" s="4">
        <v>0.09791666666666667</v>
      </c>
      <c r="H157" s="1" t="s">
        <v>391</v>
      </c>
      <c r="I157" s="1" t="s">
        <v>28</v>
      </c>
      <c r="J157" s="4">
        <v>0.35694444444444445</v>
      </c>
      <c r="K157" s="1" t="s">
        <v>78</v>
      </c>
      <c r="L157" s="1" t="s">
        <v>30</v>
      </c>
      <c r="M157" s="4">
        <v>0.6423611111111112</v>
      </c>
      <c r="N157" s="1" t="s">
        <v>469</v>
      </c>
      <c r="O157" s="1" t="s">
        <v>28</v>
      </c>
      <c r="P157" s="4">
        <v>0.9055555555555556</v>
      </c>
      <c r="Q157" s="1" t="s">
        <v>256</v>
      </c>
      <c r="R157" s="1">
        <f t="shared" si="1"/>
        <v>92</v>
      </c>
      <c r="S157" s="1">
        <f t="shared" si="2"/>
        <v>76</v>
      </c>
      <c r="T157" s="5">
        <f t="shared" si="3"/>
        <v>92</v>
      </c>
      <c r="U157" s="5" t="s">
        <v>90</v>
      </c>
    </row>
    <row r="158">
      <c r="A158" s="1" t="s">
        <v>474</v>
      </c>
      <c r="B158" s="2">
        <v>6.0</v>
      </c>
      <c r="C158" s="1" t="s">
        <v>41</v>
      </c>
      <c r="D158" s="1" t="s">
        <v>42</v>
      </c>
      <c r="E158" s="3"/>
      <c r="F158" s="1" t="s">
        <v>30</v>
      </c>
      <c r="G158" s="4">
        <v>0.1284722222222222</v>
      </c>
      <c r="H158" s="1" t="s">
        <v>248</v>
      </c>
      <c r="I158" s="1" t="s">
        <v>28</v>
      </c>
      <c r="J158" s="4">
        <v>0.3875</v>
      </c>
      <c r="K158" s="1" t="s">
        <v>388</v>
      </c>
      <c r="L158" s="1" t="s">
        <v>30</v>
      </c>
      <c r="M158" s="4">
        <v>0.6736111111111112</v>
      </c>
      <c r="N158" s="1" t="s">
        <v>200</v>
      </c>
      <c r="O158" s="1" t="s">
        <v>28</v>
      </c>
      <c r="P158" s="4">
        <v>0.9402777777777778</v>
      </c>
      <c r="Q158" s="1" t="s">
        <v>256</v>
      </c>
      <c r="R158" s="1">
        <f t="shared" si="1"/>
        <v>82</v>
      </c>
      <c r="S158" s="1">
        <f t="shared" si="2"/>
        <v>70</v>
      </c>
      <c r="T158" s="5">
        <f t="shared" si="3"/>
        <v>82</v>
      </c>
      <c r="U158" s="5" t="s">
        <v>39</v>
      </c>
    </row>
    <row r="159">
      <c r="A159" s="1" t="s">
        <v>474</v>
      </c>
      <c r="B159" s="2">
        <v>7.0</v>
      </c>
      <c r="C159" s="1" t="s">
        <v>55</v>
      </c>
      <c r="D159" s="1" t="s">
        <v>42</v>
      </c>
      <c r="E159" s="3"/>
      <c r="F159" s="1" t="s">
        <v>30</v>
      </c>
      <c r="G159" s="4">
        <v>0.16597222222222222</v>
      </c>
      <c r="H159" s="1" t="s">
        <v>291</v>
      </c>
      <c r="I159" s="1" t="s">
        <v>28</v>
      </c>
      <c r="J159" s="4">
        <v>0.42291666666666666</v>
      </c>
      <c r="K159" s="1" t="s">
        <v>89</v>
      </c>
      <c r="L159" s="1" t="s">
        <v>30</v>
      </c>
      <c r="M159" s="4">
        <v>0.7097222222222223</v>
      </c>
      <c r="N159" s="1" t="s">
        <v>333</v>
      </c>
      <c r="O159" s="1" t="s">
        <v>28</v>
      </c>
      <c r="P159" s="4">
        <v>0.9805555555555555</v>
      </c>
      <c r="Q159" s="1" t="s">
        <v>471</v>
      </c>
      <c r="R159" s="1">
        <f t="shared" si="1"/>
        <v>71</v>
      </c>
      <c r="S159" s="1">
        <f t="shared" si="2"/>
        <v>67</v>
      </c>
      <c r="T159" s="5">
        <f t="shared" si="3"/>
        <v>71</v>
      </c>
      <c r="U159" s="5" t="s">
        <v>39</v>
      </c>
    </row>
    <row r="160">
      <c r="A160" s="1" t="s">
        <v>474</v>
      </c>
      <c r="B160" s="2">
        <v>8.0</v>
      </c>
      <c r="C160" s="1" t="s">
        <v>25</v>
      </c>
      <c r="D160" s="6"/>
      <c r="E160" s="7" t="s">
        <v>107</v>
      </c>
      <c r="F160" s="1" t="s">
        <v>30</v>
      </c>
      <c r="G160" s="4">
        <v>0.21388888888888888</v>
      </c>
      <c r="H160" s="1" t="s">
        <v>355</v>
      </c>
      <c r="I160" s="1" t="s">
        <v>28</v>
      </c>
      <c r="J160" s="4">
        <v>0.4666666666666667</v>
      </c>
      <c r="K160" s="1" t="s">
        <v>472</v>
      </c>
      <c r="L160" s="1" t="s">
        <v>30</v>
      </c>
      <c r="M160" s="4">
        <v>0.7506944444444444</v>
      </c>
      <c r="N160" s="1" t="s">
        <v>122</v>
      </c>
      <c r="R160" s="1">
        <f t="shared" si="1"/>
        <v>64</v>
      </c>
      <c r="S160" s="1">
        <f t="shared" si="2"/>
        <v>37</v>
      </c>
      <c r="T160" s="5">
        <f t="shared" si="3"/>
        <v>64</v>
      </c>
      <c r="U160" s="5" t="s">
        <v>39</v>
      </c>
    </row>
    <row r="161">
      <c r="A161" s="1" t="s">
        <v>474</v>
      </c>
      <c r="B161" s="2">
        <v>9.0</v>
      </c>
      <c r="C161" s="1" t="s">
        <v>75</v>
      </c>
      <c r="D161" s="6"/>
      <c r="E161" s="3"/>
      <c r="F161" s="1" t="s">
        <v>28</v>
      </c>
      <c r="G161" s="4">
        <v>0.022222222222222223</v>
      </c>
      <c r="H161" s="1" t="s">
        <v>190</v>
      </c>
      <c r="I161" s="1" t="s">
        <v>30</v>
      </c>
      <c r="J161" s="4">
        <v>0.26875</v>
      </c>
      <c r="K161" s="1" t="s">
        <v>422</v>
      </c>
      <c r="L161" s="1" t="s">
        <v>28</v>
      </c>
      <c r="M161" s="4">
        <v>0.5180555555555556</v>
      </c>
      <c r="N161" s="1" t="s">
        <v>262</v>
      </c>
      <c r="O161" s="1" t="s">
        <v>30</v>
      </c>
      <c r="P161" s="4">
        <v>0.7923611111111111</v>
      </c>
      <c r="Q161" s="1" t="s">
        <v>328</v>
      </c>
      <c r="R161" s="1">
        <f t="shared" si="1"/>
        <v>54</v>
      </c>
      <c r="S161" s="1">
        <f t="shared" si="2"/>
        <v>72</v>
      </c>
      <c r="T161" s="5">
        <f t="shared" si="3"/>
        <v>72</v>
      </c>
      <c r="U161" s="5" t="s">
        <v>39</v>
      </c>
    </row>
    <row r="162">
      <c r="A162" s="1" t="s">
        <v>474</v>
      </c>
      <c r="B162" s="2">
        <v>10.0</v>
      </c>
      <c r="C162" s="1" t="s">
        <v>86</v>
      </c>
      <c r="D162" s="6"/>
      <c r="E162" s="3"/>
      <c r="F162" s="1" t="s">
        <v>28</v>
      </c>
      <c r="G162" s="4">
        <v>0.06041666666666667</v>
      </c>
      <c r="H162" s="1" t="s">
        <v>192</v>
      </c>
      <c r="I162" s="1" t="s">
        <v>30</v>
      </c>
      <c r="J162" s="4">
        <v>0.32222222222222224</v>
      </c>
      <c r="K162" s="1" t="s">
        <v>250</v>
      </c>
      <c r="L162" s="1" t="s">
        <v>28</v>
      </c>
      <c r="M162" s="4">
        <v>0.5715277777777777</v>
      </c>
      <c r="N162" s="1" t="s">
        <v>220</v>
      </c>
      <c r="O162" s="1" t="s">
        <v>30</v>
      </c>
      <c r="P162" s="4">
        <v>0.8319444444444445</v>
      </c>
      <c r="Q162" s="1" t="s">
        <v>250</v>
      </c>
      <c r="R162" s="1">
        <f t="shared" si="1"/>
        <v>72</v>
      </c>
      <c r="S162" s="1">
        <f t="shared" si="2"/>
        <v>70</v>
      </c>
      <c r="T162" s="5">
        <f t="shared" si="3"/>
        <v>72</v>
      </c>
      <c r="U162" s="5" t="s">
        <v>39</v>
      </c>
    </row>
    <row r="163">
      <c r="A163" s="1" t="s">
        <v>474</v>
      </c>
      <c r="B163" s="2">
        <v>11.0</v>
      </c>
      <c r="C163" s="1" t="s">
        <v>26</v>
      </c>
      <c r="D163" s="6"/>
      <c r="E163" s="3"/>
      <c r="F163" s="1" t="s">
        <v>28</v>
      </c>
      <c r="G163" s="4">
        <v>0.09513888888888888</v>
      </c>
      <c r="H163" s="1" t="s">
        <v>89</v>
      </c>
      <c r="I163" s="1" t="s">
        <v>30</v>
      </c>
      <c r="J163" s="4">
        <v>0.36944444444444446</v>
      </c>
      <c r="K163" s="1" t="s">
        <v>112</v>
      </c>
      <c r="L163" s="1" t="s">
        <v>28</v>
      </c>
      <c r="M163" s="4">
        <v>0.6229166666666667</v>
      </c>
      <c r="N163" s="1" t="s">
        <v>262</v>
      </c>
      <c r="O163" s="1" t="s">
        <v>30</v>
      </c>
      <c r="P163" s="4">
        <v>0.8680555555555556</v>
      </c>
      <c r="Q163" s="1" t="s">
        <v>295</v>
      </c>
      <c r="R163" s="1">
        <f t="shared" si="1"/>
        <v>96</v>
      </c>
      <c r="S163" s="1">
        <f t="shared" si="2"/>
        <v>70</v>
      </c>
      <c r="T163" s="5">
        <f t="shared" si="3"/>
        <v>96</v>
      </c>
      <c r="U163" s="5" t="s">
        <v>90</v>
      </c>
    </row>
    <row r="164">
      <c r="A164" s="1" t="s">
        <v>474</v>
      </c>
      <c r="B164" s="2">
        <v>12.0</v>
      </c>
      <c r="C164" s="1" t="s">
        <v>34</v>
      </c>
      <c r="D164" s="6"/>
      <c r="E164" s="3"/>
      <c r="F164" s="1" t="s">
        <v>28</v>
      </c>
      <c r="G164" s="4">
        <v>0.12916666666666668</v>
      </c>
      <c r="H164" s="1" t="s">
        <v>158</v>
      </c>
      <c r="I164" s="1" t="s">
        <v>30</v>
      </c>
      <c r="J164" s="4">
        <v>0.41041666666666665</v>
      </c>
      <c r="K164" s="1" t="s">
        <v>88</v>
      </c>
      <c r="L164" s="1" t="s">
        <v>28</v>
      </c>
      <c r="M164" s="4">
        <v>0.66875</v>
      </c>
      <c r="N164" s="1" t="s">
        <v>131</v>
      </c>
      <c r="O164" s="1" t="s">
        <v>30</v>
      </c>
      <c r="P164" s="4">
        <v>0.9034722222222222</v>
      </c>
      <c r="Q164" s="1" t="s">
        <v>250</v>
      </c>
      <c r="R164" s="1">
        <f t="shared" si="1"/>
        <v>123</v>
      </c>
      <c r="S164" s="1">
        <f t="shared" si="2"/>
        <v>73</v>
      </c>
      <c r="T164" s="5">
        <f t="shared" si="3"/>
        <v>123</v>
      </c>
      <c r="U164" s="5" t="s">
        <v>90</v>
      </c>
    </row>
    <row r="165">
      <c r="A165" s="1" t="s">
        <v>474</v>
      </c>
      <c r="B165" s="2">
        <v>13.0</v>
      </c>
      <c r="C165" s="1" t="s">
        <v>41</v>
      </c>
      <c r="D165" s="1" t="s">
        <v>42</v>
      </c>
      <c r="E165" s="3"/>
      <c r="F165" s="1" t="s">
        <v>28</v>
      </c>
      <c r="G165" s="4">
        <v>0.1638888888888889</v>
      </c>
      <c r="H165" s="1" t="s">
        <v>205</v>
      </c>
      <c r="I165" s="1" t="s">
        <v>30</v>
      </c>
      <c r="J165" s="4">
        <v>0.4486111111111111</v>
      </c>
      <c r="K165" s="1" t="s">
        <v>386</v>
      </c>
      <c r="L165" s="1" t="s">
        <v>28</v>
      </c>
      <c r="M165" s="4">
        <v>0.7097222222222223</v>
      </c>
      <c r="N165" s="1" t="s">
        <v>251</v>
      </c>
      <c r="O165" s="1" t="s">
        <v>30</v>
      </c>
      <c r="P165" s="4">
        <v>0.9368055555555556</v>
      </c>
      <c r="Q165" s="1" t="s">
        <v>328</v>
      </c>
      <c r="R165" s="1">
        <f t="shared" si="1"/>
        <v>149</v>
      </c>
      <c r="S165" s="1">
        <f t="shared" si="2"/>
        <v>76</v>
      </c>
      <c r="T165" s="5">
        <f t="shared" si="3"/>
        <v>149</v>
      </c>
      <c r="U165" s="5" t="s">
        <v>47</v>
      </c>
    </row>
    <row r="166">
      <c r="A166" s="1" t="s">
        <v>474</v>
      </c>
      <c r="B166" s="2">
        <v>14.0</v>
      </c>
      <c r="C166" s="1" t="s">
        <v>55</v>
      </c>
      <c r="D166" s="1" t="s">
        <v>42</v>
      </c>
      <c r="E166" s="3"/>
      <c r="F166" s="1" t="s">
        <v>28</v>
      </c>
      <c r="G166" s="4">
        <v>0.1986111111111111</v>
      </c>
      <c r="H166" s="1" t="s">
        <v>473</v>
      </c>
      <c r="I166" s="1" t="s">
        <v>30</v>
      </c>
      <c r="J166" s="4">
        <v>0.4861111111111111</v>
      </c>
      <c r="K166" s="1" t="s">
        <v>132</v>
      </c>
      <c r="L166" s="1" t="s">
        <v>28</v>
      </c>
      <c r="M166" s="4">
        <v>0.7472222222222222</v>
      </c>
      <c r="N166" s="1" t="s">
        <v>251</v>
      </c>
      <c r="O166" s="1" t="s">
        <v>30</v>
      </c>
      <c r="P166" s="4">
        <v>0.9701388888888889</v>
      </c>
      <c r="Q166" s="1" t="s">
        <v>191</v>
      </c>
      <c r="R166" s="1">
        <f t="shared" si="1"/>
        <v>170</v>
      </c>
      <c r="S166" s="1">
        <f t="shared" si="2"/>
        <v>78</v>
      </c>
      <c r="T166" s="5">
        <f t="shared" si="3"/>
        <v>170</v>
      </c>
      <c r="U166" s="5" t="s">
        <v>47</v>
      </c>
    </row>
    <row r="167">
      <c r="A167" s="1" t="s">
        <v>474</v>
      </c>
      <c r="B167" s="2">
        <v>15.0</v>
      </c>
      <c r="C167" s="1" t="s">
        <v>25</v>
      </c>
      <c r="D167" s="6"/>
      <c r="E167" s="7" t="s">
        <v>143</v>
      </c>
      <c r="F167" s="1" t="s">
        <v>28</v>
      </c>
      <c r="G167" s="4">
        <v>0.23333333333333334</v>
      </c>
      <c r="H167" s="1" t="s">
        <v>464</v>
      </c>
      <c r="I167" s="1" t="s">
        <v>30</v>
      </c>
      <c r="J167" s="4">
        <v>0.5222222222222223</v>
      </c>
      <c r="K167" s="1" t="s">
        <v>475</v>
      </c>
      <c r="L167" s="1" t="s">
        <v>28</v>
      </c>
      <c r="M167" s="4">
        <v>0.7833333333333333</v>
      </c>
      <c r="N167" s="1" t="s">
        <v>251</v>
      </c>
      <c r="R167" s="1">
        <f t="shared" si="1"/>
        <v>183</v>
      </c>
      <c r="S167" s="1">
        <f t="shared" si="2"/>
        <v>42</v>
      </c>
      <c r="T167" s="5">
        <f t="shared" si="3"/>
        <v>183</v>
      </c>
      <c r="U167" s="5" t="s">
        <v>47</v>
      </c>
    </row>
    <row r="168">
      <c r="A168" s="1" t="s">
        <v>474</v>
      </c>
      <c r="B168" s="2">
        <v>16.0</v>
      </c>
      <c r="C168" s="1" t="s">
        <v>75</v>
      </c>
      <c r="D168" s="6"/>
      <c r="E168" s="3"/>
      <c r="F168" s="1" t="s">
        <v>30</v>
      </c>
      <c r="G168" s="4">
        <v>0.003472222222222222</v>
      </c>
      <c r="H168" s="1" t="s">
        <v>326</v>
      </c>
      <c r="I168" s="1" t="s">
        <v>28</v>
      </c>
      <c r="J168" s="4">
        <v>0.26805555555555555</v>
      </c>
      <c r="K168" s="1" t="s">
        <v>476</v>
      </c>
      <c r="L168" s="1" t="s">
        <v>30</v>
      </c>
      <c r="M168" s="4">
        <v>0.5583333333333333</v>
      </c>
      <c r="N168" s="1" t="s">
        <v>475</v>
      </c>
      <c r="O168" s="1" t="s">
        <v>28</v>
      </c>
      <c r="P168" s="4">
        <v>0.8173611111111111</v>
      </c>
      <c r="Q168" s="1" t="s">
        <v>131</v>
      </c>
      <c r="R168" s="1">
        <f t="shared" si="1"/>
        <v>135</v>
      </c>
      <c r="S168" s="1">
        <f t="shared" si="2"/>
        <v>131</v>
      </c>
      <c r="T168" s="5">
        <f t="shared" si="3"/>
        <v>135</v>
      </c>
      <c r="U168" s="5" t="s">
        <v>47</v>
      </c>
    </row>
    <row r="169">
      <c r="A169" s="1" t="s">
        <v>474</v>
      </c>
      <c r="B169" s="2">
        <v>17.0</v>
      </c>
      <c r="C169" s="1" t="s">
        <v>86</v>
      </c>
      <c r="D169" s="6"/>
      <c r="E169" s="3"/>
      <c r="F169" s="1" t="s">
        <v>30</v>
      </c>
      <c r="G169" s="4">
        <v>0.0375</v>
      </c>
      <c r="H169" s="1" t="s">
        <v>120</v>
      </c>
      <c r="I169" s="1" t="s">
        <v>28</v>
      </c>
      <c r="J169" s="4">
        <v>0.30277777777777776</v>
      </c>
      <c r="K169" s="1" t="s">
        <v>477</v>
      </c>
      <c r="L169" s="1" t="s">
        <v>30</v>
      </c>
      <c r="M169" s="4">
        <v>0.59375</v>
      </c>
      <c r="N169" s="1" t="s">
        <v>300</v>
      </c>
      <c r="O169" s="1" t="s">
        <v>28</v>
      </c>
      <c r="P169" s="4">
        <v>0.8506944444444444</v>
      </c>
      <c r="Q169" s="1" t="s">
        <v>262</v>
      </c>
      <c r="R169" s="1">
        <f t="shared" si="1"/>
        <v>135</v>
      </c>
      <c r="S169" s="1">
        <f t="shared" si="2"/>
        <v>123</v>
      </c>
      <c r="T169" s="5">
        <f t="shared" si="3"/>
        <v>135</v>
      </c>
      <c r="U169" s="5" t="s">
        <v>47</v>
      </c>
    </row>
    <row r="170">
      <c r="A170" s="1" t="s">
        <v>474</v>
      </c>
      <c r="B170" s="2">
        <v>18.0</v>
      </c>
      <c r="C170" s="1" t="s">
        <v>26</v>
      </c>
      <c r="D170" s="6"/>
      <c r="E170" s="3"/>
      <c r="F170" s="1" t="s">
        <v>30</v>
      </c>
      <c r="G170" s="4">
        <v>0.07291666666666667</v>
      </c>
      <c r="H170" s="1" t="s">
        <v>326</v>
      </c>
      <c r="I170" s="1" t="s">
        <v>28</v>
      </c>
      <c r="J170" s="4">
        <v>0.3368055555555556</v>
      </c>
      <c r="K170" s="1" t="s">
        <v>478</v>
      </c>
      <c r="L170" s="1" t="s">
        <v>30</v>
      </c>
      <c r="M170" s="4">
        <v>0.6284722222222222</v>
      </c>
      <c r="N170" s="1" t="s">
        <v>386</v>
      </c>
      <c r="O170" s="1" t="s">
        <v>28</v>
      </c>
      <c r="P170" s="4">
        <v>0.8833333333333333</v>
      </c>
      <c r="Q170" s="1" t="s">
        <v>220</v>
      </c>
      <c r="R170" s="1">
        <f t="shared" si="1"/>
        <v>129</v>
      </c>
      <c r="S170" s="1">
        <f t="shared" si="2"/>
        <v>113</v>
      </c>
      <c r="T170" s="5">
        <f t="shared" si="3"/>
        <v>129</v>
      </c>
      <c r="U170" s="5" t="s">
        <v>47</v>
      </c>
    </row>
    <row r="171">
      <c r="A171" s="1" t="s">
        <v>474</v>
      </c>
      <c r="B171" s="2">
        <v>19.0</v>
      </c>
      <c r="C171" s="1" t="s">
        <v>34</v>
      </c>
      <c r="D171" s="1" t="s">
        <v>479</v>
      </c>
      <c r="E171" s="3"/>
      <c r="F171" s="1" t="s">
        <v>30</v>
      </c>
      <c r="G171" s="4">
        <v>0.10972222222222222</v>
      </c>
      <c r="H171" s="1" t="s">
        <v>191</v>
      </c>
      <c r="I171" s="1" t="s">
        <v>28</v>
      </c>
      <c r="J171" s="4">
        <v>0.37222222222222223</v>
      </c>
      <c r="K171" s="1" t="s">
        <v>419</v>
      </c>
      <c r="L171" s="1" t="s">
        <v>30</v>
      </c>
      <c r="M171" s="4">
        <v>0.6625</v>
      </c>
      <c r="N171" s="1" t="s">
        <v>313</v>
      </c>
      <c r="O171" s="1" t="s">
        <v>28</v>
      </c>
      <c r="P171" s="4">
        <v>0.9166666666666666</v>
      </c>
      <c r="Q171" s="1" t="s">
        <v>357</v>
      </c>
      <c r="R171" s="1">
        <f t="shared" si="1"/>
        <v>116</v>
      </c>
      <c r="S171" s="1">
        <f t="shared" si="2"/>
        <v>100</v>
      </c>
      <c r="T171" s="5">
        <f t="shared" si="3"/>
        <v>116</v>
      </c>
      <c r="U171" s="5" t="s">
        <v>90</v>
      </c>
    </row>
    <row r="172">
      <c r="A172" s="1" t="s">
        <v>474</v>
      </c>
      <c r="B172" s="2">
        <v>20.0</v>
      </c>
      <c r="C172" s="1" t="s">
        <v>41</v>
      </c>
      <c r="D172" s="1" t="s">
        <v>42</v>
      </c>
      <c r="E172" s="3"/>
      <c r="F172" s="1" t="s">
        <v>30</v>
      </c>
      <c r="G172" s="4">
        <v>0.14930555555555555</v>
      </c>
      <c r="H172" s="1" t="s">
        <v>250</v>
      </c>
      <c r="I172" s="1" t="s">
        <v>28</v>
      </c>
      <c r="J172" s="4">
        <v>0.40902777777777777</v>
      </c>
      <c r="K172" s="1" t="s">
        <v>385</v>
      </c>
      <c r="L172" s="1" t="s">
        <v>30</v>
      </c>
      <c r="M172" s="4">
        <v>0.6951388888888889</v>
      </c>
      <c r="N172" s="1" t="s">
        <v>114</v>
      </c>
      <c r="O172" s="1" t="s">
        <v>28</v>
      </c>
      <c r="P172" s="4">
        <v>0.9506944444444444</v>
      </c>
      <c r="Q172" s="1" t="s">
        <v>402</v>
      </c>
      <c r="R172" s="1">
        <f t="shared" si="1"/>
        <v>99</v>
      </c>
      <c r="S172" s="1">
        <f t="shared" si="2"/>
        <v>86</v>
      </c>
      <c r="T172" s="5">
        <f t="shared" si="3"/>
        <v>99</v>
      </c>
      <c r="U172" s="5" t="s">
        <v>90</v>
      </c>
    </row>
    <row r="173">
      <c r="A173" s="1" t="s">
        <v>474</v>
      </c>
      <c r="B173" s="2">
        <v>21.0</v>
      </c>
      <c r="C173" s="1" t="s">
        <v>55</v>
      </c>
      <c r="D173" s="1" t="s">
        <v>42</v>
      </c>
      <c r="E173" s="3"/>
      <c r="F173" s="1" t="s">
        <v>30</v>
      </c>
      <c r="G173" s="4">
        <v>0.19236111111111112</v>
      </c>
      <c r="H173" s="1" t="s">
        <v>480</v>
      </c>
      <c r="I173" s="1" t="s">
        <v>28</v>
      </c>
      <c r="J173" s="4">
        <v>0.4486111111111111</v>
      </c>
      <c r="K173" s="1" t="s">
        <v>307</v>
      </c>
      <c r="L173" s="1" t="s">
        <v>30</v>
      </c>
      <c r="M173" s="4">
        <v>0.7277777777777777</v>
      </c>
      <c r="N173" s="1" t="s">
        <v>120</v>
      </c>
      <c r="O173" s="1" t="s">
        <v>28</v>
      </c>
      <c r="P173" s="4">
        <v>0.9868055555555556</v>
      </c>
      <c r="Q173" s="1" t="s">
        <v>357</v>
      </c>
      <c r="R173" s="1">
        <f t="shared" si="1"/>
        <v>80</v>
      </c>
      <c r="S173" s="1">
        <f t="shared" si="2"/>
        <v>75</v>
      </c>
      <c r="T173" s="5">
        <f t="shared" si="3"/>
        <v>80</v>
      </c>
      <c r="U173" s="5" t="s">
        <v>39</v>
      </c>
    </row>
    <row r="174">
      <c r="A174" s="1" t="s">
        <v>474</v>
      </c>
      <c r="B174" s="2">
        <v>22.0</v>
      </c>
      <c r="C174" s="1" t="s">
        <v>25</v>
      </c>
      <c r="D174" s="6"/>
      <c r="E174" s="7" t="s">
        <v>184</v>
      </c>
      <c r="F174" s="1" t="s">
        <v>30</v>
      </c>
      <c r="G174" s="4">
        <v>0.24097222222222223</v>
      </c>
      <c r="H174" s="1" t="s">
        <v>248</v>
      </c>
      <c r="I174" s="1" t="s">
        <v>28</v>
      </c>
      <c r="J174" s="4">
        <v>0.49444444444444446</v>
      </c>
      <c r="K174" s="1" t="s">
        <v>220</v>
      </c>
      <c r="L174" s="1" t="s">
        <v>30</v>
      </c>
      <c r="M174" s="4">
        <v>0.7618055555555555</v>
      </c>
      <c r="N174" s="1" t="s">
        <v>480</v>
      </c>
      <c r="R174" s="1">
        <f t="shared" si="1"/>
        <v>63</v>
      </c>
      <c r="S174" s="1">
        <f t="shared" si="2"/>
        <v>29</v>
      </c>
      <c r="T174" s="5">
        <f t="shared" si="3"/>
        <v>63</v>
      </c>
      <c r="U174" s="5" t="s">
        <v>39</v>
      </c>
    </row>
    <row r="175">
      <c r="A175" s="1" t="s">
        <v>474</v>
      </c>
      <c r="B175" s="2">
        <v>23.0</v>
      </c>
      <c r="C175" s="1" t="s">
        <v>75</v>
      </c>
      <c r="D175" s="6"/>
      <c r="E175" s="3"/>
      <c r="F175" s="1" t="s">
        <v>28</v>
      </c>
      <c r="G175" s="4">
        <v>0.024305555555555556</v>
      </c>
      <c r="H175" s="1" t="s">
        <v>262</v>
      </c>
      <c r="I175" s="1" t="s">
        <v>30</v>
      </c>
      <c r="J175" s="4">
        <v>0.29583333333333334</v>
      </c>
      <c r="K175" s="1" t="s">
        <v>248</v>
      </c>
      <c r="L175" s="1" t="s">
        <v>28</v>
      </c>
      <c r="M175" s="4">
        <v>0.5465277777777777</v>
      </c>
      <c r="N175" s="1" t="s">
        <v>189</v>
      </c>
      <c r="O175" s="1" t="s">
        <v>30</v>
      </c>
      <c r="P175" s="4">
        <v>0.7979166666666667</v>
      </c>
      <c r="Q175" s="1" t="s">
        <v>291</v>
      </c>
      <c r="R175" s="1">
        <f t="shared" si="1"/>
        <v>64</v>
      </c>
      <c r="S175" s="1">
        <f t="shared" si="2"/>
        <v>49</v>
      </c>
      <c r="T175" s="5">
        <f t="shared" si="3"/>
        <v>64</v>
      </c>
      <c r="U175" s="5" t="s">
        <v>39</v>
      </c>
    </row>
    <row r="176">
      <c r="A176" s="1" t="s">
        <v>474</v>
      </c>
      <c r="B176" s="2">
        <v>24.0</v>
      </c>
      <c r="C176" s="1" t="s">
        <v>86</v>
      </c>
      <c r="D176" s="6"/>
      <c r="E176" s="3"/>
      <c r="F176" s="1" t="s">
        <v>28</v>
      </c>
      <c r="G176" s="4">
        <v>0.06319444444444444</v>
      </c>
      <c r="H176" s="1" t="s">
        <v>292</v>
      </c>
      <c r="I176" s="1" t="s">
        <v>30</v>
      </c>
      <c r="J176" s="4">
        <v>0.35208333333333336</v>
      </c>
      <c r="K176" s="1" t="s">
        <v>391</v>
      </c>
      <c r="L176" s="1" t="s">
        <v>28</v>
      </c>
      <c r="M176" s="4">
        <v>0.6034722222222222</v>
      </c>
      <c r="N176" s="1" t="s">
        <v>256</v>
      </c>
      <c r="O176" s="1" t="s">
        <v>30</v>
      </c>
      <c r="P176" s="4">
        <v>0.8361111111111111</v>
      </c>
      <c r="Q176" s="1" t="s">
        <v>235</v>
      </c>
      <c r="R176" s="1">
        <f t="shared" si="1"/>
        <v>71</v>
      </c>
      <c r="S176" s="1">
        <f t="shared" si="2"/>
        <v>40</v>
      </c>
      <c r="T176" s="5">
        <f t="shared" si="3"/>
        <v>71</v>
      </c>
      <c r="U176" s="5" t="s">
        <v>39</v>
      </c>
    </row>
    <row r="177">
      <c r="A177" s="1" t="s">
        <v>474</v>
      </c>
      <c r="B177" s="2">
        <v>25.0</v>
      </c>
      <c r="C177" s="1" t="s">
        <v>26</v>
      </c>
      <c r="D177" s="6"/>
      <c r="E177" s="3"/>
      <c r="F177" s="1" t="s">
        <v>28</v>
      </c>
      <c r="G177" s="4">
        <v>0.10208333333333333</v>
      </c>
      <c r="H177" s="1" t="s">
        <v>179</v>
      </c>
      <c r="I177" s="1" t="s">
        <v>30</v>
      </c>
      <c r="J177" s="4">
        <v>0.39861111111111114</v>
      </c>
      <c r="K177" s="1" t="s">
        <v>326</v>
      </c>
      <c r="L177" s="1" t="s">
        <v>28</v>
      </c>
      <c r="M177" s="4">
        <v>0.6541666666666667</v>
      </c>
      <c r="N177" s="1" t="s">
        <v>173</v>
      </c>
      <c r="O177" s="1" t="s">
        <v>30</v>
      </c>
      <c r="P177" s="4">
        <v>0.8736111111111111</v>
      </c>
      <c r="Q177" s="1" t="s">
        <v>235</v>
      </c>
      <c r="R177" s="1">
        <f t="shared" si="1"/>
        <v>83</v>
      </c>
      <c r="S177" s="1">
        <f t="shared" si="2"/>
        <v>39</v>
      </c>
      <c r="T177" s="5">
        <f t="shared" si="3"/>
        <v>83</v>
      </c>
      <c r="U177" s="5" t="s">
        <v>39</v>
      </c>
    </row>
    <row r="178">
      <c r="A178" s="1" t="s">
        <v>474</v>
      </c>
      <c r="B178" s="2">
        <v>26.0</v>
      </c>
      <c r="C178" s="1" t="s">
        <v>34</v>
      </c>
      <c r="D178" s="6"/>
      <c r="E178" s="3"/>
      <c r="F178" s="1" t="s">
        <v>28</v>
      </c>
      <c r="G178" s="4">
        <v>0.13819444444444445</v>
      </c>
      <c r="H178" s="1" t="s">
        <v>265</v>
      </c>
      <c r="I178" s="1" t="s">
        <v>30</v>
      </c>
      <c r="J178" s="4">
        <v>0.43472222222222223</v>
      </c>
      <c r="K178" s="1" t="s">
        <v>112</v>
      </c>
      <c r="L178" s="1" t="s">
        <v>28</v>
      </c>
      <c r="M178" s="4">
        <v>0.69375</v>
      </c>
      <c r="N178" s="1" t="s">
        <v>176</v>
      </c>
      <c r="O178" s="1" t="s">
        <v>30</v>
      </c>
      <c r="P178" s="4">
        <v>0.9076388888888889</v>
      </c>
      <c r="Q178" s="1" t="s">
        <v>481</v>
      </c>
      <c r="R178" s="1">
        <f t="shared" si="1"/>
        <v>97</v>
      </c>
      <c r="S178" s="1">
        <f t="shared" si="2"/>
        <v>43</v>
      </c>
      <c r="T178" s="5">
        <f t="shared" si="3"/>
        <v>97</v>
      </c>
      <c r="U178" s="5" t="s">
        <v>90</v>
      </c>
    </row>
    <row r="179">
      <c r="A179" s="1" t="s">
        <v>474</v>
      </c>
      <c r="B179" s="2">
        <v>27.0</v>
      </c>
      <c r="C179" s="1" t="s">
        <v>41</v>
      </c>
      <c r="D179" s="1" t="s">
        <v>42</v>
      </c>
      <c r="E179" s="3"/>
      <c r="F179" s="1" t="s">
        <v>28</v>
      </c>
      <c r="G179" s="4">
        <v>0.1701388888888889</v>
      </c>
      <c r="H179" s="1" t="s">
        <v>388</v>
      </c>
      <c r="I179" s="1" t="s">
        <v>30</v>
      </c>
      <c r="J179" s="4">
        <v>0.4638888888888889</v>
      </c>
      <c r="K179" s="1" t="s">
        <v>37</v>
      </c>
      <c r="L179" s="1" t="s">
        <v>28</v>
      </c>
      <c r="M179" s="4">
        <v>0.7243055555555555</v>
      </c>
      <c r="N179" s="1" t="s">
        <v>189</v>
      </c>
      <c r="O179" s="1" t="s">
        <v>30</v>
      </c>
      <c r="P179" s="4">
        <v>0.9381944444444444</v>
      </c>
      <c r="Q179" s="1" t="s">
        <v>291</v>
      </c>
      <c r="R179" s="1">
        <f t="shared" si="1"/>
        <v>111</v>
      </c>
      <c r="S179" s="1">
        <f t="shared" si="2"/>
        <v>49</v>
      </c>
      <c r="T179" s="5">
        <f t="shared" si="3"/>
        <v>111</v>
      </c>
      <c r="U179" s="5" t="s">
        <v>90</v>
      </c>
    </row>
    <row r="180">
      <c r="A180" s="1" t="s">
        <v>474</v>
      </c>
      <c r="B180" s="2">
        <v>28.0</v>
      </c>
      <c r="C180" s="1" t="s">
        <v>55</v>
      </c>
      <c r="D180" s="1" t="s">
        <v>42</v>
      </c>
      <c r="E180" s="3"/>
      <c r="F180" s="1" t="s">
        <v>28</v>
      </c>
      <c r="G180" s="4">
        <v>0.19930555555555557</v>
      </c>
      <c r="H180" s="1" t="s">
        <v>78</v>
      </c>
      <c r="I180" s="1" t="s">
        <v>30</v>
      </c>
      <c r="J180" s="4">
        <v>0.4888888888888889</v>
      </c>
      <c r="K180" s="1" t="s">
        <v>88</v>
      </c>
      <c r="L180" s="1" t="s">
        <v>28</v>
      </c>
      <c r="M180" s="4">
        <v>0.7506944444444444</v>
      </c>
      <c r="N180" s="1" t="s">
        <v>190</v>
      </c>
      <c r="O180" s="1" t="s">
        <v>30</v>
      </c>
      <c r="P180" s="4">
        <v>0.9652777777777778</v>
      </c>
      <c r="Q180" s="1" t="s">
        <v>248</v>
      </c>
      <c r="R180" s="1">
        <f t="shared" si="1"/>
        <v>124</v>
      </c>
      <c r="S180" s="1">
        <f t="shared" si="2"/>
        <v>56</v>
      </c>
      <c r="T180" s="5">
        <f t="shared" si="3"/>
        <v>124</v>
      </c>
      <c r="U180" s="5" t="s">
        <v>47</v>
      </c>
    </row>
    <row r="181">
      <c r="A181" s="1" t="s">
        <v>474</v>
      </c>
      <c r="B181" s="2">
        <v>29.0</v>
      </c>
      <c r="C181" s="1" t="s">
        <v>25</v>
      </c>
      <c r="D181" s="6"/>
      <c r="E181" s="3"/>
      <c r="F181" s="1" t="s">
        <v>28</v>
      </c>
      <c r="G181" s="4">
        <v>0.22569444444444445</v>
      </c>
      <c r="H181" s="1" t="s">
        <v>436</v>
      </c>
      <c r="I181" s="1" t="s">
        <v>30</v>
      </c>
      <c r="J181" s="4">
        <v>0.5131944444444444</v>
      </c>
      <c r="K181" s="1" t="s">
        <v>182</v>
      </c>
      <c r="L181" s="1" t="s">
        <v>28</v>
      </c>
      <c r="M181" s="4">
        <v>0.7743055555555556</v>
      </c>
      <c r="N181" s="1" t="s">
        <v>100</v>
      </c>
      <c r="O181" s="1" t="s">
        <v>30</v>
      </c>
      <c r="P181" s="4">
        <v>0.9909722222222223</v>
      </c>
      <c r="Q181" s="1" t="s">
        <v>391</v>
      </c>
      <c r="R181" s="1">
        <f t="shared" si="1"/>
        <v>134</v>
      </c>
      <c r="S181" s="1">
        <f t="shared" si="2"/>
        <v>63</v>
      </c>
      <c r="T181" s="5">
        <f t="shared" si="3"/>
        <v>134</v>
      </c>
      <c r="U181" s="5" t="s">
        <v>47</v>
      </c>
    </row>
    <row r="182">
      <c r="A182" s="1" t="s">
        <v>474</v>
      </c>
      <c r="B182" s="2">
        <v>30.0</v>
      </c>
      <c r="C182" s="1" t="s">
        <v>75</v>
      </c>
      <c r="D182" s="6"/>
      <c r="E182" s="7" t="s">
        <v>35</v>
      </c>
      <c r="F182" s="1" t="s">
        <v>28</v>
      </c>
      <c r="G182" s="4">
        <v>0.25069444444444444</v>
      </c>
      <c r="H182" s="1" t="s">
        <v>46</v>
      </c>
      <c r="I182" s="1" t="s">
        <v>30</v>
      </c>
      <c r="J182" s="4">
        <v>0.5361111111111111</v>
      </c>
      <c r="K182" s="1" t="s">
        <v>174</v>
      </c>
      <c r="L182" s="1" t="s">
        <v>28</v>
      </c>
      <c r="M182" s="4">
        <v>0.7972222222222223</v>
      </c>
      <c r="N182" s="1" t="s">
        <v>218</v>
      </c>
      <c r="R182" s="1">
        <f t="shared" si="1"/>
        <v>140</v>
      </c>
      <c r="S182" s="1">
        <f t="shared" si="2"/>
        <v>34</v>
      </c>
      <c r="T182" s="5">
        <f t="shared" si="3"/>
        <v>140</v>
      </c>
      <c r="U182" s="5" t="s">
        <v>47</v>
      </c>
    </row>
    <row r="183">
      <c r="A183" s="1" t="s">
        <v>485</v>
      </c>
      <c r="B183" s="2">
        <v>1.0</v>
      </c>
      <c r="C183" s="1" t="s">
        <v>86</v>
      </c>
      <c r="D183" s="6"/>
      <c r="E183" s="3"/>
      <c r="F183" s="1" t="s">
        <v>30</v>
      </c>
      <c r="G183" s="4">
        <v>0.01597222222222222</v>
      </c>
      <c r="H183" s="1" t="s">
        <v>250</v>
      </c>
      <c r="I183" s="1" t="s">
        <v>28</v>
      </c>
      <c r="J183" s="4">
        <v>0.2743055555555556</v>
      </c>
      <c r="K183" s="1" t="s">
        <v>211</v>
      </c>
      <c r="L183" s="1" t="s">
        <v>30</v>
      </c>
      <c r="M183" s="4">
        <v>0.5583333333333333</v>
      </c>
      <c r="N183" s="1" t="s">
        <v>274</v>
      </c>
      <c r="O183" s="1" t="s">
        <v>28</v>
      </c>
      <c r="P183" s="4">
        <v>0.8180555555555555</v>
      </c>
      <c r="Q183" s="1" t="s">
        <v>357</v>
      </c>
      <c r="R183" s="1">
        <f t="shared" si="1"/>
        <v>109</v>
      </c>
      <c r="S183" s="1">
        <f t="shared" si="2"/>
        <v>103</v>
      </c>
      <c r="T183" s="5">
        <f t="shared" si="3"/>
        <v>109</v>
      </c>
      <c r="U183" s="5" t="s">
        <v>90</v>
      </c>
    </row>
    <row r="184">
      <c r="A184" s="1" t="s">
        <v>485</v>
      </c>
      <c r="B184" s="2">
        <v>2.0</v>
      </c>
      <c r="C184" s="1" t="s">
        <v>26</v>
      </c>
      <c r="D184" s="6"/>
      <c r="E184" s="3"/>
      <c r="F184" s="1" t="s">
        <v>30</v>
      </c>
      <c r="G184" s="4">
        <v>0.04027777777777778</v>
      </c>
      <c r="H184" s="1" t="s">
        <v>286</v>
      </c>
      <c r="I184" s="1" t="s">
        <v>28</v>
      </c>
      <c r="J184" s="4">
        <v>0.2986111111111111</v>
      </c>
      <c r="K184" s="1" t="s">
        <v>346</v>
      </c>
      <c r="L184" s="1" t="s">
        <v>30</v>
      </c>
      <c r="M184" s="4">
        <v>0.58125</v>
      </c>
      <c r="N184" s="1" t="s">
        <v>66</v>
      </c>
      <c r="O184" s="1" t="s">
        <v>28</v>
      </c>
      <c r="P184" s="4">
        <v>0.8395833333333333</v>
      </c>
      <c r="Q184" s="1" t="s">
        <v>220</v>
      </c>
      <c r="R184" s="1">
        <f t="shared" si="1"/>
        <v>112</v>
      </c>
      <c r="S184" s="1">
        <f t="shared" si="2"/>
        <v>102</v>
      </c>
      <c r="T184" s="5">
        <f t="shared" si="3"/>
        <v>112</v>
      </c>
      <c r="U184" s="5" t="s">
        <v>90</v>
      </c>
    </row>
    <row r="185">
      <c r="A185" s="1" t="s">
        <v>485</v>
      </c>
      <c r="B185" s="2">
        <v>3.0</v>
      </c>
      <c r="C185" s="1" t="s">
        <v>34</v>
      </c>
      <c r="D185" s="6"/>
      <c r="E185" s="3"/>
      <c r="F185" s="1" t="s">
        <v>30</v>
      </c>
      <c r="G185" s="4">
        <v>0.06597222222222222</v>
      </c>
      <c r="H185" s="1" t="s">
        <v>191</v>
      </c>
      <c r="I185" s="1" t="s">
        <v>28</v>
      </c>
      <c r="J185" s="4">
        <v>0.3229166666666667</v>
      </c>
      <c r="K185" s="1" t="s">
        <v>211</v>
      </c>
      <c r="L185" s="1" t="s">
        <v>30</v>
      </c>
      <c r="M185" s="4">
        <v>0.6041666666666666</v>
      </c>
      <c r="N185" s="1" t="s">
        <v>110</v>
      </c>
      <c r="O185" s="1" t="s">
        <v>28</v>
      </c>
      <c r="P185" s="4">
        <v>0.8618055555555556</v>
      </c>
      <c r="Q185" s="1" t="s">
        <v>262</v>
      </c>
      <c r="R185" s="1">
        <f t="shared" si="1"/>
        <v>112</v>
      </c>
      <c r="S185" s="1">
        <f t="shared" si="2"/>
        <v>99</v>
      </c>
      <c r="T185" s="5">
        <f t="shared" si="3"/>
        <v>112</v>
      </c>
      <c r="U185" s="5" t="s">
        <v>90</v>
      </c>
    </row>
    <row r="186">
      <c r="A186" s="1" t="s">
        <v>485</v>
      </c>
      <c r="B186" s="2">
        <v>4.0</v>
      </c>
      <c r="C186" s="1" t="s">
        <v>41</v>
      </c>
      <c r="D186" s="1" t="s">
        <v>42</v>
      </c>
      <c r="E186" s="3"/>
      <c r="F186" s="1" t="s">
        <v>30</v>
      </c>
      <c r="G186" s="4">
        <v>0.09305555555555556</v>
      </c>
      <c r="H186" s="1" t="s">
        <v>286</v>
      </c>
      <c r="I186" s="1" t="s">
        <v>28</v>
      </c>
      <c r="J186" s="4">
        <v>0.3486111111111111</v>
      </c>
      <c r="K186" s="1" t="s">
        <v>46</v>
      </c>
      <c r="L186" s="1" t="s">
        <v>30</v>
      </c>
      <c r="M186" s="4">
        <v>0.6270833333333333</v>
      </c>
      <c r="N186" s="1" t="s">
        <v>146</v>
      </c>
      <c r="O186" s="1" t="s">
        <v>28</v>
      </c>
      <c r="P186" s="4">
        <v>0.8854166666666666</v>
      </c>
      <c r="Q186" s="1" t="s">
        <v>131</v>
      </c>
      <c r="R186" s="1">
        <f t="shared" si="1"/>
        <v>107</v>
      </c>
      <c r="S186" s="1">
        <f t="shared" si="2"/>
        <v>96</v>
      </c>
      <c r="T186" s="5">
        <f t="shared" si="3"/>
        <v>107</v>
      </c>
      <c r="U186" s="5" t="s">
        <v>90</v>
      </c>
    </row>
    <row r="187">
      <c r="A187" s="1" t="s">
        <v>485</v>
      </c>
      <c r="B187" s="2">
        <v>5.0</v>
      </c>
      <c r="C187" s="1" t="s">
        <v>55</v>
      </c>
      <c r="D187" s="1" t="s">
        <v>42</v>
      </c>
      <c r="E187" s="3"/>
      <c r="F187" s="1" t="s">
        <v>30</v>
      </c>
      <c r="G187" s="4">
        <v>0.12222222222222222</v>
      </c>
      <c r="H187" s="1" t="s">
        <v>328</v>
      </c>
      <c r="I187" s="1" t="s">
        <v>28</v>
      </c>
      <c r="J187" s="4">
        <v>0.3763888888888889</v>
      </c>
      <c r="K187" s="1" t="s">
        <v>385</v>
      </c>
      <c r="L187" s="1" t="s">
        <v>30</v>
      </c>
      <c r="M187" s="4">
        <v>0.6513888888888889</v>
      </c>
      <c r="N187" s="1" t="s">
        <v>134</v>
      </c>
      <c r="O187" s="1" t="s">
        <v>28</v>
      </c>
      <c r="P187" s="4">
        <v>0.9111111111111111</v>
      </c>
      <c r="Q187" s="1" t="s">
        <v>292</v>
      </c>
      <c r="R187" s="1">
        <f t="shared" si="1"/>
        <v>100</v>
      </c>
      <c r="S187" s="1">
        <f t="shared" si="2"/>
        <v>91</v>
      </c>
      <c r="T187" s="5">
        <f t="shared" si="3"/>
        <v>100</v>
      </c>
      <c r="U187" s="5" t="s">
        <v>90</v>
      </c>
    </row>
    <row r="188">
      <c r="A188" s="1" t="s">
        <v>485</v>
      </c>
      <c r="B188" s="2">
        <v>6.0</v>
      </c>
      <c r="C188" s="1" t="s">
        <v>25</v>
      </c>
      <c r="D188" s="6"/>
      <c r="E188" s="3"/>
      <c r="F188" s="1" t="s">
        <v>30</v>
      </c>
      <c r="G188" s="4">
        <v>0.15555555555555556</v>
      </c>
      <c r="H188" s="1" t="s">
        <v>295</v>
      </c>
      <c r="I188" s="1" t="s">
        <v>28</v>
      </c>
      <c r="J188" s="4">
        <v>0.40694444444444444</v>
      </c>
      <c r="K188" s="1" t="s">
        <v>434</v>
      </c>
      <c r="L188" s="1" t="s">
        <v>30</v>
      </c>
      <c r="M188" s="4">
        <v>0.6784722222222223</v>
      </c>
      <c r="N188" s="1" t="s">
        <v>224</v>
      </c>
      <c r="O188" s="1" t="s">
        <v>28</v>
      </c>
      <c r="P188" s="4">
        <v>0.9409722222222222</v>
      </c>
      <c r="Q188" s="1" t="s">
        <v>472</v>
      </c>
      <c r="R188" s="1">
        <f t="shared" si="1"/>
        <v>90</v>
      </c>
      <c r="S188" s="1">
        <f t="shared" si="2"/>
        <v>86</v>
      </c>
      <c r="T188" s="5">
        <f t="shared" si="3"/>
        <v>90</v>
      </c>
      <c r="U188" s="5" t="s">
        <v>39</v>
      </c>
    </row>
    <row r="189">
      <c r="A189" s="1" t="s">
        <v>485</v>
      </c>
      <c r="B189" s="2">
        <v>7.0</v>
      </c>
      <c r="C189" s="1" t="s">
        <v>75</v>
      </c>
      <c r="D189" s="6"/>
      <c r="E189" s="3"/>
      <c r="F189" s="1" t="s">
        <v>30</v>
      </c>
      <c r="G189" s="4">
        <v>0.19444444444444445</v>
      </c>
      <c r="H189" s="1" t="s">
        <v>389</v>
      </c>
      <c r="I189" s="1" t="s">
        <v>28</v>
      </c>
      <c r="J189" s="4">
        <v>0.44375</v>
      </c>
      <c r="K189" s="1" t="s">
        <v>135</v>
      </c>
      <c r="L189" s="1" t="s">
        <v>30</v>
      </c>
      <c r="M189" s="4">
        <v>0.7083333333333334</v>
      </c>
      <c r="N189" s="1" t="s">
        <v>286</v>
      </c>
      <c r="O189" s="1" t="s">
        <v>28</v>
      </c>
      <c r="P189" s="4">
        <v>0.9743055555555555</v>
      </c>
      <c r="Q189" s="1" t="s">
        <v>335</v>
      </c>
      <c r="R189" s="1">
        <f t="shared" si="1"/>
        <v>79</v>
      </c>
      <c r="S189" s="1">
        <f t="shared" si="2"/>
        <v>81</v>
      </c>
      <c r="T189" s="5">
        <f t="shared" si="3"/>
        <v>81</v>
      </c>
      <c r="U189" s="5" t="s">
        <v>39</v>
      </c>
    </row>
    <row r="190">
      <c r="A190" s="1" t="s">
        <v>485</v>
      </c>
      <c r="B190" s="2">
        <v>8.0</v>
      </c>
      <c r="C190" s="1" t="s">
        <v>86</v>
      </c>
      <c r="D190" s="6"/>
      <c r="E190" s="7" t="s">
        <v>107</v>
      </c>
      <c r="F190" s="1" t="s">
        <v>30</v>
      </c>
      <c r="G190" s="4">
        <v>0.24097222222222223</v>
      </c>
      <c r="H190" s="1" t="s">
        <v>295</v>
      </c>
      <c r="I190" s="1" t="s">
        <v>28</v>
      </c>
      <c r="J190" s="4">
        <v>0.48819444444444443</v>
      </c>
      <c r="K190" s="1" t="s">
        <v>262</v>
      </c>
      <c r="L190" s="1" t="s">
        <v>30</v>
      </c>
      <c r="M190" s="4">
        <v>0.74375</v>
      </c>
      <c r="N190" s="1" t="s">
        <v>236</v>
      </c>
      <c r="R190" s="1">
        <f t="shared" si="1"/>
        <v>70</v>
      </c>
      <c r="S190" s="1">
        <f t="shared" si="2"/>
        <v>27</v>
      </c>
      <c r="T190" s="5">
        <f t="shared" si="3"/>
        <v>70</v>
      </c>
      <c r="U190" s="5" t="s">
        <v>39</v>
      </c>
    </row>
    <row r="191">
      <c r="A191" s="1" t="s">
        <v>485</v>
      </c>
      <c r="B191" s="2">
        <v>9.0</v>
      </c>
      <c r="C191" s="1" t="s">
        <v>26</v>
      </c>
      <c r="D191" s="6"/>
      <c r="E191" s="3"/>
      <c r="F191" s="1" t="s">
        <v>28</v>
      </c>
      <c r="G191" s="4">
        <v>0.013194444444444444</v>
      </c>
      <c r="H191" s="1" t="s">
        <v>89</v>
      </c>
      <c r="I191" s="1" t="s">
        <v>30</v>
      </c>
      <c r="J191" s="4">
        <v>0.29444444444444445</v>
      </c>
      <c r="K191" s="1" t="s">
        <v>191</v>
      </c>
      <c r="L191" s="1" t="s">
        <v>28</v>
      </c>
      <c r="M191" s="4">
        <v>0.5444444444444444</v>
      </c>
      <c r="N191" s="1" t="s">
        <v>190</v>
      </c>
      <c r="O191" s="1" t="s">
        <v>30</v>
      </c>
      <c r="P191" s="4">
        <v>0.7861111111111111</v>
      </c>
      <c r="Q191" s="1" t="s">
        <v>355</v>
      </c>
      <c r="R191" s="1">
        <f t="shared" si="1"/>
        <v>85</v>
      </c>
      <c r="S191" s="1">
        <f t="shared" si="2"/>
        <v>51</v>
      </c>
      <c r="T191" s="5">
        <f t="shared" si="3"/>
        <v>85</v>
      </c>
      <c r="U191" s="5" t="s">
        <v>39</v>
      </c>
    </row>
    <row r="192">
      <c r="A192" s="1" t="s">
        <v>485</v>
      </c>
      <c r="B192" s="2">
        <v>10.0</v>
      </c>
      <c r="C192" s="1" t="s">
        <v>34</v>
      </c>
      <c r="D192" s="6"/>
      <c r="E192" s="3"/>
      <c r="F192" s="1" t="s">
        <v>28</v>
      </c>
      <c r="G192" s="4">
        <v>0.05763888888888889</v>
      </c>
      <c r="H192" s="1" t="s">
        <v>147</v>
      </c>
      <c r="I192" s="1" t="s">
        <v>30</v>
      </c>
      <c r="J192" s="4">
        <v>0.35138888888888886</v>
      </c>
      <c r="K192" s="1" t="s">
        <v>117</v>
      </c>
      <c r="L192" s="1" t="s">
        <v>28</v>
      </c>
      <c r="M192" s="4">
        <v>0.6104166666666667</v>
      </c>
      <c r="N192" s="1" t="s">
        <v>189</v>
      </c>
      <c r="O192" s="1" t="s">
        <v>30</v>
      </c>
      <c r="P192" s="4">
        <v>0.8340277777777778</v>
      </c>
      <c r="Q192" s="1" t="s">
        <v>483</v>
      </c>
      <c r="R192" s="1">
        <f t="shared" si="1"/>
        <v>99</v>
      </c>
      <c r="S192" s="1">
        <f t="shared" si="2"/>
        <v>44</v>
      </c>
      <c r="T192" s="5">
        <f t="shared" si="3"/>
        <v>99</v>
      </c>
      <c r="U192" s="5" t="s">
        <v>90</v>
      </c>
    </row>
    <row r="193">
      <c r="A193" s="1" t="s">
        <v>485</v>
      </c>
      <c r="B193" s="2">
        <v>11.0</v>
      </c>
      <c r="C193" s="1" t="s">
        <v>41</v>
      </c>
      <c r="D193" s="1" t="s">
        <v>42</v>
      </c>
      <c r="E193" s="3"/>
      <c r="F193" s="1" t="s">
        <v>28</v>
      </c>
      <c r="G193" s="4">
        <v>0.10486111111111111</v>
      </c>
      <c r="H193" s="1" t="s">
        <v>167</v>
      </c>
      <c r="I193" s="1" t="s">
        <v>30</v>
      </c>
      <c r="J193" s="4">
        <v>0.4027777777777778</v>
      </c>
      <c r="K193" s="1" t="s">
        <v>146</v>
      </c>
      <c r="L193" s="1" t="s">
        <v>28</v>
      </c>
      <c r="M193" s="4">
        <v>0.6680555555555555</v>
      </c>
      <c r="N193" s="1" t="s">
        <v>214</v>
      </c>
      <c r="O193" s="1" t="s">
        <v>30</v>
      </c>
      <c r="P193" s="4">
        <v>0.8826388888888889</v>
      </c>
      <c r="Q193" s="1" t="s">
        <v>483</v>
      </c>
      <c r="R193" s="1">
        <f t="shared" si="1"/>
        <v>119</v>
      </c>
      <c r="S193" s="1">
        <f t="shared" si="2"/>
        <v>46</v>
      </c>
      <c r="T193" s="5">
        <f t="shared" si="3"/>
        <v>119</v>
      </c>
      <c r="U193" s="5" t="s">
        <v>90</v>
      </c>
    </row>
    <row r="194">
      <c r="A194" s="1" t="s">
        <v>485</v>
      </c>
      <c r="B194" s="2">
        <v>12.0</v>
      </c>
      <c r="C194" s="1" t="s">
        <v>55</v>
      </c>
      <c r="D194" s="1" t="s">
        <v>42</v>
      </c>
      <c r="E194" s="3"/>
      <c r="F194" s="1" t="s">
        <v>28</v>
      </c>
      <c r="G194" s="4">
        <v>0.15069444444444444</v>
      </c>
      <c r="H194" s="1" t="s">
        <v>59</v>
      </c>
      <c r="I194" s="1" t="s">
        <v>30</v>
      </c>
      <c r="J194" s="4">
        <v>0.44722222222222224</v>
      </c>
      <c r="K194" s="1" t="s">
        <v>124</v>
      </c>
      <c r="L194" s="1" t="s">
        <v>28</v>
      </c>
      <c r="M194" s="4">
        <v>0.7118055555555556</v>
      </c>
      <c r="N194" s="1" t="s">
        <v>402</v>
      </c>
      <c r="O194" s="1" t="s">
        <v>30</v>
      </c>
      <c r="P194" s="4">
        <v>0.9263888888888889</v>
      </c>
      <c r="Q194" s="1" t="s">
        <v>291</v>
      </c>
      <c r="R194" s="1">
        <f t="shared" si="1"/>
        <v>143</v>
      </c>
      <c r="S194" s="1">
        <f t="shared" si="2"/>
        <v>57</v>
      </c>
      <c r="T194" s="5">
        <f t="shared" si="3"/>
        <v>143</v>
      </c>
      <c r="U194" s="5" t="s">
        <v>47</v>
      </c>
    </row>
    <row r="195">
      <c r="A195" s="1" t="s">
        <v>485</v>
      </c>
      <c r="B195" s="2">
        <v>13.0</v>
      </c>
      <c r="C195" s="1" t="s">
        <v>25</v>
      </c>
      <c r="D195" s="6"/>
      <c r="E195" s="3"/>
      <c r="F195" s="1" t="s">
        <v>28</v>
      </c>
      <c r="G195" s="4">
        <v>0.19305555555555556</v>
      </c>
      <c r="H195" s="1" t="s">
        <v>484</v>
      </c>
      <c r="I195" s="1" t="s">
        <v>30</v>
      </c>
      <c r="J195" s="4">
        <v>0.48680555555555555</v>
      </c>
      <c r="K195" s="1" t="s">
        <v>302</v>
      </c>
      <c r="L195" s="1" t="s">
        <v>28</v>
      </c>
      <c r="M195" s="4">
        <v>0.7479166666666667</v>
      </c>
      <c r="N195" s="1" t="s">
        <v>292</v>
      </c>
      <c r="O195" s="1" t="s">
        <v>30</v>
      </c>
      <c r="P195" s="4">
        <v>0.9659722222222222</v>
      </c>
      <c r="Q195" s="1" t="s">
        <v>327</v>
      </c>
      <c r="R195" s="1">
        <f t="shared" si="1"/>
        <v>165</v>
      </c>
      <c r="S195" s="1">
        <f t="shared" si="2"/>
        <v>69</v>
      </c>
      <c r="T195" s="5">
        <f t="shared" si="3"/>
        <v>165</v>
      </c>
      <c r="U195" s="5" t="s">
        <v>47</v>
      </c>
    </row>
    <row r="196">
      <c r="A196" s="1" t="s">
        <v>485</v>
      </c>
      <c r="B196" s="2">
        <v>14.0</v>
      </c>
      <c r="C196" s="1" t="s">
        <v>75</v>
      </c>
      <c r="D196" s="6"/>
      <c r="E196" s="7" t="s">
        <v>143</v>
      </c>
      <c r="F196" s="1" t="s">
        <v>28</v>
      </c>
      <c r="G196" s="4">
        <v>0.23055555555555557</v>
      </c>
      <c r="H196" s="1" t="s">
        <v>476</v>
      </c>
      <c r="I196" s="1" t="s">
        <v>30</v>
      </c>
      <c r="J196" s="4">
        <v>0.5215277777777778</v>
      </c>
      <c r="K196" s="1" t="s">
        <v>300</v>
      </c>
      <c r="L196" s="1" t="s">
        <v>28</v>
      </c>
      <c r="M196" s="4">
        <v>0.7798611111111111</v>
      </c>
      <c r="N196" s="1" t="s">
        <v>335</v>
      </c>
      <c r="R196" s="1">
        <f t="shared" si="1"/>
        <v>182</v>
      </c>
      <c r="S196" s="1">
        <f t="shared" si="2"/>
        <v>46</v>
      </c>
      <c r="T196" s="5">
        <f t="shared" si="3"/>
        <v>182</v>
      </c>
      <c r="U196" s="5" t="s">
        <v>47</v>
      </c>
    </row>
    <row r="197">
      <c r="A197" s="1" t="s">
        <v>485</v>
      </c>
      <c r="B197" s="2">
        <v>15.0</v>
      </c>
      <c r="C197" s="1" t="s">
        <v>86</v>
      </c>
      <c r="D197" s="6"/>
      <c r="E197" s="3"/>
      <c r="F197" s="1" t="s">
        <v>30</v>
      </c>
      <c r="G197" s="4">
        <v>0.0020833333333333333</v>
      </c>
      <c r="H197" s="1" t="s">
        <v>286</v>
      </c>
      <c r="I197" s="1" t="s">
        <v>28</v>
      </c>
      <c r="J197" s="4">
        <v>0.2652777777777778</v>
      </c>
      <c r="K197" s="1" t="s">
        <v>486</v>
      </c>
      <c r="L197" s="1" t="s">
        <v>30</v>
      </c>
      <c r="M197" s="4">
        <v>0.5541666666666667</v>
      </c>
      <c r="N197" s="1" t="s">
        <v>300</v>
      </c>
      <c r="O197" s="1" t="s">
        <v>28</v>
      </c>
      <c r="P197" s="4">
        <v>0.8090277777777778</v>
      </c>
      <c r="Q197" s="1" t="s">
        <v>307</v>
      </c>
      <c r="R197" s="1">
        <f t="shared" si="1"/>
        <v>138</v>
      </c>
      <c r="S197" s="1">
        <f t="shared" si="2"/>
        <v>136</v>
      </c>
      <c r="T197" s="5">
        <f t="shared" si="3"/>
        <v>138</v>
      </c>
      <c r="U197" s="5" t="s">
        <v>47</v>
      </c>
    </row>
    <row r="198">
      <c r="A198" s="1" t="s">
        <v>485</v>
      </c>
      <c r="B198" s="2">
        <v>16.0</v>
      </c>
      <c r="C198" s="1" t="s">
        <v>26</v>
      </c>
      <c r="D198" s="6"/>
      <c r="E198" s="3"/>
      <c r="F198" s="1" t="s">
        <v>30</v>
      </c>
      <c r="G198" s="4">
        <v>0.03611111111111111</v>
      </c>
      <c r="H198" s="1" t="s">
        <v>127</v>
      </c>
      <c r="I198" s="1" t="s">
        <v>28</v>
      </c>
      <c r="J198" s="4">
        <v>0.29791666666666666</v>
      </c>
      <c r="K198" s="1" t="s">
        <v>486</v>
      </c>
      <c r="L198" s="1" t="s">
        <v>30</v>
      </c>
      <c r="M198" s="4">
        <v>0.5840277777777778</v>
      </c>
      <c r="N198" s="1" t="s">
        <v>302</v>
      </c>
      <c r="O198" s="1" t="s">
        <v>28</v>
      </c>
      <c r="P198" s="4">
        <v>0.8361111111111111</v>
      </c>
      <c r="Q198" s="1" t="s">
        <v>267</v>
      </c>
      <c r="R198" s="1">
        <f t="shared" si="1"/>
        <v>143</v>
      </c>
      <c r="S198" s="1">
        <f t="shared" si="2"/>
        <v>132</v>
      </c>
      <c r="T198" s="5">
        <f t="shared" si="3"/>
        <v>143</v>
      </c>
      <c r="U198" s="5" t="s">
        <v>47</v>
      </c>
    </row>
    <row r="199">
      <c r="A199" s="1" t="s">
        <v>485</v>
      </c>
      <c r="B199" s="2">
        <v>17.0</v>
      </c>
      <c r="C199" s="1" t="s">
        <v>34</v>
      </c>
      <c r="D199" s="6"/>
      <c r="E199" s="3"/>
      <c r="F199" s="1" t="s">
        <v>30</v>
      </c>
      <c r="G199" s="4">
        <v>0.06944444444444445</v>
      </c>
      <c r="H199" s="1" t="s">
        <v>224</v>
      </c>
      <c r="I199" s="1" t="s">
        <v>28</v>
      </c>
      <c r="J199" s="4">
        <v>0.32916666666666666</v>
      </c>
      <c r="K199" s="1" t="s">
        <v>477</v>
      </c>
      <c r="L199" s="1" t="s">
        <v>30</v>
      </c>
      <c r="M199" s="4">
        <v>0.6111111111111112</v>
      </c>
      <c r="N199" s="1" t="s">
        <v>124</v>
      </c>
      <c r="O199" s="1" t="s">
        <v>28</v>
      </c>
      <c r="P199" s="4">
        <v>0.8625</v>
      </c>
      <c r="Q199" s="1" t="s">
        <v>147</v>
      </c>
      <c r="R199" s="1">
        <f t="shared" si="1"/>
        <v>139</v>
      </c>
      <c r="S199" s="1">
        <f t="shared" si="2"/>
        <v>124</v>
      </c>
      <c r="T199" s="5">
        <f t="shared" si="3"/>
        <v>139</v>
      </c>
      <c r="U199" s="5" t="s">
        <v>47</v>
      </c>
    </row>
    <row r="200">
      <c r="A200" s="1" t="s">
        <v>485</v>
      </c>
      <c r="B200" s="2">
        <v>18.0</v>
      </c>
      <c r="C200" s="1" t="s">
        <v>41</v>
      </c>
      <c r="D200" s="1" t="s">
        <v>42</v>
      </c>
      <c r="E200" s="3"/>
      <c r="F200" s="1" t="s">
        <v>30</v>
      </c>
      <c r="G200" s="4">
        <v>0.10277777777777777</v>
      </c>
      <c r="H200" s="1" t="s">
        <v>224</v>
      </c>
      <c r="I200" s="1" t="s">
        <v>28</v>
      </c>
      <c r="J200" s="4">
        <v>0.3597222222222222</v>
      </c>
      <c r="K200" s="1" t="s">
        <v>473</v>
      </c>
      <c r="L200" s="1" t="s">
        <v>30</v>
      </c>
      <c r="M200" s="4">
        <v>0.6368055555555555</v>
      </c>
      <c r="N200" s="1" t="s">
        <v>277</v>
      </c>
      <c r="O200" s="1" t="s">
        <v>28</v>
      </c>
      <c r="P200" s="4">
        <v>0.8881944444444444</v>
      </c>
      <c r="Q200" s="1" t="s">
        <v>147</v>
      </c>
      <c r="R200" s="1">
        <f t="shared" si="1"/>
        <v>127</v>
      </c>
      <c r="S200" s="1">
        <f t="shared" si="2"/>
        <v>112</v>
      </c>
      <c r="T200" s="5">
        <f t="shared" si="3"/>
        <v>127</v>
      </c>
      <c r="U200" s="5" t="s">
        <v>47</v>
      </c>
    </row>
    <row r="201">
      <c r="A201" s="1" t="s">
        <v>485</v>
      </c>
      <c r="B201" s="2">
        <v>19.0</v>
      </c>
      <c r="C201" s="1" t="s">
        <v>55</v>
      </c>
      <c r="D201" s="1" t="s">
        <v>42</v>
      </c>
      <c r="E201" s="3"/>
      <c r="F201" s="1" t="s">
        <v>30</v>
      </c>
      <c r="G201" s="4">
        <v>0.13541666666666666</v>
      </c>
      <c r="H201" s="1" t="s">
        <v>120</v>
      </c>
      <c r="I201" s="1" t="s">
        <v>28</v>
      </c>
      <c r="J201" s="4">
        <v>0.3902777777777778</v>
      </c>
      <c r="K201" s="1" t="s">
        <v>338</v>
      </c>
      <c r="L201" s="1" t="s">
        <v>30</v>
      </c>
      <c r="M201" s="4">
        <v>0.6597222222222222</v>
      </c>
      <c r="N201" s="1" t="s">
        <v>117</v>
      </c>
      <c r="O201" s="1" t="s">
        <v>28</v>
      </c>
      <c r="P201" s="4">
        <v>0.9138888888888889</v>
      </c>
      <c r="Q201" s="1" t="s">
        <v>267</v>
      </c>
      <c r="R201" s="1">
        <f t="shared" si="1"/>
        <v>108</v>
      </c>
      <c r="S201" s="1">
        <f t="shared" si="2"/>
        <v>97</v>
      </c>
      <c r="T201" s="5">
        <f t="shared" si="3"/>
        <v>108</v>
      </c>
      <c r="U201" s="5" t="s">
        <v>90</v>
      </c>
    </row>
    <row r="202">
      <c r="A202" s="1" t="s">
        <v>485</v>
      </c>
      <c r="B202" s="2">
        <v>20.0</v>
      </c>
      <c r="C202" s="1" t="s">
        <v>25</v>
      </c>
      <c r="D202" s="6"/>
      <c r="E202" s="3"/>
      <c r="F202" s="1" t="s">
        <v>30</v>
      </c>
      <c r="G202" s="4">
        <v>0.1701388888888889</v>
      </c>
      <c r="H202" s="1" t="s">
        <v>250</v>
      </c>
      <c r="I202" s="1" t="s">
        <v>28</v>
      </c>
      <c r="J202" s="4">
        <v>0.4222222222222222</v>
      </c>
      <c r="K202" s="1" t="s">
        <v>307</v>
      </c>
      <c r="L202" s="1" t="s">
        <v>30</v>
      </c>
      <c r="M202" s="4">
        <v>0.6833333333333333</v>
      </c>
      <c r="N202" s="1" t="s">
        <v>295</v>
      </c>
      <c r="O202" s="1" t="s">
        <v>28</v>
      </c>
      <c r="P202" s="4">
        <v>0.9416666666666667</v>
      </c>
      <c r="Q202" s="1" t="s">
        <v>307</v>
      </c>
      <c r="R202" s="1">
        <f t="shared" si="1"/>
        <v>84</v>
      </c>
      <c r="S202" s="1">
        <f t="shared" si="2"/>
        <v>83</v>
      </c>
      <c r="T202" s="5">
        <f t="shared" si="3"/>
        <v>84</v>
      </c>
      <c r="U202" s="5" t="s">
        <v>39</v>
      </c>
    </row>
    <row r="203">
      <c r="A203" s="1" t="s">
        <v>485</v>
      </c>
      <c r="B203" s="2">
        <v>21.0</v>
      </c>
      <c r="C203" s="1" t="s">
        <v>75</v>
      </c>
      <c r="D203" s="6"/>
      <c r="E203" s="7" t="s">
        <v>184</v>
      </c>
      <c r="F203" s="1" t="s">
        <v>30</v>
      </c>
      <c r="G203" s="4">
        <v>0.20972222222222223</v>
      </c>
      <c r="H203" s="1" t="s">
        <v>236</v>
      </c>
      <c r="I203" s="1" t="s">
        <v>28</v>
      </c>
      <c r="J203" s="4">
        <v>0.4583333333333333</v>
      </c>
      <c r="K203" s="1" t="s">
        <v>402</v>
      </c>
      <c r="L203" s="1" t="s">
        <v>30</v>
      </c>
      <c r="M203" s="4">
        <v>0.7083333333333334</v>
      </c>
      <c r="N203" s="1" t="s">
        <v>355</v>
      </c>
      <c r="O203" s="1" t="s">
        <v>28</v>
      </c>
      <c r="P203" s="4">
        <v>0.9743055555555555</v>
      </c>
      <c r="Q203" s="1" t="s">
        <v>135</v>
      </c>
      <c r="R203" s="1">
        <f t="shared" si="1"/>
        <v>62</v>
      </c>
      <c r="S203" s="1">
        <f t="shared" si="2"/>
        <v>69</v>
      </c>
      <c r="T203" s="5">
        <f t="shared" si="3"/>
        <v>69</v>
      </c>
      <c r="U203" s="5" t="s">
        <v>39</v>
      </c>
    </row>
    <row r="204">
      <c r="A204" s="1" t="s">
        <v>485</v>
      </c>
      <c r="B204" s="2">
        <v>22.0</v>
      </c>
      <c r="C204" s="1" t="s">
        <v>86</v>
      </c>
      <c r="D204" s="6"/>
      <c r="E204" s="3"/>
      <c r="F204" s="1" t="s">
        <v>30</v>
      </c>
      <c r="G204" s="4">
        <v>0.2590277777777778</v>
      </c>
      <c r="H204" s="1" t="s">
        <v>291</v>
      </c>
      <c r="I204" s="1" t="s">
        <v>28</v>
      </c>
      <c r="J204" s="4">
        <v>0.5076388888888889</v>
      </c>
      <c r="K204" s="1" t="s">
        <v>173</v>
      </c>
      <c r="L204" s="1" t="s">
        <v>30</v>
      </c>
      <c r="M204" s="4">
        <v>0.7409722222222223</v>
      </c>
      <c r="N204" s="1" t="s">
        <v>329</v>
      </c>
      <c r="R204" s="1">
        <f t="shared" si="1"/>
        <v>43</v>
      </c>
      <c r="S204" s="1">
        <f t="shared" si="2"/>
        <v>12</v>
      </c>
      <c r="T204" s="5">
        <f t="shared" si="3"/>
        <v>43</v>
      </c>
      <c r="U204" s="5" t="s">
        <v>39</v>
      </c>
    </row>
    <row r="205">
      <c r="A205" s="1" t="s">
        <v>485</v>
      </c>
      <c r="B205" s="2">
        <v>23.0</v>
      </c>
      <c r="C205" s="1" t="s">
        <v>26</v>
      </c>
      <c r="D205" s="6"/>
      <c r="E205" s="3"/>
      <c r="F205" s="1" t="s">
        <v>28</v>
      </c>
      <c r="G205" s="4">
        <v>0.015277777777777777</v>
      </c>
      <c r="H205" s="1" t="s">
        <v>179</v>
      </c>
      <c r="I205" s="1" t="s">
        <v>30</v>
      </c>
      <c r="J205" s="4">
        <v>0.3236111111111111</v>
      </c>
      <c r="K205" s="1" t="s">
        <v>291</v>
      </c>
      <c r="L205" s="1" t="s">
        <v>28</v>
      </c>
      <c r="M205" s="4">
        <v>0.5798611111111112</v>
      </c>
      <c r="N205" s="1" t="s">
        <v>111</v>
      </c>
      <c r="O205" s="1" t="s">
        <v>30</v>
      </c>
      <c r="P205" s="4">
        <v>0.7861111111111111</v>
      </c>
      <c r="Q205" s="1" t="s">
        <v>247</v>
      </c>
      <c r="R205" s="1">
        <f t="shared" si="1"/>
        <v>67</v>
      </c>
      <c r="S205" s="1">
        <f t="shared" si="2"/>
        <v>19</v>
      </c>
      <c r="T205" s="5">
        <f t="shared" si="3"/>
        <v>67</v>
      </c>
      <c r="U205" s="5" t="s">
        <v>39</v>
      </c>
    </row>
    <row r="206">
      <c r="A206" s="1" t="s">
        <v>485</v>
      </c>
      <c r="B206" s="2">
        <v>24.0</v>
      </c>
      <c r="C206" s="1" t="s">
        <v>34</v>
      </c>
      <c r="D206" s="6"/>
      <c r="E206" s="3"/>
      <c r="F206" s="1" t="s">
        <v>28</v>
      </c>
      <c r="G206" s="4">
        <v>0.06527777777777778</v>
      </c>
      <c r="H206" s="1" t="s">
        <v>179</v>
      </c>
      <c r="I206" s="1" t="s">
        <v>30</v>
      </c>
      <c r="J206" s="4">
        <v>0.38472222222222224</v>
      </c>
      <c r="K206" s="1" t="s">
        <v>327</v>
      </c>
      <c r="L206" s="1" t="s">
        <v>28</v>
      </c>
      <c r="M206" s="4">
        <v>0.6486111111111111</v>
      </c>
      <c r="N206" s="1" t="s">
        <v>77</v>
      </c>
      <c r="O206" s="1" t="s">
        <v>30</v>
      </c>
      <c r="P206" s="4">
        <v>0.8395833333333333</v>
      </c>
      <c r="Q206" s="1" t="s">
        <v>278</v>
      </c>
      <c r="R206" s="1">
        <f t="shared" si="1"/>
        <v>73</v>
      </c>
      <c r="S206" s="1">
        <f t="shared" si="2"/>
        <v>20</v>
      </c>
      <c r="T206" s="5">
        <f t="shared" si="3"/>
        <v>73</v>
      </c>
      <c r="U206" s="5" t="s">
        <v>39</v>
      </c>
    </row>
    <row r="207">
      <c r="A207" s="1" t="s">
        <v>485</v>
      </c>
      <c r="B207" s="2">
        <v>25.0</v>
      </c>
      <c r="C207" s="1" t="s">
        <v>41</v>
      </c>
      <c r="D207" s="1" t="s">
        <v>42</v>
      </c>
      <c r="E207" s="3"/>
      <c r="F207" s="1" t="s">
        <v>28</v>
      </c>
      <c r="G207" s="4">
        <v>0.11597222222222223</v>
      </c>
      <c r="H207" s="1" t="s">
        <v>89</v>
      </c>
      <c r="I207" s="1" t="s">
        <v>30</v>
      </c>
      <c r="J207" s="4">
        <v>0.4263888888888889</v>
      </c>
      <c r="K207" s="1" t="s">
        <v>122</v>
      </c>
      <c r="L207" s="1" t="s">
        <v>28</v>
      </c>
      <c r="M207" s="4">
        <v>0.6902777777777778</v>
      </c>
      <c r="N207" s="1" t="s">
        <v>123</v>
      </c>
      <c r="O207" s="1" t="s">
        <v>30</v>
      </c>
      <c r="P207" s="4">
        <v>0.8888888888888888</v>
      </c>
      <c r="Q207" s="1" t="s">
        <v>398</v>
      </c>
      <c r="R207" s="1">
        <f t="shared" si="1"/>
        <v>86</v>
      </c>
      <c r="S207" s="1">
        <f t="shared" si="2"/>
        <v>29</v>
      </c>
      <c r="T207" s="5">
        <f t="shared" si="3"/>
        <v>86</v>
      </c>
      <c r="U207" s="5" t="s">
        <v>39</v>
      </c>
    </row>
    <row r="208">
      <c r="A208" s="1" t="s">
        <v>485</v>
      </c>
      <c r="B208" s="2">
        <v>26.0</v>
      </c>
      <c r="C208" s="1" t="s">
        <v>55</v>
      </c>
      <c r="D208" s="1" t="s">
        <v>42</v>
      </c>
      <c r="E208" s="3"/>
      <c r="F208" s="1" t="s">
        <v>28</v>
      </c>
      <c r="G208" s="4">
        <v>0.15694444444444444</v>
      </c>
      <c r="H208" s="1" t="s">
        <v>388</v>
      </c>
      <c r="I208" s="1" t="s">
        <v>30</v>
      </c>
      <c r="J208" s="4">
        <v>0.45694444444444443</v>
      </c>
      <c r="K208" s="1" t="s">
        <v>115</v>
      </c>
      <c r="L208" s="1" t="s">
        <v>28</v>
      </c>
      <c r="M208" s="4">
        <v>0.71875</v>
      </c>
      <c r="N208" s="1" t="s">
        <v>214</v>
      </c>
      <c r="O208" s="1" t="s">
        <v>30</v>
      </c>
      <c r="P208" s="4">
        <v>0.9263888888888889</v>
      </c>
      <c r="Q208" s="1" t="s">
        <v>329</v>
      </c>
      <c r="R208" s="1">
        <f t="shared" si="1"/>
        <v>101</v>
      </c>
      <c r="S208" s="1">
        <f t="shared" si="2"/>
        <v>41</v>
      </c>
      <c r="T208" s="5">
        <f t="shared" si="3"/>
        <v>101</v>
      </c>
      <c r="U208" s="5" t="s">
        <v>90</v>
      </c>
    </row>
    <row r="209">
      <c r="A209" s="1" t="s">
        <v>485</v>
      </c>
      <c r="B209" s="2">
        <v>27.0</v>
      </c>
      <c r="C209" s="1" t="s">
        <v>25</v>
      </c>
      <c r="D209" s="6"/>
      <c r="E209" s="3"/>
      <c r="F209" s="1" t="s">
        <v>28</v>
      </c>
      <c r="G209" s="4">
        <v>0.18958333333333333</v>
      </c>
      <c r="H209" s="1" t="s">
        <v>38</v>
      </c>
      <c r="I209" s="1" t="s">
        <v>30</v>
      </c>
      <c r="J209" s="4">
        <v>0.48194444444444445</v>
      </c>
      <c r="K209" s="1" t="s">
        <v>257</v>
      </c>
      <c r="L209" s="1" t="s">
        <v>28</v>
      </c>
      <c r="M209" s="4">
        <v>0.7416666666666667</v>
      </c>
      <c r="N209" s="1" t="s">
        <v>402</v>
      </c>
      <c r="O209" s="1" t="s">
        <v>30</v>
      </c>
      <c r="P209" s="4">
        <v>0.95625</v>
      </c>
      <c r="Q209" s="1" t="s">
        <v>481</v>
      </c>
      <c r="R209" s="1">
        <f t="shared" si="1"/>
        <v>118</v>
      </c>
      <c r="S209" s="1">
        <f t="shared" si="2"/>
        <v>54</v>
      </c>
      <c r="T209" s="5">
        <f t="shared" si="3"/>
        <v>118</v>
      </c>
      <c r="U209" s="5" t="s">
        <v>90</v>
      </c>
    </row>
    <row r="210">
      <c r="A210" s="1" t="s">
        <v>485</v>
      </c>
      <c r="B210" s="2">
        <v>28.0</v>
      </c>
      <c r="C210" s="1" t="s">
        <v>75</v>
      </c>
      <c r="D210" s="6"/>
      <c r="E210" s="3"/>
      <c r="F210" s="1" t="s">
        <v>28</v>
      </c>
      <c r="G210" s="4">
        <v>0.21666666666666667</v>
      </c>
      <c r="H210" s="1" t="s">
        <v>205</v>
      </c>
      <c r="I210" s="1" t="s">
        <v>30</v>
      </c>
      <c r="J210" s="4">
        <v>0.5048611111111111</v>
      </c>
      <c r="K210" s="1" t="s">
        <v>99</v>
      </c>
      <c r="L210" s="1" t="s">
        <v>28</v>
      </c>
      <c r="M210" s="4">
        <v>0.7625</v>
      </c>
      <c r="N210" s="1" t="s">
        <v>292</v>
      </c>
      <c r="O210" s="1" t="s">
        <v>30</v>
      </c>
      <c r="P210" s="4">
        <v>0.9826388888888888</v>
      </c>
      <c r="Q210" s="1" t="s">
        <v>334</v>
      </c>
      <c r="R210" s="1">
        <f t="shared" si="1"/>
        <v>131</v>
      </c>
      <c r="S210" s="1">
        <f t="shared" si="2"/>
        <v>66</v>
      </c>
      <c r="T210" s="5">
        <f t="shared" si="3"/>
        <v>131</v>
      </c>
      <c r="U210" s="5" t="s">
        <v>47</v>
      </c>
    </row>
    <row r="211">
      <c r="A211" s="1" t="s">
        <v>485</v>
      </c>
      <c r="B211" s="2">
        <v>29.0</v>
      </c>
      <c r="C211" s="1" t="s">
        <v>86</v>
      </c>
      <c r="D211" s="6"/>
      <c r="E211" s="7" t="s">
        <v>35</v>
      </c>
      <c r="F211" s="1" t="s">
        <v>28</v>
      </c>
      <c r="G211" s="4">
        <v>0.24166666666666667</v>
      </c>
      <c r="H211" s="1" t="s">
        <v>419</v>
      </c>
      <c r="I211" s="1" t="s">
        <v>30</v>
      </c>
      <c r="J211" s="4">
        <v>0.5256944444444445</v>
      </c>
      <c r="K211" s="1" t="s">
        <v>110</v>
      </c>
      <c r="L211" s="1" t="s">
        <v>28</v>
      </c>
      <c r="M211" s="4">
        <v>0.7819444444444444</v>
      </c>
      <c r="N211" s="1" t="s">
        <v>335</v>
      </c>
      <c r="R211" s="1">
        <f t="shared" si="1"/>
        <v>141</v>
      </c>
      <c r="S211" s="1">
        <f t="shared" si="2"/>
        <v>46</v>
      </c>
      <c r="T211" s="5">
        <f t="shared" si="3"/>
        <v>141</v>
      </c>
      <c r="U211" s="5" t="s">
        <v>47</v>
      </c>
    </row>
    <row r="212">
      <c r="A212" s="1" t="s">
        <v>485</v>
      </c>
      <c r="B212" s="2">
        <v>30.0</v>
      </c>
      <c r="C212" s="1" t="s">
        <v>26</v>
      </c>
      <c r="D212" s="6"/>
      <c r="E212" s="3"/>
      <c r="F212" s="1" t="s">
        <v>30</v>
      </c>
      <c r="G212" s="4">
        <v>0.007638888888888889</v>
      </c>
      <c r="H212" s="1" t="s">
        <v>295</v>
      </c>
      <c r="I212" s="1" t="s">
        <v>28</v>
      </c>
      <c r="J212" s="4">
        <v>0.2652777777777778</v>
      </c>
      <c r="K212" s="1" t="s">
        <v>414</v>
      </c>
      <c r="L212" s="1" t="s">
        <v>30</v>
      </c>
      <c r="M212" s="4">
        <v>0.5458333333333333</v>
      </c>
      <c r="N212" s="1" t="s">
        <v>58</v>
      </c>
      <c r="O212" s="1" t="s">
        <v>28</v>
      </c>
      <c r="P212" s="4">
        <v>0.8006944444444445</v>
      </c>
      <c r="Q212" s="1" t="s">
        <v>307</v>
      </c>
      <c r="R212" s="1">
        <f t="shared" si="1"/>
        <v>117</v>
      </c>
      <c r="S212" s="1">
        <f t="shared" si="2"/>
        <v>114</v>
      </c>
      <c r="T212" s="5">
        <f t="shared" si="3"/>
        <v>117</v>
      </c>
      <c r="U212" s="5" t="s">
        <v>90</v>
      </c>
    </row>
    <row r="213">
      <c r="A213" s="1" t="s">
        <v>485</v>
      </c>
      <c r="B213" s="2">
        <v>31.0</v>
      </c>
      <c r="C213" s="1" t="s">
        <v>34</v>
      </c>
      <c r="D213" s="6"/>
      <c r="E213" s="3"/>
      <c r="F213" s="1" t="s">
        <v>30</v>
      </c>
      <c r="G213" s="4">
        <v>0.03263888888888889</v>
      </c>
      <c r="H213" s="1" t="s">
        <v>122</v>
      </c>
      <c r="I213" s="1" t="s">
        <v>28</v>
      </c>
      <c r="J213" s="4">
        <v>0.2881944444444444</v>
      </c>
      <c r="K213" s="1" t="s">
        <v>417</v>
      </c>
      <c r="L213" s="1" t="s">
        <v>30</v>
      </c>
      <c r="M213" s="4">
        <v>0.5659722222222222</v>
      </c>
      <c r="N213" s="1" t="s">
        <v>88</v>
      </c>
      <c r="O213" s="1" t="s">
        <v>28</v>
      </c>
      <c r="P213" s="4">
        <v>0.8201388888888889</v>
      </c>
      <c r="Q213" s="1" t="s">
        <v>147</v>
      </c>
      <c r="R213" s="1">
        <f t="shared" si="1"/>
        <v>124</v>
      </c>
      <c r="S213" s="1">
        <f t="shared" si="2"/>
        <v>117</v>
      </c>
      <c r="T213" s="5">
        <f t="shared" si="3"/>
        <v>124</v>
      </c>
      <c r="U213" s="5" t="s">
        <v>47</v>
      </c>
    </row>
    <row r="214">
      <c r="A214" s="1" t="s">
        <v>490</v>
      </c>
      <c r="B214" s="2">
        <v>1.0</v>
      </c>
      <c r="C214" s="1" t="s">
        <v>41</v>
      </c>
      <c r="D214" s="1" t="s">
        <v>42</v>
      </c>
      <c r="E214" s="3"/>
      <c r="F214" s="1" t="s">
        <v>30</v>
      </c>
      <c r="G214" s="4">
        <v>0.05763888888888889</v>
      </c>
      <c r="H214" s="1" t="s">
        <v>446</v>
      </c>
      <c r="I214" s="1" t="s">
        <v>28</v>
      </c>
      <c r="J214" s="4">
        <v>0.3111111111111111</v>
      </c>
      <c r="K214" s="1" t="s">
        <v>484</v>
      </c>
      <c r="L214" s="1" t="s">
        <v>30</v>
      </c>
      <c r="M214" s="4">
        <v>0.5854166666666667</v>
      </c>
      <c r="N214" s="1" t="s">
        <v>45</v>
      </c>
      <c r="O214" s="1" t="s">
        <v>28</v>
      </c>
      <c r="P214" s="4">
        <v>0.8388888888888889</v>
      </c>
      <c r="Q214" s="1" t="s">
        <v>337</v>
      </c>
      <c r="R214" s="1">
        <f t="shared" si="1"/>
        <v>127</v>
      </c>
      <c r="S214" s="1">
        <f t="shared" si="2"/>
        <v>118</v>
      </c>
      <c r="T214" s="5">
        <f t="shared" si="3"/>
        <v>127</v>
      </c>
      <c r="U214" s="5" t="s">
        <v>47</v>
      </c>
    </row>
    <row r="215">
      <c r="A215" s="1" t="s">
        <v>490</v>
      </c>
      <c r="B215" s="2">
        <v>2.0</v>
      </c>
      <c r="C215" s="1" t="s">
        <v>55</v>
      </c>
      <c r="D215" s="1" t="s">
        <v>42</v>
      </c>
      <c r="E215" s="3"/>
      <c r="F215" s="1" t="s">
        <v>30</v>
      </c>
      <c r="G215" s="4">
        <v>0.08333333333333333</v>
      </c>
      <c r="H215" s="1" t="s">
        <v>224</v>
      </c>
      <c r="I215" s="1" t="s">
        <v>28</v>
      </c>
      <c r="J215" s="4">
        <v>0.33541666666666664</v>
      </c>
      <c r="K215" s="1" t="s">
        <v>488</v>
      </c>
      <c r="L215" s="1" t="s">
        <v>30</v>
      </c>
      <c r="M215" s="4">
        <v>0.6048611111111111</v>
      </c>
      <c r="N215" s="1" t="s">
        <v>469</v>
      </c>
      <c r="O215" s="1" t="s">
        <v>28</v>
      </c>
      <c r="P215" s="4">
        <v>0.8597222222222223</v>
      </c>
      <c r="Q215" s="1" t="s">
        <v>158</v>
      </c>
      <c r="R215" s="1">
        <f t="shared" si="1"/>
        <v>125</v>
      </c>
      <c r="S215" s="1">
        <f t="shared" si="2"/>
        <v>115</v>
      </c>
      <c r="T215" s="5">
        <f t="shared" si="3"/>
        <v>125</v>
      </c>
      <c r="U215" s="5" t="s">
        <v>47</v>
      </c>
    </row>
    <row r="216">
      <c r="A216" s="1" t="s">
        <v>490</v>
      </c>
      <c r="B216" s="2">
        <v>3.0</v>
      </c>
      <c r="C216" s="1" t="s">
        <v>25</v>
      </c>
      <c r="D216" s="6"/>
      <c r="E216" s="3"/>
      <c r="F216" s="1" t="s">
        <v>30</v>
      </c>
      <c r="G216" s="4">
        <v>0.11041666666666666</v>
      </c>
      <c r="H216" s="1" t="s">
        <v>224</v>
      </c>
      <c r="I216" s="1" t="s">
        <v>28</v>
      </c>
      <c r="J216" s="4">
        <v>0.3611111111111111</v>
      </c>
      <c r="K216" s="1" t="s">
        <v>205</v>
      </c>
      <c r="L216" s="1" t="s">
        <v>30</v>
      </c>
      <c r="M216" s="4">
        <v>0.625</v>
      </c>
      <c r="N216" s="1" t="s">
        <v>112</v>
      </c>
      <c r="O216" s="1" t="s">
        <v>28</v>
      </c>
      <c r="P216" s="4">
        <v>0.8819444444444444</v>
      </c>
      <c r="Q216" s="1" t="s">
        <v>78</v>
      </c>
      <c r="R216" s="1">
        <f t="shared" si="1"/>
        <v>116</v>
      </c>
      <c r="S216" s="1">
        <f t="shared" si="2"/>
        <v>109</v>
      </c>
      <c r="T216" s="5">
        <f t="shared" si="3"/>
        <v>116</v>
      </c>
      <c r="U216" s="5" t="s">
        <v>90</v>
      </c>
    </row>
    <row r="217">
      <c r="A217" s="1" t="s">
        <v>490</v>
      </c>
      <c r="B217" s="2">
        <v>4.0</v>
      </c>
      <c r="C217" s="1" t="s">
        <v>75</v>
      </c>
      <c r="D217" s="6"/>
      <c r="E217" s="3"/>
      <c r="F217" s="1" t="s">
        <v>30</v>
      </c>
      <c r="G217" s="4">
        <v>0.14027777777777778</v>
      </c>
      <c r="H217" s="1" t="s">
        <v>333</v>
      </c>
      <c r="I217" s="1" t="s">
        <v>28</v>
      </c>
      <c r="J217" s="4">
        <v>0.38958333333333334</v>
      </c>
      <c r="K217" s="1" t="s">
        <v>78</v>
      </c>
      <c r="L217" s="1" t="s">
        <v>30</v>
      </c>
      <c r="M217" s="4">
        <v>0.6465277777777778</v>
      </c>
      <c r="N217" s="1" t="s">
        <v>120</v>
      </c>
      <c r="O217" s="1" t="s">
        <v>28</v>
      </c>
      <c r="P217" s="4">
        <v>0.9076388888888889</v>
      </c>
      <c r="Q217" s="1" t="s">
        <v>78</v>
      </c>
      <c r="R217" s="1">
        <f t="shared" si="1"/>
        <v>104</v>
      </c>
      <c r="S217" s="1">
        <f t="shared" si="2"/>
        <v>101</v>
      </c>
      <c r="T217" s="5">
        <f t="shared" si="3"/>
        <v>104</v>
      </c>
      <c r="U217" s="5" t="s">
        <v>90</v>
      </c>
    </row>
    <row r="218">
      <c r="A218" s="1" t="s">
        <v>490</v>
      </c>
      <c r="B218" s="2">
        <v>5.0</v>
      </c>
      <c r="C218" s="1" t="s">
        <v>86</v>
      </c>
      <c r="D218" s="6"/>
      <c r="E218" s="3"/>
      <c r="F218" s="1" t="s">
        <v>30</v>
      </c>
      <c r="G218" s="4">
        <v>0.175</v>
      </c>
      <c r="H218" s="1" t="s">
        <v>326</v>
      </c>
      <c r="I218" s="1" t="s">
        <v>28</v>
      </c>
      <c r="J218" s="4">
        <v>0.42291666666666666</v>
      </c>
      <c r="K218" s="1" t="s">
        <v>301</v>
      </c>
      <c r="L218" s="1" t="s">
        <v>30</v>
      </c>
      <c r="M218" s="4">
        <v>0.6715277777777777</v>
      </c>
      <c r="N218" s="1" t="s">
        <v>480</v>
      </c>
      <c r="O218" s="1" t="s">
        <v>28</v>
      </c>
      <c r="P218" s="4">
        <v>0.9375</v>
      </c>
      <c r="Q218" s="1" t="s">
        <v>378</v>
      </c>
      <c r="R218" s="1">
        <f t="shared" si="1"/>
        <v>85</v>
      </c>
      <c r="S218" s="1">
        <f t="shared" si="2"/>
        <v>89</v>
      </c>
      <c r="T218" s="5">
        <f t="shared" si="3"/>
        <v>89</v>
      </c>
      <c r="U218" s="5" t="s">
        <v>39</v>
      </c>
    </row>
    <row r="219">
      <c r="A219" s="1" t="s">
        <v>490</v>
      </c>
      <c r="B219" s="2">
        <v>6.0</v>
      </c>
      <c r="C219" s="1" t="s">
        <v>26</v>
      </c>
      <c r="D219" s="6"/>
      <c r="E219" s="7" t="s">
        <v>107</v>
      </c>
      <c r="F219" s="1" t="s">
        <v>30</v>
      </c>
      <c r="G219" s="4">
        <v>0.21875</v>
      </c>
      <c r="H219" s="1" t="s">
        <v>286</v>
      </c>
      <c r="I219" s="1" t="s">
        <v>28</v>
      </c>
      <c r="J219" s="4">
        <v>0.4652777777777778</v>
      </c>
      <c r="K219" s="1" t="s">
        <v>183</v>
      </c>
      <c r="L219" s="1" t="s">
        <v>30</v>
      </c>
      <c r="M219" s="4">
        <v>0.7020833333333333</v>
      </c>
      <c r="N219" s="1" t="s">
        <v>235</v>
      </c>
      <c r="O219" s="1" t="s">
        <v>28</v>
      </c>
      <c r="P219" s="4">
        <v>0.9770833333333333</v>
      </c>
      <c r="Q219" s="1" t="s">
        <v>434</v>
      </c>
      <c r="R219" s="1">
        <f t="shared" si="1"/>
        <v>67</v>
      </c>
      <c r="S219" s="1">
        <f t="shared" si="2"/>
        <v>76</v>
      </c>
      <c r="T219" s="5">
        <f t="shared" si="3"/>
        <v>76</v>
      </c>
      <c r="U219" s="5" t="s">
        <v>39</v>
      </c>
    </row>
    <row r="220">
      <c r="A220" s="1" t="s">
        <v>490</v>
      </c>
      <c r="B220" s="2">
        <v>7.0</v>
      </c>
      <c r="C220" s="1" t="s">
        <v>34</v>
      </c>
      <c r="D220" s="6"/>
      <c r="E220" s="3"/>
      <c r="F220" s="1" t="s">
        <v>30</v>
      </c>
      <c r="G220" s="4">
        <v>0.27847222222222223</v>
      </c>
      <c r="H220" s="1" t="s">
        <v>250</v>
      </c>
      <c r="I220" s="1" t="s">
        <v>28</v>
      </c>
      <c r="J220" s="4">
        <v>0.53125</v>
      </c>
      <c r="K220" s="1" t="s">
        <v>296</v>
      </c>
      <c r="L220" s="1" t="s">
        <v>30</v>
      </c>
      <c r="M220" s="4">
        <v>0.7465277777777778</v>
      </c>
      <c r="N220" s="1" t="s">
        <v>126</v>
      </c>
      <c r="R220" s="1">
        <f t="shared" si="1"/>
        <v>53</v>
      </c>
      <c r="S220" s="1">
        <f t="shared" si="2"/>
        <v>8</v>
      </c>
      <c r="T220" s="5">
        <f t="shared" si="3"/>
        <v>53</v>
      </c>
      <c r="U220" s="5" t="s">
        <v>39</v>
      </c>
    </row>
    <row r="221">
      <c r="A221" s="1" t="s">
        <v>490</v>
      </c>
      <c r="B221" s="2">
        <v>8.0</v>
      </c>
      <c r="C221" s="1" t="s">
        <v>41</v>
      </c>
      <c r="D221" s="1" t="s">
        <v>42</v>
      </c>
      <c r="E221" s="3"/>
      <c r="F221" s="1" t="s">
        <v>28</v>
      </c>
      <c r="G221" s="4">
        <v>0.03194444444444444</v>
      </c>
      <c r="H221" s="1" t="s">
        <v>434</v>
      </c>
      <c r="I221" s="1" t="s">
        <v>30</v>
      </c>
      <c r="J221" s="4">
        <v>0.3506944444444444</v>
      </c>
      <c r="K221" s="1" t="s">
        <v>326</v>
      </c>
      <c r="L221" s="1" t="s">
        <v>28</v>
      </c>
      <c r="M221" s="4">
        <v>0.6215277777777778</v>
      </c>
      <c r="N221" s="1" t="s">
        <v>230</v>
      </c>
      <c r="O221" s="1" t="s">
        <v>30</v>
      </c>
      <c r="P221" s="4">
        <v>0.8138888888888889</v>
      </c>
      <c r="Q221" s="1" t="s">
        <v>356</v>
      </c>
      <c r="R221" s="1">
        <f t="shared" si="1"/>
        <v>96</v>
      </c>
      <c r="S221" s="1">
        <f t="shared" si="2"/>
        <v>22</v>
      </c>
      <c r="T221" s="5">
        <f t="shared" si="3"/>
        <v>96</v>
      </c>
      <c r="U221" s="5" t="s">
        <v>90</v>
      </c>
    </row>
    <row r="222">
      <c r="A222" s="1" t="s">
        <v>490</v>
      </c>
      <c r="B222" s="2">
        <v>9.0</v>
      </c>
      <c r="C222" s="1" t="s">
        <v>55</v>
      </c>
      <c r="D222" s="1" t="s">
        <v>42</v>
      </c>
      <c r="E222" s="3"/>
      <c r="F222" s="1" t="s">
        <v>28</v>
      </c>
      <c r="G222" s="4">
        <v>0.09652777777777778</v>
      </c>
      <c r="H222" s="1" t="s">
        <v>216</v>
      </c>
      <c r="I222" s="1" t="s">
        <v>30</v>
      </c>
      <c r="J222" s="4">
        <v>0.40902777777777777</v>
      </c>
      <c r="K222" s="1" t="s">
        <v>114</v>
      </c>
      <c r="L222" s="1" t="s">
        <v>28</v>
      </c>
      <c r="M222" s="4">
        <v>0.6777777777777778</v>
      </c>
      <c r="N222" s="1" t="s">
        <v>181</v>
      </c>
      <c r="O222" s="1" t="s">
        <v>30</v>
      </c>
      <c r="P222" s="4">
        <v>0.8798611111111111</v>
      </c>
      <c r="Q222" s="1" t="s">
        <v>331</v>
      </c>
      <c r="R222" s="1">
        <f t="shared" si="1"/>
        <v>115</v>
      </c>
      <c r="S222" s="1">
        <f t="shared" si="2"/>
        <v>35</v>
      </c>
      <c r="T222" s="5">
        <f t="shared" si="3"/>
        <v>115</v>
      </c>
      <c r="U222" s="5" t="s">
        <v>90</v>
      </c>
    </row>
    <row r="223">
      <c r="A223" s="1" t="s">
        <v>490</v>
      </c>
      <c r="B223" s="2">
        <v>10.0</v>
      </c>
      <c r="C223" s="1" t="s">
        <v>25</v>
      </c>
      <c r="D223" s="6"/>
      <c r="E223" s="3"/>
      <c r="F223" s="1" t="s">
        <v>28</v>
      </c>
      <c r="G223" s="4">
        <v>0.15069444444444444</v>
      </c>
      <c r="H223" s="1" t="s">
        <v>211</v>
      </c>
      <c r="I223" s="1" t="s">
        <v>30</v>
      </c>
      <c r="J223" s="4">
        <v>0.4513888888888889</v>
      </c>
      <c r="K223" s="1" t="s">
        <v>58</v>
      </c>
      <c r="L223" s="1" t="s">
        <v>28</v>
      </c>
      <c r="M223" s="4">
        <v>0.7131944444444445</v>
      </c>
      <c r="N223" s="1" t="s">
        <v>262</v>
      </c>
      <c r="O223" s="1" t="s">
        <v>30</v>
      </c>
      <c r="P223" s="4">
        <v>0.9291666666666667</v>
      </c>
      <c r="Q223" s="1" t="s">
        <v>119</v>
      </c>
      <c r="R223" s="1">
        <f t="shared" si="1"/>
        <v>139</v>
      </c>
      <c r="S223" s="1">
        <f t="shared" si="2"/>
        <v>54</v>
      </c>
      <c r="T223" s="5">
        <f t="shared" si="3"/>
        <v>139</v>
      </c>
      <c r="U223" s="5" t="s">
        <v>47</v>
      </c>
    </row>
    <row r="224">
      <c r="A224" s="1" t="s">
        <v>490</v>
      </c>
      <c r="B224" s="2">
        <v>11.0</v>
      </c>
      <c r="C224" s="1" t="s">
        <v>75</v>
      </c>
      <c r="D224" s="6"/>
      <c r="E224" s="3"/>
      <c r="F224" s="1" t="s">
        <v>28</v>
      </c>
      <c r="G224" s="4">
        <v>0.19305555555555556</v>
      </c>
      <c r="H224" s="1" t="s">
        <v>455</v>
      </c>
      <c r="I224" s="1" t="s">
        <v>30</v>
      </c>
      <c r="J224" s="4">
        <v>0.48541666666666666</v>
      </c>
      <c r="K224" s="1" t="s">
        <v>108</v>
      </c>
      <c r="L224" s="1" t="s">
        <v>28</v>
      </c>
      <c r="M224" s="4">
        <v>0.7416666666666667</v>
      </c>
      <c r="N224" s="1" t="s">
        <v>89</v>
      </c>
      <c r="O224" s="1" t="s">
        <v>30</v>
      </c>
      <c r="P224" s="4">
        <v>0.9666666666666667</v>
      </c>
      <c r="Q224" s="1" t="s">
        <v>327</v>
      </c>
      <c r="R224" s="1">
        <f t="shared" si="1"/>
        <v>162</v>
      </c>
      <c r="S224" s="1">
        <f t="shared" si="2"/>
        <v>77</v>
      </c>
      <c r="T224" s="5">
        <f t="shared" si="3"/>
        <v>162</v>
      </c>
      <c r="U224" s="5" t="s">
        <v>47</v>
      </c>
    </row>
    <row r="225">
      <c r="A225" s="1" t="s">
        <v>490</v>
      </c>
      <c r="B225" s="2">
        <v>12.0</v>
      </c>
      <c r="C225" s="1" t="s">
        <v>86</v>
      </c>
      <c r="D225" s="6"/>
      <c r="E225" s="3"/>
      <c r="F225" s="1" t="s">
        <v>28</v>
      </c>
      <c r="G225" s="4">
        <v>0.22777777777777777</v>
      </c>
      <c r="H225" s="1" t="s">
        <v>489</v>
      </c>
      <c r="I225" s="1" t="s">
        <v>30</v>
      </c>
      <c r="J225" s="4">
        <v>0.5145833333333333</v>
      </c>
      <c r="K225" s="1" t="s">
        <v>219</v>
      </c>
      <c r="L225" s="1" t="s">
        <v>28</v>
      </c>
      <c r="M225" s="4">
        <v>0.7666666666666667</v>
      </c>
      <c r="N225" s="1" t="s">
        <v>434</v>
      </c>
      <c r="R225" s="1">
        <f t="shared" si="1"/>
        <v>178</v>
      </c>
      <c r="S225" s="1">
        <f t="shared" si="2"/>
        <v>58</v>
      </c>
      <c r="T225" s="5">
        <f t="shared" si="3"/>
        <v>178</v>
      </c>
      <c r="U225" s="5" t="s">
        <v>47</v>
      </c>
    </row>
    <row r="226">
      <c r="A226" s="1" t="s">
        <v>490</v>
      </c>
      <c r="B226" s="2">
        <v>13.0</v>
      </c>
      <c r="C226" s="1" t="s">
        <v>26</v>
      </c>
      <c r="D226" s="6"/>
      <c r="E226" s="7" t="s">
        <v>143</v>
      </c>
      <c r="F226" s="1" t="s">
        <v>30</v>
      </c>
      <c r="G226" s="4">
        <v>0.0</v>
      </c>
      <c r="H226" s="1" t="s">
        <v>120</v>
      </c>
      <c r="I226" s="1" t="s">
        <v>28</v>
      </c>
      <c r="J226" s="4">
        <v>0.25972222222222224</v>
      </c>
      <c r="K226" s="1" t="s">
        <v>491</v>
      </c>
      <c r="L226" s="1" t="s">
        <v>30</v>
      </c>
      <c r="M226" s="4">
        <v>0.5409722222222222</v>
      </c>
      <c r="N226" s="1" t="s">
        <v>252</v>
      </c>
      <c r="O226" s="1" t="s">
        <v>28</v>
      </c>
      <c r="P226" s="4">
        <v>0.7902777777777777</v>
      </c>
      <c r="Q226" s="1" t="s">
        <v>38</v>
      </c>
      <c r="R226" s="1">
        <f t="shared" si="1"/>
        <v>145</v>
      </c>
      <c r="S226" s="1">
        <f t="shared" si="2"/>
        <v>140</v>
      </c>
      <c r="T226" s="5">
        <f t="shared" si="3"/>
        <v>145</v>
      </c>
      <c r="U226" s="5" t="s">
        <v>47</v>
      </c>
    </row>
    <row r="227">
      <c r="A227" s="1" t="s">
        <v>490</v>
      </c>
      <c r="B227" s="2">
        <v>14.0</v>
      </c>
      <c r="C227" s="1" t="s">
        <v>34</v>
      </c>
      <c r="D227" s="6"/>
      <c r="E227" s="3"/>
      <c r="F227" s="1" t="s">
        <v>30</v>
      </c>
      <c r="G227" s="4">
        <v>0.030555555555555555</v>
      </c>
      <c r="H227" s="1" t="s">
        <v>112</v>
      </c>
      <c r="I227" s="1" t="s">
        <v>28</v>
      </c>
      <c r="J227" s="4">
        <v>0.28888888888888886</v>
      </c>
      <c r="K227" s="1" t="s">
        <v>486</v>
      </c>
      <c r="L227" s="1" t="s">
        <v>30</v>
      </c>
      <c r="M227" s="4">
        <v>0.5645833333333333</v>
      </c>
      <c r="N227" s="1" t="s">
        <v>124</v>
      </c>
      <c r="O227" s="1" t="s">
        <v>28</v>
      </c>
      <c r="P227" s="4">
        <v>0.8131944444444444</v>
      </c>
      <c r="Q227" s="1" t="s">
        <v>338</v>
      </c>
      <c r="R227" s="1">
        <f t="shared" si="1"/>
        <v>150</v>
      </c>
      <c r="S227" s="1">
        <f t="shared" si="2"/>
        <v>138</v>
      </c>
      <c r="T227" s="5">
        <f t="shared" si="3"/>
        <v>150</v>
      </c>
      <c r="U227" s="5" t="s">
        <v>47</v>
      </c>
    </row>
    <row r="228">
      <c r="A228" s="1" t="s">
        <v>490</v>
      </c>
      <c r="B228" s="2">
        <v>15.0</v>
      </c>
      <c r="C228" s="1" t="s">
        <v>41</v>
      </c>
      <c r="D228" s="1" t="s">
        <v>42</v>
      </c>
      <c r="E228" s="3"/>
      <c r="F228" s="1" t="s">
        <v>30</v>
      </c>
      <c r="G228" s="4">
        <v>0.059027777777777776</v>
      </c>
      <c r="H228" s="1" t="s">
        <v>134</v>
      </c>
      <c r="I228" s="1" t="s">
        <v>28</v>
      </c>
      <c r="J228" s="4">
        <v>0.3159722222222222</v>
      </c>
      <c r="K228" s="1" t="s">
        <v>492</v>
      </c>
      <c r="L228" s="1" t="s">
        <v>30</v>
      </c>
      <c r="M228" s="4">
        <v>0.5854166666666667</v>
      </c>
      <c r="N228" s="1" t="s">
        <v>45</v>
      </c>
      <c r="O228" s="1" t="s">
        <v>28</v>
      </c>
      <c r="P228" s="4">
        <v>0.8347222222222223</v>
      </c>
      <c r="Q228" s="1" t="s">
        <v>67</v>
      </c>
      <c r="R228" s="1">
        <f t="shared" si="1"/>
        <v>145</v>
      </c>
      <c r="S228" s="1">
        <f t="shared" si="2"/>
        <v>130</v>
      </c>
      <c r="T228" s="5">
        <f t="shared" si="3"/>
        <v>145</v>
      </c>
      <c r="U228" s="5" t="s">
        <v>47</v>
      </c>
    </row>
    <row r="229">
      <c r="A229" s="1" t="s">
        <v>490</v>
      </c>
      <c r="B229" s="2">
        <v>16.0</v>
      </c>
      <c r="C229" s="1" t="s">
        <v>55</v>
      </c>
      <c r="D229" s="1" t="s">
        <v>42</v>
      </c>
      <c r="E229" s="3"/>
      <c r="F229" s="1" t="s">
        <v>30</v>
      </c>
      <c r="G229" s="4">
        <v>0.0875</v>
      </c>
      <c r="H229" s="1" t="s">
        <v>118</v>
      </c>
      <c r="I229" s="1" t="s">
        <v>28</v>
      </c>
      <c r="J229" s="4">
        <v>0.3423611111111111</v>
      </c>
      <c r="K229" s="1" t="s">
        <v>493</v>
      </c>
      <c r="L229" s="1" t="s">
        <v>30</v>
      </c>
      <c r="M229" s="4">
        <v>0.6048611111111111</v>
      </c>
      <c r="N229" s="1" t="s">
        <v>200</v>
      </c>
      <c r="O229" s="1" t="s">
        <v>28</v>
      </c>
      <c r="P229" s="4">
        <v>0.8555555555555555</v>
      </c>
      <c r="Q229" s="1" t="s">
        <v>412</v>
      </c>
      <c r="R229" s="1">
        <f t="shared" si="1"/>
        <v>130</v>
      </c>
      <c r="S229" s="1">
        <f t="shared" si="2"/>
        <v>118</v>
      </c>
      <c r="T229" s="5">
        <f t="shared" si="3"/>
        <v>130</v>
      </c>
      <c r="U229" s="5" t="s">
        <v>47</v>
      </c>
    </row>
    <row r="230">
      <c r="A230" s="1" t="s">
        <v>490</v>
      </c>
      <c r="B230" s="2">
        <v>17.0</v>
      </c>
      <c r="C230" s="1" t="s">
        <v>25</v>
      </c>
      <c r="D230" s="6"/>
      <c r="E230" s="3"/>
      <c r="F230" s="1" t="s">
        <v>30</v>
      </c>
      <c r="G230" s="4">
        <v>0.11527777777777778</v>
      </c>
      <c r="H230" s="1" t="s">
        <v>117</v>
      </c>
      <c r="I230" s="1" t="s">
        <v>28</v>
      </c>
      <c r="J230" s="4">
        <v>0.3680555555555556</v>
      </c>
      <c r="K230" s="1" t="s">
        <v>38</v>
      </c>
      <c r="L230" s="1" t="s">
        <v>30</v>
      </c>
      <c r="M230" s="4">
        <v>0.6222222222222222</v>
      </c>
      <c r="N230" s="1" t="s">
        <v>191</v>
      </c>
      <c r="O230" s="1" t="s">
        <v>28</v>
      </c>
      <c r="P230" s="4">
        <v>0.8770833333333333</v>
      </c>
      <c r="Q230" s="1" t="s">
        <v>297</v>
      </c>
      <c r="R230" s="1">
        <f t="shared" si="1"/>
        <v>109</v>
      </c>
      <c r="S230" s="1">
        <f t="shared" si="2"/>
        <v>103</v>
      </c>
      <c r="T230" s="5">
        <f t="shared" si="3"/>
        <v>109</v>
      </c>
      <c r="U230" s="5" t="s">
        <v>90</v>
      </c>
    </row>
    <row r="231">
      <c r="A231" s="1" t="s">
        <v>490</v>
      </c>
      <c r="B231" s="2">
        <v>18.0</v>
      </c>
      <c r="C231" s="1" t="s">
        <v>75</v>
      </c>
      <c r="D231" s="6"/>
      <c r="E231" s="3"/>
      <c r="F231" s="1" t="s">
        <v>30</v>
      </c>
      <c r="G231" s="4">
        <v>0.14444444444444443</v>
      </c>
      <c r="H231" s="1" t="s">
        <v>122</v>
      </c>
      <c r="I231" s="1" t="s">
        <v>28</v>
      </c>
      <c r="J231" s="4">
        <v>0.39375</v>
      </c>
      <c r="K231" s="1" t="s">
        <v>135</v>
      </c>
      <c r="L231" s="1" t="s">
        <v>30</v>
      </c>
      <c r="M231" s="4">
        <v>0.6402777777777777</v>
      </c>
      <c r="N231" s="1" t="s">
        <v>334</v>
      </c>
      <c r="O231" s="1" t="s">
        <v>28</v>
      </c>
      <c r="P231" s="4">
        <v>0.9</v>
      </c>
      <c r="Q231" s="1" t="s">
        <v>78</v>
      </c>
      <c r="R231" s="1">
        <f t="shared" si="1"/>
        <v>85</v>
      </c>
      <c r="S231" s="1">
        <f t="shared" si="2"/>
        <v>87</v>
      </c>
      <c r="T231" s="5">
        <f t="shared" si="3"/>
        <v>87</v>
      </c>
      <c r="U231" s="5" t="s">
        <v>39</v>
      </c>
    </row>
    <row r="232">
      <c r="A232" s="1" t="s">
        <v>490</v>
      </c>
      <c r="B232" s="2">
        <v>19.0</v>
      </c>
      <c r="C232" s="1" t="s">
        <v>86</v>
      </c>
      <c r="D232" s="6"/>
      <c r="E232" s="3"/>
      <c r="F232" s="1" t="s">
        <v>30</v>
      </c>
      <c r="G232" s="4">
        <v>0.17708333333333334</v>
      </c>
      <c r="H232" s="1" t="s">
        <v>327</v>
      </c>
      <c r="I232" s="1" t="s">
        <v>28</v>
      </c>
      <c r="J232" s="4">
        <v>0.4236111111111111</v>
      </c>
      <c r="K232" s="1" t="s">
        <v>183</v>
      </c>
      <c r="L232" s="1" t="s">
        <v>30</v>
      </c>
      <c r="M232" s="4">
        <v>0.6590277777777778</v>
      </c>
      <c r="N232" s="1" t="s">
        <v>427</v>
      </c>
      <c r="O232" s="1" t="s">
        <v>28</v>
      </c>
      <c r="P232" s="4">
        <v>0.9270833333333334</v>
      </c>
      <c r="Q232" s="1" t="s">
        <v>147</v>
      </c>
      <c r="R232" s="1">
        <f t="shared" si="1"/>
        <v>60</v>
      </c>
      <c r="S232" s="1">
        <f t="shared" si="2"/>
        <v>70</v>
      </c>
      <c r="T232" s="5">
        <f t="shared" si="3"/>
        <v>70</v>
      </c>
      <c r="U232" s="5" t="s">
        <v>39</v>
      </c>
    </row>
    <row r="233">
      <c r="A233" s="1" t="s">
        <v>490</v>
      </c>
      <c r="B233" s="2">
        <v>20.0</v>
      </c>
      <c r="C233" s="1" t="s">
        <v>26</v>
      </c>
      <c r="D233" s="6"/>
      <c r="E233" s="7" t="s">
        <v>184</v>
      </c>
      <c r="F233" s="1" t="s">
        <v>30</v>
      </c>
      <c r="G233" s="4">
        <v>0.22083333333333333</v>
      </c>
      <c r="H233" s="1" t="s">
        <v>481</v>
      </c>
      <c r="I233" s="1" t="s">
        <v>28</v>
      </c>
      <c r="J233" s="4">
        <v>0.46805555555555556</v>
      </c>
      <c r="K233" s="1" t="s">
        <v>109</v>
      </c>
      <c r="L233" s="1" t="s">
        <v>30</v>
      </c>
      <c r="M233" s="4">
        <v>0.6840277777777778</v>
      </c>
      <c r="N233" s="1" t="s">
        <v>398</v>
      </c>
      <c r="O233" s="1" t="s">
        <v>28</v>
      </c>
      <c r="P233" s="4">
        <v>0.9645833333333333</v>
      </c>
      <c r="Q233" s="1" t="s">
        <v>135</v>
      </c>
      <c r="R233" s="1">
        <f t="shared" si="1"/>
        <v>36</v>
      </c>
      <c r="S233" s="1">
        <f t="shared" si="2"/>
        <v>54</v>
      </c>
      <c r="T233" s="5">
        <f t="shared" si="3"/>
        <v>54</v>
      </c>
      <c r="U233" s="5" t="s">
        <v>39</v>
      </c>
    </row>
    <row r="234">
      <c r="A234" s="1" t="s">
        <v>490</v>
      </c>
      <c r="B234" s="2">
        <v>21.0</v>
      </c>
      <c r="C234" s="1" t="s">
        <v>34</v>
      </c>
      <c r="D234" s="6"/>
      <c r="E234" s="3"/>
      <c r="F234" s="1" t="s">
        <v>30</v>
      </c>
      <c r="G234" s="4">
        <v>0.29097222222222224</v>
      </c>
      <c r="H234" s="1" t="s">
        <v>427</v>
      </c>
      <c r="I234" s="1" t="s">
        <v>28</v>
      </c>
      <c r="J234" s="4">
        <v>0.5631944444444444</v>
      </c>
      <c r="K234" s="1" t="s">
        <v>323</v>
      </c>
      <c r="L234" s="1" t="s">
        <v>30</v>
      </c>
      <c r="M234" s="4">
        <v>0.7333333333333333</v>
      </c>
      <c r="N234" s="1" t="s">
        <v>29</v>
      </c>
      <c r="R234" s="1">
        <f t="shared" si="1"/>
        <v>26</v>
      </c>
      <c r="S234" s="1">
        <f t="shared" si="2"/>
        <v>3</v>
      </c>
      <c r="T234" s="5">
        <f t="shared" si="3"/>
        <v>26</v>
      </c>
      <c r="U234" s="5" t="s">
        <v>39</v>
      </c>
    </row>
    <row r="235">
      <c r="A235" s="1" t="s">
        <v>490</v>
      </c>
      <c r="B235" s="2">
        <v>22.0</v>
      </c>
      <c r="C235" s="1" t="s">
        <v>41</v>
      </c>
      <c r="D235" s="1" t="s">
        <v>42</v>
      </c>
      <c r="E235" s="3"/>
      <c r="F235" s="1" t="s">
        <v>28</v>
      </c>
      <c r="G235" s="4">
        <v>0.025694444444444443</v>
      </c>
      <c r="H235" s="1" t="s">
        <v>360</v>
      </c>
      <c r="I235" s="1" t="s">
        <v>30</v>
      </c>
      <c r="J235" s="4">
        <v>0.3736111111111111</v>
      </c>
      <c r="K235" s="1" t="s">
        <v>494</v>
      </c>
      <c r="L235" s="1" t="s">
        <v>28</v>
      </c>
      <c r="M235" s="4">
        <v>0.65</v>
      </c>
      <c r="N235" s="1" t="s">
        <v>77</v>
      </c>
      <c r="O235" s="1" t="s">
        <v>30</v>
      </c>
      <c r="P235" s="4">
        <v>0.8118055555555556</v>
      </c>
      <c r="Q235" s="1" t="s">
        <v>222</v>
      </c>
      <c r="R235" s="1">
        <f t="shared" si="1"/>
        <v>64</v>
      </c>
      <c r="S235" s="1">
        <f t="shared" si="2"/>
        <v>10</v>
      </c>
      <c r="T235" s="5">
        <f t="shared" si="3"/>
        <v>64</v>
      </c>
      <c r="U235" s="5" t="s">
        <v>39</v>
      </c>
    </row>
    <row r="236">
      <c r="A236" s="1" t="s">
        <v>490</v>
      </c>
      <c r="B236" s="2">
        <v>23.0</v>
      </c>
      <c r="C236" s="1" t="s">
        <v>55</v>
      </c>
      <c r="D236" s="1" t="s">
        <v>42</v>
      </c>
      <c r="E236" s="3"/>
      <c r="F236" s="1" t="s">
        <v>28</v>
      </c>
      <c r="G236" s="4">
        <v>0.09652777777777778</v>
      </c>
      <c r="H236" s="1" t="s">
        <v>301</v>
      </c>
      <c r="I236" s="1" t="s">
        <v>30</v>
      </c>
      <c r="J236" s="4">
        <v>0.41805555555555557</v>
      </c>
      <c r="K236" s="1" t="s">
        <v>480</v>
      </c>
      <c r="L236" s="1" t="s">
        <v>28</v>
      </c>
      <c r="M236" s="4">
        <v>0.6840277777777778</v>
      </c>
      <c r="N236" s="1" t="s">
        <v>471</v>
      </c>
      <c r="O236" s="1" t="s">
        <v>30</v>
      </c>
      <c r="P236" s="4">
        <v>0.8770833333333333</v>
      </c>
      <c r="Q236" s="1" t="s">
        <v>113</v>
      </c>
      <c r="R236" s="1">
        <f t="shared" si="1"/>
        <v>76</v>
      </c>
      <c r="S236" s="1">
        <f t="shared" si="2"/>
        <v>23</v>
      </c>
      <c r="T236" s="5">
        <f t="shared" si="3"/>
        <v>76</v>
      </c>
      <c r="U236" s="5" t="s">
        <v>39</v>
      </c>
    </row>
    <row r="237">
      <c r="A237" s="1" t="s">
        <v>490</v>
      </c>
      <c r="B237" s="2">
        <v>24.0</v>
      </c>
      <c r="C237" s="1" t="s">
        <v>25</v>
      </c>
      <c r="D237" s="6"/>
      <c r="E237" s="3"/>
      <c r="F237" s="1" t="s">
        <v>28</v>
      </c>
      <c r="G237" s="4">
        <v>0.14444444444444443</v>
      </c>
      <c r="H237" s="1" t="s">
        <v>388</v>
      </c>
      <c r="I237" s="1" t="s">
        <v>30</v>
      </c>
      <c r="J237" s="4">
        <v>0.4465277777777778</v>
      </c>
      <c r="K237" s="1" t="s">
        <v>326</v>
      </c>
      <c r="L237" s="1" t="s">
        <v>28</v>
      </c>
      <c r="M237" s="4">
        <v>0.7055555555555556</v>
      </c>
      <c r="N237" s="1" t="s">
        <v>218</v>
      </c>
      <c r="O237" s="1" t="s">
        <v>30</v>
      </c>
      <c r="P237" s="4">
        <v>0.9180555555555555</v>
      </c>
      <c r="Q237" s="1" t="s">
        <v>331</v>
      </c>
      <c r="R237" s="1">
        <f t="shared" si="1"/>
        <v>94</v>
      </c>
      <c r="S237" s="1">
        <f t="shared" si="2"/>
        <v>41</v>
      </c>
      <c r="T237" s="5">
        <f t="shared" si="3"/>
        <v>94</v>
      </c>
      <c r="U237" s="5" t="s">
        <v>90</v>
      </c>
    </row>
    <row r="238">
      <c r="A238" s="1" t="s">
        <v>490</v>
      </c>
      <c r="B238" s="2">
        <v>25.0</v>
      </c>
      <c r="C238" s="1" t="s">
        <v>75</v>
      </c>
      <c r="D238" s="6"/>
      <c r="E238" s="3"/>
      <c r="F238" s="1" t="s">
        <v>28</v>
      </c>
      <c r="G238" s="4">
        <v>0.17777777777777778</v>
      </c>
      <c r="H238" s="1" t="s">
        <v>385</v>
      </c>
      <c r="I238" s="1" t="s">
        <v>30</v>
      </c>
      <c r="J238" s="4">
        <v>0.46875</v>
      </c>
      <c r="K238" s="1" t="s">
        <v>223</v>
      </c>
      <c r="L238" s="1" t="s">
        <v>28</v>
      </c>
      <c r="M238" s="4">
        <v>0.7243055555555555</v>
      </c>
      <c r="N238" s="1" t="s">
        <v>251</v>
      </c>
      <c r="O238" s="1" t="s">
        <v>30</v>
      </c>
      <c r="P238" s="4">
        <v>0.9472222222222222</v>
      </c>
      <c r="Q238" s="1" t="s">
        <v>483</v>
      </c>
      <c r="R238" s="1">
        <f t="shared" si="1"/>
        <v>112</v>
      </c>
      <c r="S238" s="1">
        <f t="shared" si="2"/>
        <v>59</v>
      </c>
      <c r="T238" s="5">
        <f t="shared" si="3"/>
        <v>112</v>
      </c>
      <c r="U238" s="5" t="s">
        <v>90</v>
      </c>
    </row>
    <row r="239">
      <c r="A239" s="1" t="s">
        <v>490</v>
      </c>
      <c r="B239" s="2">
        <v>26.0</v>
      </c>
      <c r="C239" s="1" t="s">
        <v>86</v>
      </c>
      <c r="D239" s="6"/>
      <c r="E239" s="3"/>
      <c r="F239" s="1" t="s">
        <v>28</v>
      </c>
      <c r="G239" s="4">
        <v>0.20416666666666666</v>
      </c>
      <c r="H239" s="1" t="s">
        <v>211</v>
      </c>
      <c r="I239" s="1" t="s">
        <v>30</v>
      </c>
      <c r="J239" s="4">
        <v>0.4888888888888889</v>
      </c>
      <c r="K239" s="1" t="s">
        <v>31</v>
      </c>
      <c r="L239" s="1" t="s">
        <v>28</v>
      </c>
      <c r="M239" s="4">
        <v>0.7423611111111111</v>
      </c>
      <c r="N239" s="1" t="s">
        <v>307</v>
      </c>
      <c r="O239" s="1" t="s">
        <v>30</v>
      </c>
      <c r="P239" s="4">
        <v>0.9729166666666667</v>
      </c>
      <c r="Q239" s="1" t="s">
        <v>236</v>
      </c>
      <c r="R239" s="1">
        <f t="shared" si="1"/>
        <v>128</v>
      </c>
      <c r="S239" s="1">
        <f t="shared" si="2"/>
        <v>78</v>
      </c>
      <c r="T239" s="5">
        <f t="shared" si="3"/>
        <v>128</v>
      </c>
      <c r="U239" s="5" t="s">
        <v>47</v>
      </c>
    </row>
    <row r="240">
      <c r="A240" s="1" t="s">
        <v>490</v>
      </c>
      <c r="B240" s="2">
        <v>27.0</v>
      </c>
      <c r="C240" s="1" t="s">
        <v>26</v>
      </c>
      <c r="D240" s="6"/>
      <c r="E240" s="3"/>
      <c r="F240" s="1" t="s">
        <v>28</v>
      </c>
      <c r="G240" s="4">
        <v>0.22847222222222222</v>
      </c>
      <c r="H240" s="1" t="s">
        <v>414</v>
      </c>
      <c r="I240" s="1" t="s">
        <v>30</v>
      </c>
      <c r="J240" s="4">
        <v>0.5076388888888889</v>
      </c>
      <c r="K240" s="1" t="s">
        <v>146</v>
      </c>
      <c r="L240" s="1" t="s">
        <v>28</v>
      </c>
      <c r="M240" s="4">
        <v>0.7597222222222222</v>
      </c>
      <c r="N240" s="1" t="s">
        <v>337</v>
      </c>
      <c r="O240" s="1" t="s">
        <v>30</v>
      </c>
      <c r="P240" s="4">
        <v>0.9965277777777778</v>
      </c>
      <c r="Q240" s="1" t="s">
        <v>122</v>
      </c>
      <c r="R240" s="1">
        <f t="shared" si="1"/>
        <v>141</v>
      </c>
      <c r="S240" s="1">
        <f t="shared" si="2"/>
        <v>96</v>
      </c>
      <c r="T240" s="5">
        <f t="shared" si="3"/>
        <v>141</v>
      </c>
      <c r="U240" s="5" t="s">
        <v>47</v>
      </c>
    </row>
    <row r="241">
      <c r="A241" s="1" t="s">
        <v>490</v>
      </c>
      <c r="B241" s="2">
        <v>28.0</v>
      </c>
      <c r="C241" s="1" t="s">
        <v>34</v>
      </c>
      <c r="D241" s="6"/>
      <c r="E241" s="7" t="s">
        <v>35</v>
      </c>
      <c r="F241" s="1" t="s">
        <v>28</v>
      </c>
      <c r="G241" s="4">
        <v>0.25069444444444444</v>
      </c>
      <c r="H241" s="1" t="s">
        <v>455</v>
      </c>
      <c r="I241" s="1" t="s">
        <v>30</v>
      </c>
      <c r="J241" s="4">
        <v>0.5256944444444445</v>
      </c>
      <c r="K241" s="1" t="s">
        <v>45</v>
      </c>
      <c r="L241" s="1" t="s">
        <v>28</v>
      </c>
      <c r="M241" s="4">
        <v>0.7770833333333333</v>
      </c>
      <c r="N241" s="1" t="s">
        <v>385</v>
      </c>
      <c r="R241" s="1">
        <f t="shared" si="1"/>
        <v>149</v>
      </c>
      <c r="S241" s="1">
        <f t="shared" si="2"/>
        <v>66</v>
      </c>
      <c r="T241" s="5">
        <f t="shared" si="3"/>
        <v>149</v>
      </c>
      <c r="U241" s="5" t="s">
        <v>47</v>
      </c>
    </row>
    <row r="242">
      <c r="A242" s="1" t="s">
        <v>490</v>
      </c>
      <c r="B242" s="2">
        <v>29.0</v>
      </c>
      <c r="C242" s="1" t="s">
        <v>41</v>
      </c>
      <c r="D242" s="1" t="s">
        <v>42</v>
      </c>
      <c r="E242" s="3"/>
      <c r="F242" s="1" t="s">
        <v>30</v>
      </c>
      <c r="G242" s="4">
        <v>0.02013888888888889</v>
      </c>
      <c r="H242" s="1" t="s">
        <v>223</v>
      </c>
      <c r="I242" s="1" t="s">
        <v>28</v>
      </c>
      <c r="J242" s="4">
        <v>0.27361111111111114</v>
      </c>
      <c r="K242" s="1" t="s">
        <v>464</v>
      </c>
      <c r="L242" s="1" t="s">
        <v>30</v>
      </c>
      <c r="M242" s="4">
        <v>0.5430555555555555</v>
      </c>
      <c r="N242" s="1" t="s">
        <v>45</v>
      </c>
      <c r="O242" s="1" t="s">
        <v>28</v>
      </c>
      <c r="P242" s="4">
        <v>0.7944444444444444</v>
      </c>
      <c r="Q242" s="1" t="s">
        <v>46</v>
      </c>
      <c r="R242" s="1">
        <f t="shared" si="1"/>
        <v>138</v>
      </c>
      <c r="S242" s="1">
        <f t="shared" si="2"/>
        <v>131</v>
      </c>
      <c r="T242" s="5">
        <f t="shared" si="3"/>
        <v>138</v>
      </c>
      <c r="U242" s="5" t="s">
        <v>47</v>
      </c>
    </row>
    <row r="243">
      <c r="A243" s="1" t="s">
        <v>490</v>
      </c>
      <c r="B243" s="2">
        <v>30.0</v>
      </c>
      <c r="C243" s="1" t="s">
        <v>55</v>
      </c>
      <c r="D243" s="1" t="s">
        <v>42</v>
      </c>
      <c r="E243" s="3"/>
      <c r="F243" s="1" t="s">
        <v>30</v>
      </c>
      <c r="G243" s="4">
        <v>0.044444444444444446</v>
      </c>
      <c r="H243" s="1" t="s">
        <v>31</v>
      </c>
      <c r="I243" s="1" t="s">
        <v>28</v>
      </c>
      <c r="J243" s="4">
        <v>0.2965277777777778</v>
      </c>
      <c r="K243" s="1" t="s">
        <v>416</v>
      </c>
      <c r="L243" s="1" t="s">
        <v>30</v>
      </c>
      <c r="M243" s="4">
        <v>0.5611111111111111</v>
      </c>
      <c r="N243" s="1" t="s">
        <v>146</v>
      </c>
      <c r="O243" s="1" t="s">
        <v>28</v>
      </c>
      <c r="P243" s="4">
        <v>0.8131944444444444</v>
      </c>
      <c r="Q243" s="1" t="s">
        <v>346</v>
      </c>
      <c r="R243" s="1">
        <f t="shared" si="1"/>
        <v>141</v>
      </c>
      <c r="S243" s="1">
        <f t="shared" si="2"/>
        <v>133</v>
      </c>
      <c r="T243" s="5">
        <f t="shared" si="3"/>
        <v>141</v>
      </c>
      <c r="U243" s="5" t="s">
        <v>47</v>
      </c>
    </row>
    <row r="244">
      <c r="A244" s="1" t="s">
        <v>490</v>
      </c>
      <c r="B244" s="2">
        <v>31.0</v>
      </c>
      <c r="C244" s="1" t="s">
        <v>25</v>
      </c>
      <c r="D244" s="6"/>
      <c r="E244" s="3"/>
      <c r="F244" s="1" t="s">
        <v>30</v>
      </c>
      <c r="G244" s="4">
        <v>0.06944444444444445</v>
      </c>
      <c r="H244" s="1" t="s">
        <v>146</v>
      </c>
      <c r="I244" s="1" t="s">
        <v>28</v>
      </c>
      <c r="J244" s="4">
        <v>0.32083333333333336</v>
      </c>
      <c r="K244" s="1" t="s">
        <v>488</v>
      </c>
      <c r="L244" s="1" t="s">
        <v>30</v>
      </c>
      <c r="M244" s="4">
        <v>0.5791666666666667</v>
      </c>
      <c r="N244" s="1" t="s">
        <v>114</v>
      </c>
      <c r="O244" s="1" t="s">
        <v>28</v>
      </c>
      <c r="P244" s="4">
        <v>0.8333333333333334</v>
      </c>
      <c r="Q244" s="1" t="s">
        <v>495</v>
      </c>
      <c r="R244" s="1">
        <f t="shared" si="1"/>
        <v>138</v>
      </c>
      <c r="S244" s="1">
        <f t="shared" si="2"/>
        <v>130</v>
      </c>
      <c r="T244" s="5">
        <f t="shared" si="3"/>
        <v>138</v>
      </c>
      <c r="U244" s="5" t="s">
        <v>47</v>
      </c>
    </row>
    <row r="245">
      <c r="A245" s="1" t="s">
        <v>498</v>
      </c>
      <c r="B245" s="2">
        <v>1.0</v>
      </c>
      <c r="C245" s="1" t="s">
        <v>75</v>
      </c>
      <c r="D245" s="6"/>
      <c r="E245" s="3"/>
      <c r="F245" s="1" t="s">
        <v>30</v>
      </c>
      <c r="G245" s="4">
        <v>0.09583333333333334</v>
      </c>
      <c r="H245" s="1" t="s">
        <v>146</v>
      </c>
      <c r="I245" s="1" t="s">
        <v>28</v>
      </c>
      <c r="J245" s="4">
        <v>0.34652777777777777</v>
      </c>
      <c r="K245" s="1" t="s">
        <v>412</v>
      </c>
      <c r="L245" s="1" t="s">
        <v>30</v>
      </c>
      <c r="M245" s="4">
        <v>0.5979166666666667</v>
      </c>
      <c r="N245" s="1" t="s">
        <v>224</v>
      </c>
      <c r="O245" s="1" t="s">
        <v>28</v>
      </c>
      <c r="P245" s="4">
        <v>0.8548611111111111</v>
      </c>
      <c r="Q245" s="1" t="s">
        <v>497</v>
      </c>
      <c r="R245" s="1">
        <f t="shared" si="1"/>
        <v>126</v>
      </c>
      <c r="S245" s="1">
        <f t="shared" si="2"/>
        <v>121</v>
      </c>
      <c r="T245" s="5">
        <f t="shared" si="3"/>
        <v>126</v>
      </c>
      <c r="U245" s="5" t="s">
        <v>47</v>
      </c>
    </row>
    <row r="246">
      <c r="A246" s="1" t="s">
        <v>498</v>
      </c>
      <c r="B246" s="2">
        <v>2.0</v>
      </c>
      <c r="C246" s="1" t="s">
        <v>86</v>
      </c>
      <c r="D246" s="6"/>
      <c r="E246" s="3"/>
      <c r="F246" s="1" t="s">
        <v>30</v>
      </c>
      <c r="G246" s="4">
        <v>0.125</v>
      </c>
      <c r="H246" s="1" t="s">
        <v>257</v>
      </c>
      <c r="I246" s="1" t="s">
        <v>28</v>
      </c>
      <c r="J246" s="4">
        <v>0.37430555555555556</v>
      </c>
      <c r="K246" s="1" t="s">
        <v>147</v>
      </c>
      <c r="L246" s="1" t="s">
        <v>30</v>
      </c>
      <c r="M246" s="4">
        <v>0.6173611111111111</v>
      </c>
      <c r="N246" s="1" t="s">
        <v>250</v>
      </c>
      <c r="O246" s="1" t="s">
        <v>28</v>
      </c>
      <c r="P246" s="4">
        <v>0.8798611111111111</v>
      </c>
      <c r="Q246" s="1" t="s">
        <v>205</v>
      </c>
      <c r="R246" s="1">
        <f t="shared" si="1"/>
        <v>108</v>
      </c>
      <c r="S246" s="1">
        <f t="shared" si="2"/>
        <v>106</v>
      </c>
      <c r="T246" s="5">
        <f t="shared" si="3"/>
        <v>108</v>
      </c>
      <c r="U246" s="5" t="s">
        <v>90</v>
      </c>
    </row>
    <row r="247">
      <c r="A247" s="1" t="s">
        <v>498</v>
      </c>
      <c r="B247" s="2">
        <v>3.0</v>
      </c>
      <c r="C247" s="1" t="s">
        <v>26</v>
      </c>
      <c r="D247" s="6"/>
      <c r="E247" s="3"/>
      <c r="F247" s="1" t="s">
        <v>30</v>
      </c>
      <c r="G247" s="4">
        <v>0.1597222222222222</v>
      </c>
      <c r="H247" s="1" t="s">
        <v>115</v>
      </c>
      <c r="I247" s="1" t="s">
        <v>28</v>
      </c>
      <c r="J247" s="4">
        <v>0.4076388888888889</v>
      </c>
      <c r="K247" s="1" t="s">
        <v>262</v>
      </c>
      <c r="L247" s="1" t="s">
        <v>30</v>
      </c>
      <c r="M247" s="4">
        <v>0.6395833333333333</v>
      </c>
      <c r="N247" s="1" t="s">
        <v>291</v>
      </c>
      <c r="O247" s="1" t="s">
        <v>28</v>
      </c>
      <c r="P247" s="4">
        <v>0.9111111111111111</v>
      </c>
      <c r="Q247" s="1" t="s">
        <v>297</v>
      </c>
      <c r="R247" s="1">
        <f t="shared" si="1"/>
        <v>83</v>
      </c>
      <c r="S247" s="1">
        <f t="shared" si="2"/>
        <v>89</v>
      </c>
      <c r="T247" s="5">
        <f t="shared" si="3"/>
        <v>89</v>
      </c>
      <c r="U247" s="5" t="s">
        <v>39</v>
      </c>
    </row>
    <row r="248">
      <c r="A248" s="1" t="s">
        <v>498</v>
      </c>
      <c r="B248" s="2">
        <v>4.0</v>
      </c>
      <c r="C248" s="1" t="s">
        <v>34</v>
      </c>
      <c r="D248" s="6"/>
      <c r="E248" s="7" t="s">
        <v>107</v>
      </c>
      <c r="F248" s="1" t="s">
        <v>30</v>
      </c>
      <c r="G248" s="4">
        <v>0.20625</v>
      </c>
      <c r="H248" s="1" t="s">
        <v>122</v>
      </c>
      <c r="I248" s="1" t="s">
        <v>28</v>
      </c>
      <c r="J248" s="4">
        <v>0.45416666666666666</v>
      </c>
      <c r="K248" s="1" t="s">
        <v>173</v>
      </c>
      <c r="L248" s="1" t="s">
        <v>30</v>
      </c>
      <c r="M248" s="4">
        <v>0.66875</v>
      </c>
      <c r="N248" s="1" t="s">
        <v>332</v>
      </c>
      <c r="O248" s="1" t="s">
        <v>28</v>
      </c>
      <c r="P248" s="4">
        <v>0.9548611111111112</v>
      </c>
      <c r="Q248" s="1" t="s">
        <v>337</v>
      </c>
      <c r="R248" s="1">
        <f t="shared" si="1"/>
        <v>58</v>
      </c>
      <c r="S248" s="1">
        <f t="shared" si="2"/>
        <v>69</v>
      </c>
      <c r="T248" s="5">
        <f t="shared" si="3"/>
        <v>69</v>
      </c>
      <c r="U248" s="5" t="s">
        <v>39</v>
      </c>
    </row>
    <row r="249">
      <c r="A249" s="1" t="s">
        <v>498</v>
      </c>
      <c r="B249" s="2">
        <v>5.0</v>
      </c>
      <c r="C249" s="1" t="s">
        <v>41</v>
      </c>
      <c r="D249" s="1" t="s">
        <v>42</v>
      </c>
      <c r="E249" s="3"/>
      <c r="F249" s="1" t="s">
        <v>30</v>
      </c>
      <c r="G249" s="4">
        <v>0.2791666666666667</v>
      </c>
      <c r="H249" s="1" t="s">
        <v>295</v>
      </c>
      <c r="I249" s="1" t="s">
        <v>28</v>
      </c>
      <c r="J249" s="4">
        <v>0.5548611111111111</v>
      </c>
      <c r="K249" s="1" t="s">
        <v>323</v>
      </c>
      <c r="L249" s="1" t="s">
        <v>30</v>
      </c>
      <c r="M249" s="4">
        <v>0.7243055555555555</v>
      </c>
      <c r="N249" s="1" t="s">
        <v>397</v>
      </c>
      <c r="R249" s="1">
        <f t="shared" si="1"/>
        <v>43</v>
      </c>
      <c r="S249" s="1">
        <f t="shared" si="2"/>
        <v>1</v>
      </c>
      <c r="T249" s="5">
        <f t="shared" si="3"/>
        <v>43</v>
      </c>
      <c r="U249" s="5" t="s">
        <v>39</v>
      </c>
    </row>
    <row r="250">
      <c r="A250" s="1" t="s">
        <v>498</v>
      </c>
      <c r="B250" s="2">
        <v>6.0</v>
      </c>
      <c r="C250" s="1" t="s">
        <v>55</v>
      </c>
      <c r="D250" s="1" t="s">
        <v>42</v>
      </c>
      <c r="E250" s="3"/>
      <c r="F250" s="1" t="s">
        <v>28</v>
      </c>
      <c r="G250" s="4">
        <v>0.025694444444444443</v>
      </c>
      <c r="H250" s="1" t="s">
        <v>147</v>
      </c>
      <c r="I250" s="1" t="s">
        <v>30</v>
      </c>
      <c r="J250" s="4">
        <v>0.3625</v>
      </c>
      <c r="K250" s="1" t="s">
        <v>326</v>
      </c>
      <c r="L250" s="1" t="s">
        <v>28</v>
      </c>
      <c r="M250" s="4">
        <v>0.6402777777777777</v>
      </c>
      <c r="N250" s="1" t="s">
        <v>230</v>
      </c>
      <c r="O250" s="1" t="s">
        <v>30</v>
      </c>
      <c r="P250" s="4">
        <v>0.8236111111111111</v>
      </c>
      <c r="Q250" s="1" t="s">
        <v>113</v>
      </c>
      <c r="R250" s="1">
        <f t="shared" si="1"/>
        <v>93</v>
      </c>
      <c r="S250" s="1">
        <f t="shared" si="2"/>
        <v>17</v>
      </c>
      <c r="T250" s="5">
        <f t="shared" si="3"/>
        <v>93</v>
      </c>
      <c r="U250" s="5" t="s">
        <v>90</v>
      </c>
    </row>
    <row r="251">
      <c r="A251" s="1" t="s">
        <v>498</v>
      </c>
      <c r="B251" s="2">
        <v>7.0</v>
      </c>
      <c r="C251" s="1" t="s">
        <v>25</v>
      </c>
      <c r="D251" s="6"/>
      <c r="E251" s="3"/>
      <c r="F251" s="1" t="s">
        <v>28</v>
      </c>
      <c r="G251" s="4">
        <v>0.10208333333333333</v>
      </c>
      <c r="H251" s="1" t="s">
        <v>78</v>
      </c>
      <c r="I251" s="1" t="s">
        <v>30</v>
      </c>
      <c r="J251" s="4">
        <v>0.4125</v>
      </c>
      <c r="K251" s="1" t="s">
        <v>134</v>
      </c>
      <c r="L251" s="1" t="s">
        <v>28</v>
      </c>
      <c r="M251" s="4">
        <v>0.6770833333333334</v>
      </c>
      <c r="N251" s="1" t="s">
        <v>183</v>
      </c>
      <c r="O251" s="1" t="s">
        <v>30</v>
      </c>
      <c r="P251" s="4">
        <v>0.8916666666666667</v>
      </c>
      <c r="Q251" s="1" t="s">
        <v>225</v>
      </c>
      <c r="R251" s="1">
        <f t="shared" si="1"/>
        <v>112</v>
      </c>
      <c r="S251" s="1">
        <f t="shared" si="2"/>
        <v>41</v>
      </c>
      <c r="T251" s="5">
        <f t="shared" si="3"/>
        <v>112</v>
      </c>
      <c r="U251" s="5" t="s">
        <v>90</v>
      </c>
    </row>
    <row r="252">
      <c r="A252" s="1" t="s">
        <v>498</v>
      </c>
      <c r="B252" s="2">
        <v>8.0</v>
      </c>
      <c r="C252" s="1" t="s">
        <v>75</v>
      </c>
      <c r="D252" s="6"/>
      <c r="E252" s="3"/>
      <c r="F252" s="1" t="s">
        <v>28</v>
      </c>
      <c r="G252" s="4">
        <v>0.1527777777777778</v>
      </c>
      <c r="H252" s="1" t="s">
        <v>298</v>
      </c>
      <c r="I252" s="1" t="s">
        <v>30</v>
      </c>
      <c r="J252" s="4">
        <v>0.44722222222222224</v>
      </c>
      <c r="K252" s="1" t="s">
        <v>110</v>
      </c>
      <c r="L252" s="1" t="s">
        <v>28</v>
      </c>
      <c r="M252" s="4">
        <v>0.7027777777777777</v>
      </c>
      <c r="N252" s="1" t="s">
        <v>179</v>
      </c>
      <c r="O252" s="1" t="s">
        <v>30</v>
      </c>
      <c r="P252" s="4">
        <v>0.9333333333333333</v>
      </c>
      <c r="Q252" s="1" t="s">
        <v>422</v>
      </c>
      <c r="R252" s="1">
        <f t="shared" si="1"/>
        <v>136</v>
      </c>
      <c r="S252" s="1">
        <f t="shared" si="2"/>
        <v>69</v>
      </c>
      <c r="T252" s="5">
        <f t="shared" si="3"/>
        <v>136</v>
      </c>
      <c r="U252" s="5" t="s">
        <v>47</v>
      </c>
    </row>
    <row r="253">
      <c r="A253" s="1" t="s">
        <v>498</v>
      </c>
      <c r="B253" s="2">
        <v>9.0</v>
      </c>
      <c r="C253" s="1" t="s">
        <v>86</v>
      </c>
      <c r="D253" s="6"/>
      <c r="E253" s="3"/>
      <c r="F253" s="1" t="s">
        <v>28</v>
      </c>
      <c r="G253" s="4">
        <v>0.18958333333333333</v>
      </c>
      <c r="H253" s="1" t="s">
        <v>417</v>
      </c>
      <c r="I253" s="1" t="s">
        <v>30</v>
      </c>
      <c r="J253" s="4">
        <v>0.47430555555555554</v>
      </c>
      <c r="K253" s="1" t="s">
        <v>182</v>
      </c>
      <c r="L253" s="1" t="s">
        <v>28</v>
      </c>
      <c r="M253" s="4">
        <v>0.725</v>
      </c>
      <c r="N253" s="1" t="s">
        <v>410</v>
      </c>
      <c r="O253" s="1" t="s">
        <v>30</v>
      </c>
      <c r="P253" s="4">
        <v>0.9652777777777778</v>
      </c>
      <c r="Q253" s="1" t="s">
        <v>120</v>
      </c>
      <c r="R253" s="1">
        <f t="shared" si="1"/>
        <v>153</v>
      </c>
      <c r="S253" s="1">
        <f t="shared" si="2"/>
        <v>96</v>
      </c>
      <c r="T253" s="5">
        <f t="shared" si="3"/>
        <v>153</v>
      </c>
      <c r="U253" s="5" t="s">
        <v>47</v>
      </c>
    </row>
    <row r="254">
      <c r="A254" s="1" t="s">
        <v>498</v>
      </c>
      <c r="B254" s="2">
        <v>10.0</v>
      </c>
      <c r="C254" s="1" t="s">
        <v>26</v>
      </c>
      <c r="D254" s="6"/>
      <c r="E254" s="3"/>
      <c r="F254" s="1" t="s">
        <v>28</v>
      </c>
      <c r="G254" s="4">
        <v>0.22083333333333333</v>
      </c>
      <c r="H254" s="1" t="s">
        <v>492</v>
      </c>
      <c r="I254" s="1" t="s">
        <v>30</v>
      </c>
      <c r="J254" s="4">
        <v>0.4979166666666667</v>
      </c>
      <c r="K254" s="1" t="s">
        <v>174</v>
      </c>
      <c r="L254" s="1" t="s">
        <v>28</v>
      </c>
      <c r="M254" s="4">
        <v>0.7458333333333333</v>
      </c>
      <c r="N254" s="1" t="s">
        <v>385</v>
      </c>
      <c r="O254" s="1" t="s">
        <v>30</v>
      </c>
      <c r="P254" s="4">
        <v>0.9930555555555556</v>
      </c>
      <c r="Q254" s="1" t="s">
        <v>114</v>
      </c>
      <c r="R254" s="1">
        <f t="shared" si="1"/>
        <v>163</v>
      </c>
      <c r="S254" s="1">
        <f t="shared" si="2"/>
        <v>117</v>
      </c>
      <c r="T254" s="5">
        <f t="shared" si="3"/>
        <v>163</v>
      </c>
      <c r="U254" s="5" t="s">
        <v>47</v>
      </c>
    </row>
    <row r="255">
      <c r="A255" s="1" t="s">
        <v>498</v>
      </c>
      <c r="B255" s="2">
        <v>11.0</v>
      </c>
      <c r="C255" s="1" t="s">
        <v>34</v>
      </c>
      <c r="D255" s="6"/>
      <c r="E255" s="7" t="s">
        <v>143</v>
      </c>
      <c r="F255" s="1" t="s">
        <v>28</v>
      </c>
      <c r="G255" s="4">
        <v>0.24930555555555556</v>
      </c>
      <c r="H255" s="1" t="s">
        <v>477</v>
      </c>
      <c r="I255" s="1" t="s">
        <v>30</v>
      </c>
      <c r="J255" s="4">
        <v>0.5194444444444445</v>
      </c>
      <c r="K255" s="1" t="s">
        <v>313</v>
      </c>
      <c r="L255" s="1" t="s">
        <v>28</v>
      </c>
      <c r="M255" s="4">
        <v>0.7666666666666667</v>
      </c>
      <c r="N255" s="1" t="s">
        <v>205</v>
      </c>
      <c r="R255" s="1">
        <f t="shared" si="1"/>
        <v>160</v>
      </c>
      <c r="S255" s="1">
        <f t="shared" si="2"/>
        <v>73</v>
      </c>
      <c r="T255" s="5">
        <f t="shared" si="3"/>
        <v>160</v>
      </c>
      <c r="U255" s="5" t="s">
        <v>47</v>
      </c>
    </row>
    <row r="256">
      <c r="A256" s="1" t="s">
        <v>498</v>
      </c>
      <c r="B256" s="2">
        <v>12.0</v>
      </c>
      <c r="C256" s="1" t="s">
        <v>41</v>
      </c>
      <c r="D256" s="1" t="s">
        <v>42</v>
      </c>
      <c r="E256" s="3"/>
      <c r="F256" s="1" t="s">
        <v>30</v>
      </c>
      <c r="G256" s="4">
        <v>0.019444444444444445</v>
      </c>
      <c r="H256" s="1" t="s">
        <v>99</v>
      </c>
      <c r="I256" s="1" t="s">
        <v>28</v>
      </c>
      <c r="J256" s="4">
        <v>0.27569444444444446</v>
      </c>
      <c r="K256" s="1" t="s">
        <v>478</v>
      </c>
      <c r="L256" s="1" t="s">
        <v>30</v>
      </c>
      <c r="M256" s="4">
        <v>0.5381944444444444</v>
      </c>
      <c r="N256" s="1" t="s">
        <v>99</v>
      </c>
      <c r="O256" s="1" t="s">
        <v>28</v>
      </c>
      <c r="P256" s="4">
        <v>0.7861111111111111</v>
      </c>
      <c r="Q256" s="1" t="s">
        <v>497</v>
      </c>
      <c r="R256" s="1">
        <f t="shared" si="1"/>
        <v>149</v>
      </c>
      <c r="S256" s="1">
        <f t="shared" si="2"/>
        <v>136</v>
      </c>
      <c r="T256" s="5">
        <f t="shared" si="3"/>
        <v>149</v>
      </c>
      <c r="U256" s="5" t="s">
        <v>47</v>
      </c>
    </row>
    <row r="257">
      <c r="A257" s="1" t="s">
        <v>498</v>
      </c>
      <c r="B257" s="2">
        <v>13.0</v>
      </c>
      <c r="C257" s="1" t="s">
        <v>55</v>
      </c>
      <c r="D257" s="1" t="s">
        <v>42</v>
      </c>
      <c r="E257" s="3"/>
      <c r="F257" s="1" t="s">
        <v>30</v>
      </c>
      <c r="G257" s="4">
        <v>0.04513888888888889</v>
      </c>
      <c r="H257" s="1" t="s">
        <v>110</v>
      </c>
      <c r="I257" s="1" t="s">
        <v>28</v>
      </c>
      <c r="J257" s="4">
        <v>0.30069444444444443</v>
      </c>
      <c r="K257" s="1" t="s">
        <v>493</v>
      </c>
      <c r="L257" s="1" t="s">
        <v>30</v>
      </c>
      <c r="M257" s="4">
        <v>0.5555555555555556</v>
      </c>
      <c r="N257" s="1" t="s">
        <v>134</v>
      </c>
      <c r="O257" s="1" t="s">
        <v>28</v>
      </c>
      <c r="P257" s="4">
        <v>0.8055555555555556</v>
      </c>
      <c r="Q257" s="1" t="s">
        <v>497</v>
      </c>
      <c r="R257" s="1">
        <f t="shared" si="1"/>
        <v>142</v>
      </c>
      <c r="S257" s="1">
        <f t="shared" si="2"/>
        <v>128</v>
      </c>
      <c r="T257" s="5">
        <f t="shared" si="3"/>
        <v>142</v>
      </c>
      <c r="U257" s="5" t="s">
        <v>47</v>
      </c>
    </row>
    <row r="258">
      <c r="A258" s="1" t="s">
        <v>498</v>
      </c>
      <c r="B258" s="2">
        <v>14.0</v>
      </c>
      <c r="C258" s="1" t="s">
        <v>25</v>
      </c>
      <c r="D258" s="6"/>
      <c r="E258" s="3"/>
      <c r="F258" s="1" t="s">
        <v>30</v>
      </c>
      <c r="G258" s="4">
        <v>0.06944444444444445</v>
      </c>
      <c r="H258" s="1" t="s">
        <v>45</v>
      </c>
      <c r="I258" s="1" t="s">
        <v>28</v>
      </c>
      <c r="J258" s="4">
        <v>0.32430555555555557</v>
      </c>
      <c r="K258" s="1" t="s">
        <v>436</v>
      </c>
      <c r="L258" s="1" t="s">
        <v>30</v>
      </c>
      <c r="M258" s="4">
        <v>0.5722222222222222</v>
      </c>
      <c r="N258" s="1" t="s">
        <v>333</v>
      </c>
      <c r="O258" s="1" t="s">
        <v>28</v>
      </c>
      <c r="P258" s="4">
        <v>0.825</v>
      </c>
      <c r="Q258" s="1" t="s">
        <v>211</v>
      </c>
      <c r="R258" s="1">
        <f t="shared" si="1"/>
        <v>127</v>
      </c>
      <c r="S258" s="1">
        <f t="shared" si="2"/>
        <v>118</v>
      </c>
      <c r="T258" s="5">
        <f t="shared" si="3"/>
        <v>127</v>
      </c>
      <c r="U258" s="5" t="s">
        <v>47</v>
      </c>
    </row>
    <row r="259">
      <c r="A259" s="1" t="s">
        <v>498</v>
      </c>
      <c r="B259" s="2">
        <v>15.0</v>
      </c>
      <c r="C259" s="1" t="s">
        <v>75</v>
      </c>
      <c r="D259" s="6"/>
      <c r="E259" s="3"/>
      <c r="F259" s="1" t="s">
        <v>30</v>
      </c>
      <c r="G259" s="4">
        <v>0.09375</v>
      </c>
      <c r="H259" s="1" t="s">
        <v>257</v>
      </c>
      <c r="I259" s="1" t="s">
        <v>28</v>
      </c>
      <c r="J259" s="4">
        <v>0.3472222222222222</v>
      </c>
      <c r="K259" s="1" t="s">
        <v>267</v>
      </c>
      <c r="L259" s="1" t="s">
        <v>30</v>
      </c>
      <c r="M259" s="4">
        <v>0.5881944444444445</v>
      </c>
      <c r="N259" s="1" t="s">
        <v>250</v>
      </c>
      <c r="O259" s="1" t="s">
        <v>28</v>
      </c>
      <c r="P259" s="4">
        <v>0.8444444444444444</v>
      </c>
      <c r="Q259" s="1" t="s">
        <v>46</v>
      </c>
      <c r="R259" s="1">
        <f t="shared" si="1"/>
        <v>106</v>
      </c>
      <c r="S259" s="1">
        <f t="shared" si="2"/>
        <v>105</v>
      </c>
      <c r="T259" s="5">
        <f t="shared" si="3"/>
        <v>106</v>
      </c>
      <c r="U259" s="5" t="s">
        <v>90</v>
      </c>
    </row>
    <row r="260">
      <c r="A260" s="1" t="s">
        <v>498</v>
      </c>
      <c r="B260" s="2">
        <v>16.0</v>
      </c>
      <c r="C260" s="1" t="s">
        <v>86</v>
      </c>
      <c r="D260" s="6"/>
      <c r="E260" s="3"/>
      <c r="F260" s="1" t="s">
        <v>30</v>
      </c>
      <c r="G260" s="4">
        <v>0.11944444444444445</v>
      </c>
      <c r="H260" s="1" t="s">
        <v>115</v>
      </c>
      <c r="I260" s="1" t="s">
        <v>28</v>
      </c>
      <c r="J260" s="4">
        <v>0.37083333333333335</v>
      </c>
      <c r="K260" s="1" t="s">
        <v>262</v>
      </c>
      <c r="L260" s="1" t="s">
        <v>30</v>
      </c>
      <c r="M260" s="4">
        <v>0.6041666666666666</v>
      </c>
      <c r="N260" s="1" t="s">
        <v>334</v>
      </c>
      <c r="O260" s="1" t="s">
        <v>28</v>
      </c>
      <c r="P260" s="4">
        <v>0.8652777777777778</v>
      </c>
      <c r="Q260" s="1" t="s">
        <v>38</v>
      </c>
      <c r="R260" s="1">
        <f t="shared" si="1"/>
        <v>83</v>
      </c>
      <c r="S260" s="1">
        <f t="shared" si="2"/>
        <v>90</v>
      </c>
      <c r="T260" s="5">
        <f t="shared" si="3"/>
        <v>90</v>
      </c>
      <c r="U260" s="5" t="s">
        <v>39</v>
      </c>
    </row>
    <row r="261">
      <c r="A261" s="1" t="s">
        <v>498</v>
      </c>
      <c r="B261" s="2">
        <v>17.0</v>
      </c>
      <c r="C261" s="1" t="s">
        <v>26</v>
      </c>
      <c r="D261" s="6"/>
      <c r="E261" s="3"/>
      <c r="F261" s="1" t="s">
        <v>30</v>
      </c>
      <c r="G261" s="4">
        <v>0.1486111111111111</v>
      </c>
      <c r="H261" s="1" t="s">
        <v>286</v>
      </c>
      <c r="I261" s="1" t="s">
        <v>28</v>
      </c>
      <c r="J261" s="4">
        <v>0.39791666666666664</v>
      </c>
      <c r="K261" s="1" t="s">
        <v>176</v>
      </c>
      <c r="L261" s="1" t="s">
        <v>30</v>
      </c>
      <c r="M261" s="4">
        <v>0.6208333333333333</v>
      </c>
      <c r="N261" s="1" t="s">
        <v>119</v>
      </c>
      <c r="O261" s="1" t="s">
        <v>28</v>
      </c>
      <c r="P261" s="4">
        <v>0.8888888888888888</v>
      </c>
      <c r="Q261" s="1" t="s">
        <v>388</v>
      </c>
      <c r="R261" s="1">
        <f t="shared" si="1"/>
        <v>59</v>
      </c>
      <c r="S261" s="1">
        <f t="shared" si="2"/>
        <v>72</v>
      </c>
      <c r="T261" s="5">
        <f t="shared" si="3"/>
        <v>72</v>
      </c>
      <c r="U261" s="5" t="s">
        <v>39</v>
      </c>
    </row>
    <row r="262">
      <c r="A262" s="1" t="s">
        <v>498</v>
      </c>
      <c r="B262" s="2">
        <v>18.0</v>
      </c>
      <c r="C262" s="1" t="s">
        <v>34</v>
      </c>
      <c r="D262" s="6"/>
      <c r="E262" s="3"/>
      <c r="F262" s="1" t="s">
        <v>30</v>
      </c>
      <c r="G262" s="4">
        <v>0.18611111111111112</v>
      </c>
      <c r="H262" s="1" t="s">
        <v>334</v>
      </c>
      <c r="I262" s="1" t="s">
        <v>28</v>
      </c>
      <c r="J262" s="4">
        <v>0.4388888888888889</v>
      </c>
      <c r="K262" s="1" t="s">
        <v>157</v>
      </c>
      <c r="L262" s="1" t="s">
        <v>30</v>
      </c>
      <c r="M262" s="4">
        <v>0.6409722222222223</v>
      </c>
      <c r="N262" s="1" t="s">
        <v>331</v>
      </c>
      <c r="O262" s="1" t="s">
        <v>28</v>
      </c>
      <c r="P262" s="4">
        <v>0.9215277777777777</v>
      </c>
      <c r="Q262" s="1" t="s">
        <v>301</v>
      </c>
      <c r="R262" s="1">
        <f t="shared" si="1"/>
        <v>37</v>
      </c>
      <c r="S262" s="1">
        <f t="shared" si="2"/>
        <v>54</v>
      </c>
      <c r="T262" s="5">
        <f t="shared" si="3"/>
        <v>54</v>
      </c>
      <c r="U262" s="5" t="s">
        <v>39</v>
      </c>
    </row>
    <row r="263">
      <c r="A263" s="1" t="s">
        <v>498</v>
      </c>
      <c r="B263" s="2">
        <v>19.0</v>
      </c>
      <c r="C263" s="1" t="s">
        <v>41</v>
      </c>
      <c r="D263" s="1" t="s">
        <v>42</v>
      </c>
      <c r="E263" s="7" t="s">
        <v>184</v>
      </c>
      <c r="F263" s="1" t="s">
        <v>30</v>
      </c>
      <c r="G263" s="4">
        <v>0.25</v>
      </c>
      <c r="H263" s="1" t="s">
        <v>235</v>
      </c>
      <c r="I263" s="1" t="s">
        <v>330</v>
      </c>
      <c r="J263" s="4">
        <v>0.5458333333333333</v>
      </c>
      <c r="K263" s="1" t="s">
        <v>222</v>
      </c>
      <c r="L263" s="1" t="s">
        <v>330</v>
      </c>
      <c r="M263" s="4">
        <v>0.68125</v>
      </c>
      <c r="N263" s="1" t="s">
        <v>29</v>
      </c>
      <c r="O263" s="1" t="s">
        <v>28</v>
      </c>
      <c r="P263" s="4">
        <v>0.9798611111111111</v>
      </c>
      <c r="Q263" s="1" t="s">
        <v>192</v>
      </c>
      <c r="R263" s="1">
        <f t="shared" si="1"/>
        <v>24</v>
      </c>
      <c r="S263" s="1">
        <f t="shared" si="2"/>
        <v>36</v>
      </c>
      <c r="T263" s="5">
        <f t="shared" si="3"/>
        <v>36</v>
      </c>
      <c r="U263" s="5" t="s">
        <v>39</v>
      </c>
    </row>
    <row r="264">
      <c r="A264" s="1" t="s">
        <v>498</v>
      </c>
      <c r="B264" s="2">
        <v>20.0</v>
      </c>
      <c r="C264" s="1" t="s">
        <v>55</v>
      </c>
      <c r="D264" s="1" t="s">
        <v>42</v>
      </c>
      <c r="E264" s="3"/>
      <c r="F264" s="1" t="s">
        <v>30</v>
      </c>
      <c r="G264" s="4">
        <v>0.3486111111111111</v>
      </c>
      <c r="H264" s="1" t="s">
        <v>481</v>
      </c>
      <c r="I264" s="1" t="s">
        <v>28</v>
      </c>
      <c r="J264" s="4">
        <v>0.6368055555555555</v>
      </c>
      <c r="K264" s="1" t="s">
        <v>111</v>
      </c>
      <c r="L264" s="1" t="s">
        <v>30</v>
      </c>
      <c r="M264" s="4">
        <v>0.7881944444444444</v>
      </c>
      <c r="N264" s="1" t="s">
        <v>36</v>
      </c>
      <c r="R264" s="1">
        <f t="shared" si="1"/>
        <v>33</v>
      </c>
      <c r="S264" s="1">
        <f t="shared" si="2"/>
        <v>7</v>
      </c>
      <c r="T264" s="5">
        <f t="shared" si="3"/>
        <v>33</v>
      </c>
      <c r="U264" s="5" t="s">
        <v>39</v>
      </c>
    </row>
    <row r="265">
      <c r="A265" s="1" t="s">
        <v>498</v>
      </c>
      <c r="B265" s="2">
        <v>21.0</v>
      </c>
      <c r="C265" s="1" t="s">
        <v>25</v>
      </c>
      <c r="D265" s="6"/>
      <c r="E265" s="3"/>
      <c r="F265" s="1" t="s">
        <v>28</v>
      </c>
      <c r="G265" s="4">
        <v>0.06944444444444445</v>
      </c>
      <c r="H265" s="1" t="s">
        <v>192</v>
      </c>
      <c r="I265" s="1" t="s">
        <v>30</v>
      </c>
      <c r="J265" s="4">
        <v>0.3972222222222222</v>
      </c>
      <c r="K265" s="1" t="s">
        <v>236</v>
      </c>
      <c r="L265" s="1" t="s">
        <v>28</v>
      </c>
      <c r="M265" s="4">
        <v>0.6631944444444444</v>
      </c>
      <c r="N265" s="1" t="s">
        <v>176</v>
      </c>
      <c r="O265" s="1" t="s">
        <v>30</v>
      </c>
      <c r="P265" s="4">
        <v>0.8645833333333334</v>
      </c>
      <c r="Q265" s="1" t="s">
        <v>187</v>
      </c>
      <c r="R265" s="1">
        <f t="shared" si="1"/>
        <v>66</v>
      </c>
      <c r="S265" s="1">
        <f t="shared" si="2"/>
        <v>24</v>
      </c>
      <c r="T265" s="5">
        <f t="shared" si="3"/>
        <v>66</v>
      </c>
      <c r="U265" s="5" t="s">
        <v>39</v>
      </c>
    </row>
    <row r="266">
      <c r="A266" s="1" t="s">
        <v>498</v>
      </c>
      <c r="B266" s="2">
        <v>22.0</v>
      </c>
      <c r="C266" s="1" t="s">
        <v>75</v>
      </c>
      <c r="D266" s="6"/>
      <c r="E266" s="3"/>
      <c r="F266" s="1" t="s">
        <v>28</v>
      </c>
      <c r="G266" s="4">
        <v>0.12430555555555556</v>
      </c>
      <c r="H266" s="1" t="s">
        <v>135</v>
      </c>
      <c r="I266" s="1" t="s">
        <v>30</v>
      </c>
      <c r="J266" s="4">
        <v>0.42430555555555555</v>
      </c>
      <c r="K266" s="1" t="s">
        <v>191</v>
      </c>
      <c r="L266" s="1" t="s">
        <v>28</v>
      </c>
      <c r="M266" s="4">
        <v>0.68125</v>
      </c>
      <c r="N266" s="1" t="s">
        <v>218</v>
      </c>
      <c r="O266" s="1" t="s">
        <v>30</v>
      </c>
      <c r="P266" s="4">
        <v>0.9048611111111111</v>
      </c>
      <c r="Q266" s="1" t="s">
        <v>116</v>
      </c>
      <c r="R266" s="1">
        <f t="shared" si="1"/>
        <v>84</v>
      </c>
      <c r="S266" s="1">
        <f t="shared" si="2"/>
        <v>45</v>
      </c>
      <c r="T266" s="5">
        <f t="shared" si="3"/>
        <v>84</v>
      </c>
      <c r="U266" s="5" t="s">
        <v>39</v>
      </c>
    </row>
    <row r="267">
      <c r="A267" s="1" t="s">
        <v>498</v>
      </c>
      <c r="B267" s="2">
        <v>23.0</v>
      </c>
      <c r="C267" s="1" t="s">
        <v>86</v>
      </c>
      <c r="D267" s="6"/>
      <c r="E267" s="3"/>
      <c r="F267" s="1" t="s">
        <v>28</v>
      </c>
      <c r="G267" s="4">
        <v>0.15902777777777777</v>
      </c>
      <c r="H267" s="1" t="s">
        <v>337</v>
      </c>
      <c r="I267" s="1" t="s">
        <v>30</v>
      </c>
      <c r="J267" s="4">
        <v>0.4444444444444444</v>
      </c>
      <c r="K267" s="1" t="s">
        <v>224</v>
      </c>
      <c r="L267" s="1" t="s">
        <v>28</v>
      </c>
      <c r="M267" s="4">
        <v>0.6986111111111111</v>
      </c>
      <c r="N267" s="1" t="s">
        <v>179</v>
      </c>
      <c r="O267" s="1" t="s">
        <v>30</v>
      </c>
      <c r="P267" s="4">
        <v>0.9333333333333333</v>
      </c>
      <c r="Q267" s="1" t="s">
        <v>334</v>
      </c>
      <c r="R267" s="1">
        <f t="shared" si="1"/>
        <v>102</v>
      </c>
      <c r="S267" s="1">
        <f t="shared" si="2"/>
        <v>70</v>
      </c>
      <c r="T267" s="5">
        <f t="shared" si="3"/>
        <v>102</v>
      </c>
      <c r="U267" s="5" t="s">
        <v>90</v>
      </c>
    </row>
    <row r="268">
      <c r="A268" s="1" t="s">
        <v>498</v>
      </c>
      <c r="B268" s="2">
        <v>24.0</v>
      </c>
      <c r="C268" s="1" t="s">
        <v>26</v>
      </c>
      <c r="D268" s="6"/>
      <c r="E268" s="3"/>
      <c r="F268" s="1" t="s">
        <v>28</v>
      </c>
      <c r="G268" s="4">
        <v>0.18611111111111112</v>
      </c>
      <c r="H268" s="1" t="s">
        <v>338</v>
      </c>
      <c r="I268" s="1" t="s">
        <v>30</v>
      </c>
      <c r="J268" s="4">
        <v>0.46319444444444446</v>
      </c>
      <c r="K268" s="1" t="s">
        <v>134</v>
      </c>
      <c r="L268" s="1" t="s">
        <v>28</v>
      </c>
      <c r="M268" s="4">
        <v>0.7145833333333333</v>
      </c>
      <c r="N268" s="1" t="s">
        <v>147</v>
      </c>
      <c r="O268" s="1" t="s">
        <v>30</v>
      </c>
      <c r="P268" s="4">
        <v>0.9576388888888889</v>
      </c>
      <c r="Q268" s="1" t="s">
        <v>326</v>
      </c>
      <c r="R268" s="1">
        <f t="shared" si="1"/>
        <v>119</v>
      </c>
      <c r="S268" s="1">
        <f t="shared" si="2"/>
        <v>93</v>
      </c>
      <c r="T268" s="5">
        <f t="shared" si="3"/>
        <v>119</v>
      </c>
      <c r="U268" s="5" t="s">
        <v>90</v>
      </c>
    </row>
    <row r="269">
      <c r="A269" s="1" t="s">
        <v>498</v>
      </c>
      <c r="B269" s="2">
        <v>25.0</v>
      </c>
      <c r="C269" s="1" t="s">
        <v>34</v>
      </c>
      <c r="D269" s="1" t="s">
        <v>499</v>
      </c>
      <c r="E269" s="3"/>
      <c r="F269" s="1" t="s">
        <v>28</v>
      </c>
      <c r="G269" s="4">
        <v>0.21041666666666667</v>
      </c>
      <c r="H269" s="1" t="s">
        <v>497</v>
      </c>
      <c r="I269" s="1" t="s">
        <v>30</v>
      </c>
      <c r="J269" s="4">
        <v>0.48055555555555557</v>
      </c>
      <c r="K269" s="1" t="s">
        <v>37</v>
      </c>
      <c r="L269" s="1" t="s">
        <v>28</v>
      </c>
      <c r="M269" s="4">
        <v>0.73125</v>
      </c>
      <c r="N269" s="1" t="s">
        <v>38</v>
      </c>
      <c r="O269" s="1" t="s">
        <v>30</v>
      </c>
      <c r="P269" s="4">
        <v>0.98125</v>
      </c>
      <c r="Q269" s="1" t="s">
        <v>114</v>
      </c>
      <c r="R269" s="1">
        <f t="shared" si="1"/>
        <v>133</v>
      </c>
      <c r="S269" s="1">
        <f t="shared" si="2"/>
        <v>116</v>
      </c>
      <c r="T269" s="5">
        <f t="shared" si="3"/>
        <v>133</v>
      </c>
      <c r="U269" s="5" t="s">
        <v>47</v>
      </c>
    </row>
    <row r="270">
      <c r="A270" s="1" t="s">
        <v>498</v>
      </c>
      <c r="B270" s="2">
        <v>26.0</v>
      </c>
      <c r="C270" s="1" t="s">
        <v>41</v>
      </c>
      <c r="D270" s="1" t="s">
        <v>42</v>
      </c>
      <c r="E270" s="3"/>
      <c r="F270" s="1" t="s">
        <v>28</v>
      </c>
      <c r="G270" s="4">
        <v>0.23402777777777778</v>
      </c>
      <c r="H270" s="1" t="s">
        <v>488</v>
      </c>
      <c r="I270" s="1" t="s">
        <v>30</v>
      </c>
      <c r="J270" s="4">
        <v>0.4986111111111111</v>
      </c>
      <c r="K270" s="1" t="s">
        <v>277</v>
      </c>
      <c r="L270" s="1" t="s">
        <v>28</v>
      </c>
      <c r="M270" s="4">
        <v>0.7486111111111111</v>
      </c>
      <c r="N270" s="1" t="s">
        <v>59</v>
      </c>
      <c r="R270" s="1">
        <f t="shared" si="1"/>
        <v>139</v>
      </c>
      <c r="S270" s="1">
        <f t="shared" si="2"/>
        <v>74</v>
      </c>
      <c r="T270" s="5">
        <f t="shared" si="3"/>
        <v>139</v>
      </c>
      <c r="U270" s="5" t="s">
        <v>47</v>
      </c>
    </row>
    <row r="271">
      <c r="A271" s="1" t="s">
        <v>498</v>
      </c>
      <c r="B271" s="2">
        <v>27.0</v>
      </c>
      <c r="C271" s="1" t="s">
        <v>55</v>
      </c>
      <c r="D271" s="1" t="s">
        <v>42</v>
      </c>
      <c r="E271" s="7" t="s">
        <v>35</v>
      </c>
      <c r="F271" s="1" t="s">
        <v>30</v>
      </c>
      <c r="G271" s="4">
        <v>0.004861111111111111</v>
      </c>
      <c r="H271" s="1" t="s">
        <v>58</v>
      </c>
      <c r="I271" s="1" t="s">
        <v>28</v>
      </c>
      <c r="J271" s="4">
        <v>0.25833333333333336</v>
      </c>
      <c r="K271" s="1" t="s">
        <v>451</v>
      </c>
      <c r="L271" s="1" t="s">
        <v>30</v>
      </c>
      <c r="M271" s="4">
        <v>0.5166666666666667</v>
      </c>
      <c r="N271" s="1" t="s">
        <v>277</v>
      </c>
      <c r="O271" s="1" t="s">
        <v>28</v>
      </c>
      <c r="P271" s="4">
        <v>0.7673611111111112</v>
      </c>
      <c r="Q271" s="1" t="s">
        <v>488</v>
      </c>
      <c r="R271" s="1">
        <f t="shared" si="1"/>
        <v>146</v>
      </c>
      <c r="S271" s="1">
        <f t="shared" si="2"/>
        <v>139</v>
      </c>
      <c r="T271" s="5">
        <f t="shared" si="3"/>
        <v>146</v>
      </c>
      <c r="U271" s="5" t="s">
        <v>47</v>
      </c>
    </row>
    <row r="272">
      <c r="A272" s="1" t="s">
        <v>498</v>
      </c>
      <c r="B272" s="2">
        <v>28.0</v>
      </c>
      <c r="C272" s="1" t="s">
        <v>25</v>
      </c>
      <c r="D272" s="1" t="s">
        <v>500</v>
      </c>
      <c r="E272" s="3"/>
      <c r="F272" s="1" t="s">
        <v>30</v>
      </c>
      <c r="G272" s="4">
        <v>0.029861111111111113</v>
      </c>
      <c r="H272" s="1" t="s">
        <v>185</v>
      </c>
      <c r="I272" s="1" t="s">
        <v>28</v>
      </c>
      <c r="J272" s="4">
        <v>0.2826388888888889</v>
      </c>
      <c r="K272" s="1" t="s">
        <v>497</v>
      </c>
      <c r="L272" s="1" t="s">
        <v>30</v>
      </c>
      <c r="M272" s="4">
        <v>0.5347222222222222</v>
      </c>
      <c r="N272" s="1" t="s">
        <v>469</v>
      </c>
      <c r="O272" s="1" t="s">
        <v>28</v>
      </c>
      <c r="P272" s="4">
        <v>0.7875</v>
      </c>
      <c r="Q272" s="1" t="s">
        <v>484</v>
      </c>
      <c r="R272" s="1">
        <f t="shared" si="1"/>
        <v>149</v>
      </c>
      <c r="S272" s="1">
        <f t="shared" si="2"/>
        <v>140</v>
      </c>
      <c r="T272" s="5">
        <f t="shared" si="3"/>
        <v>149</v>
      </c>
      <c r="U272" s="5" t="s">
        <v>47</v>
      </c>
    </row>
    <row r="273">
      <c r="A273" s="1" t="s">
        <v>498</v>
      </c>
      <c r="B273" s="2">
        <v>29.0</v>
      </c>
      <c r="C273" s="1" t="s">
        <v>75</v>
      </c>
      <c r="D273" s="6"/>
      <c r="E273" s="3"/>
      <c r="F273" s="1" t="s">
        <v>30</v>
      </c>
      <c r="G273" s="4">
        <v>0.05555555555555555</v>
      </c>
      <c r="H273" s="1" t="s">
        <v>252</v>
      </c>
      <c r="I273" s="1" t="s">
        <v>28</v>
      </c>
      <c r="J273" s="4">
        <v>0.30833333333333335</v>
      </c>
      <c r="K273" s="1" t="s">
        <v>338</v>
      </c>
      <c r="L273" s="1" t="s">
        <v>30</v>
      </c>
      <c r="M273" s="4">
        <v>0.5541666666666667</v>
      </c>
      <c r="N273" s="1" t="s">
        <v>118</v>
      </c>
      <c r="O273" s="1" t="s">
        <v>28</v>
      </c>
      <c r="P273" s="4">
        <v>0.8097222222222222</v>
      </c>
      <c r="Q273" s="1" t="s">
        <v>484</v>
      </c>
      <c r="R273" s="1">
        <f t="shared" si="1"/>
        <v>144</v>
      </c>
      <c r="S273" s="1">
        <f t="shared" si="2"/>
        <v>135</v>
      </c>
      <c r="T273" s="5">
        <f t="shared" si="3"/>
        <v>144</v>
      </c>
      <c r="U273" s="5" t="s">
        <v>47</v>
      </c>
    </row>
    <row r="274">
      <c r="A274" s="1" t="s">
        <v>498</v>
      </c>
      <c r="B274" s="2">
        <v>30.0</v>
      </c>
      <c r="C274" s="1" t="s">
        <v>86</v>
      </c>
      <c r="D274" s="6"/>
      <c r="E274" s="3"/>
      <c r="F274" s="1" t="s">
        <v>30</v>
      </c>
      <c r="G274" s="4">
        <v>0.08333333333333333</v>
      </c>
      <c r="H274" s="1" t="s">
        <v>215</v>
      </c>
      <c r="I274" s="1" t="s">
        <v>28</v>
      </c>
      <c r="J274" s="4">
        <v>0.33541666666666664</v>
      </c>
      <c r="K274" s="1" t="s">
        <v>147</v>
      </c>
      <c r="L274" s="1" t="s">
        <v>30</v>
      </c>
      <c r="M274" s="4">
        <v>0.5736111111111111</v>
      </c>
      <c r="N274" s="1" t="s">
        <v>446</v>
      </c>
      <c r="O274" s="1" t="s">
        <v>28</v>
      </c>
      <c r="P274" s="4">
        <v>0.8340277777777778</v>
      </c>
      <c r="Q274" s="1" t="s">
        <v>488</v>
      </c>
      <c r="R274" s="1">
        <f t="shared" si="1"/>
        <v>128</v>
      </c>
      <c r="S274" s="1">
        <f t="shared" si="2"/>
        <v>123</v>
      </c>
      <c r="T274" s="5">
        <f t="shared" si="3"/>
        <v>128</v>
      </c>
      <c r="U274" s="5" t="s">
        <v>47</v>
      </c>
    </row>
    <row r="275">
      <c r="A275" s="1" t="s">
        <v>502</v>
      </c>
      <c r="B275" s="2">
        <v>1.0</v>
      </c>
      <c r="C275" s="1" t="s">
        <v>26</v>
      </c>
      <c r="D275" s="6"/>
      <c r="E275" s="3"/>
      <c r="F275" s="1" t="s">
        <v>30</v>
      </c>
      <c r="G275" s="4">
        <v>0.11458333333333333</v>
      </c>
      <c r="H275" s="1" t="s">
        <v>182</v>
      </c>
      <c r="I275" s="1" t="s">
        <v>28</v>
      </c>
      <c r="J275" s="4">
        <v>0.3659722222222222</v>
      </c>
      <c r="K275" s="1" t="s">
        <v>192</v>
      </c>
      <c r="L275" s="1" t="s">
        <v>30</v>
      </c>
      <c r="M275" s="4">
        <v>0.5951388888888889</v>
      </c>
      <c r="N275" s="1" t="s">
        <v>295</v>
      </c>
      <c r="O275" s="1" t="s">
        <v>28</v>
      </c>
      <c r="P275" s="4">
        <v>0.8618055555555556</v>
      </c>
      <c r="Q275" s="1" t="s">
        <v>59</v>
      </c>
      <c r="R275" s="1">
        <f t="shared" si="1"/>
        <v>105</v>
      </c>
      <c r="S275" s="1">
        <f t="shared" si="2"/>
        <v>106</v>
      </c>
      <c r="T275" s="5">
        <f t="shared" si="3"/>
        <v>106</v>
      </c>
      <c r="U275" s="5" t="s">
        <v>90</v>
      </c>
    </row>
    <row r="276">
      <c r="A276" s="1" t="s">
        <v>502</v>
      </c>
      <c r="B276" s="2">
        <v>2.0</v>
      </c>
      <c r="C276" s="1" t="s">
        <v>34</v>
      </c>
      <c r="D276" s="6"/>
      <c r="E276" s="3"/>
      <c r="F276" s="1" t="s">
        <v>30</v>
      </c>
      <c r="G276" s="4">
        <v>0.15347222222222223</v>
      </c>
      <c r="H276" s="1" t="s">
        <v>37</v>
      </c>
      <c r="I276" s="1" t="s">
        <v>28</v>
      </c>
      <c r="J276" s="4">
        <v>0.4048611111111111</v>
      </c>
      <c r="K276" s="1" t="s">
        <v>173</v>
      </c>
      <c r="L276" s="1" t="s">
        <v>30</v>
      </c>
      <c r="M276" s="4">
        <v>0.6201388888888889</v>
      </c>
      <c r="N276" s="1" t="s">
        <v>355</v>
      </c>
      <c r="O276" s="1" t="s">
        <v>28</v>
      </c>
      <c r="P276" s="4">
        <v>0.8972222222222223</v>
      </c>
      <c r="Q276" s="1" t="s">
        <v>78</v>
      </c>
      <c r="R276" s="1">
        <f t="shared" si="1"/>
        <v>76</v>
      </c>
      <c r="S276" s="1">
        <f t="shared" si="2"/>
        <v>83</v>
      </c>
      <c r="T276" s="5">
        <f t="shared" si="3"/>
        <v>83</v>
      </c>
      <c r="U276" s="5" t="s">
        <v>39</v>
      </c>
    </row>
    <row r="277">
      <c r="A277" s="1" t="s">
        <v>502</v>
      </c>
      <c r="B277" s="2">
        <v>3.0</v>
      </c>
      <c r="C277" s="1" t="s">
        <v>41</v>
      </c>
      <c r="D277" s="1" t="s">
        <v>42</v>
      </c>
      <c r="E277" s="7" t="s">
        <v>107</v>
      </c>
      <c r="F277" s="1" t="s">
        <v>30</v>
      </c>
      <c r="G277" s="4">
        <v>0.20694444444444443</v>
      </c>
      <c r="H277" s="1" t="s">
        <v>117</v>
      </c>
      <c r="I277" s="1" t="s">
        <v>28</v>
      </c>
      <c r="J277" s="4">
        <v>0.47152777777777777</v>
      </c>
      <c r="K277" s="1" t="s">
        <v>145</v>
      </c>
      <c r="L277" s="1" t="s">
        <v>30</v>
      </c>
      <c r="M277" s="4">
        <v>0.6576388888888889</v>
      </c>
      <c r="N277" s="1" t="s">
        <v>225</v>
      </c>
      <c r="O277" s="1" t="s">
        <v>28</v>
      </c>
      <c r="P277" s="4">
        <v>0.95</v>
      </c>
      <c r="Q277" s="1" t="s">
        <v>307</v>
      </c>
      <c r="R277" s="1">
        <f t="shared" si="1"/>
        <v>52</v>
      </c>
      <c r="S277" s="1">
        <f t="shared" si="2"/>
        <v>60</v>
      </c>
      <c r="T277" s="5">
        <f t="shared" si="3"/>
        <v>60</v>
      </c>
      <c r="U277" s="5" t="s">
        <v>39</v>
      </c>
    </row>
    <row r="278">
      <c r="A278" s="1" t="s">
        <v>502</v>
      </c>
      <c r="B278" s="2">
        <v>4.0</v>
      </c>
      <c r="C278" s="1" t="s">
        <v>55</v>
      </c>
      <c r="D278" s="1" t="s">
        <v>42</v>
      </c>
      <c r="E278" s="3"/>
      <c r="F278" s="1" t="s">
        <v>30</v>
      </c>
      <c r="G278" s="4">
        <v>0.28958333333333336</v>
      </c>
      <c r="H278" s="1" t="s">
        <v>127</v>
      </c>
      <c r="I278" s="1" t="s">
        <v>28</v>
      </c>
      <c r="J278" s="4">
        <v>0.575</v>
      </c>
      <c r="K278" s="1" t="s">
        <v>359</v>
      </c>
      <c r="L278" s="1" t="s">
        <v>30</v>
      </c>
      <c r="M278" s="4">
        <v>0.7444444444444445</v>
      </c>
      <c r="N278" s="1" t="s">
        <v>130</v>
      </c>
      <c r="R278" s="1">
        <f t="shared" si="1"/>
        <v>49</v>
      </c>
      <c r="S278" s="1">
        <f t="shared" si="2"/>
        <v>2</v>
      </c>
      <c r="T278" s="5">
        <f t="shared" si="3"/>
        <v>49</v>
      </c>
      <c r="U278" s="5" t="s">
        <v>39</v>
      </c>
    </row>
    <row r="279">
      <c r="A279" s="1" t="s">
        <v>502</v>
      </c>
      <c r="B279" s="2">
        <v>5.0</v>
      </c>
      <c r="C279" s="1" t="s">
        <v>25</v>
      </c>
      <c r="D279" s="6"/>
      <c r="E279" s="3"/>
      <c r="F279" s="1" t="s">
        <v>28</v>
      </c>
      <c r="G279" s="4">
        <v>0.03194444444444444</v>
      </c>
      <c r="H279" s="1" t="s">
        <v>335</v>
      </c>
      <c r="I279" s="1" t="s">
        <v>30</v>
      </c>
      <c r="J279" s="4">
        <v>0.35833333333333334</v>
      </c>
      <c r="K279" s="1" t="s">
        <v>223</v>
      </c>
      <c r="L279" s="1" t="s">
        <v>28</v>
      </c>
      <c r="M279" s="4">
        <v>0.6291666666666667</v>
      </c>
      <c r="N279" s="1" t="s">
        <v>296</v>
      </c>
      <c r="O279" s="1" t="s">
        <v>30</v>
      </c>
      <c r="P279" s="4">
        <v>0.8423611111111111</v>
      </c>
      <c r="Q279" s="1" t="s">
        <v>225</v>
      </c>
      <c r="R279" s="1">
        <f t="shared" si="1"/>
        <v>92</v>
      </c>
      <c r="S279" s="1">
        <f t="shared" si="2"/>
        <v>29</v>
      </c>
      <c r="T279" s="5">
        <f t="shared" si="3"/>
        <v>92</v>
      </c>
      <c r="U279" s="5" t="s">
        <v>90</v>
      </c>
    </row>
    <row r="280">
      <c r="A280" s="1" t="s">
        <v>502</v>
      </c>
      <c r="B280" s="2">
        <v>6.0</v>
      </c>
      <c r="C280" s="1" t="s">
        <v>75</v>
      </c>
      <c r="D280" s="6"/>
      <c r="E280" s="3"/>
      <c r="F280" s="1" t="s">
        <v>28</v>
      </c>
      <c r="G280" s="4">
        <v>0.10138888888888889</v>
      </c>
      <c r="H280" s="1" t="s">
        <v>267</v>
      </c>
      <c r="I280" s="1" t="s">
        <v>30</v>
      </c>
      <c r="J280" s="4">
        <v>0.3993055555555556</v>
      </c>
      <c r="K280" s="1" t="s">
        <v>469</v>
      </c>
      <c r="L280" s="1" t="s">
        <v>28</v>
      </c>
      <c r="M280" s="4">
        <v>0.6576388888888889</v>
      </c>
      <c r="N280" s="1" t="s">
        <v>100</v>
      </c>
      <c r="O280" s="1" t="s">
        <v>30</v>
      </c>
      <c r="P280" s="4">
        <v>0.8944444444444445</v>
      </c>
      <c r="Q280" s="1" t="s">
        <v>334</v>
      </c>
      <c r="R280" s="1">
        <f t="shared" si="1"/>
        <v>107</v>
      </c>
      <c r="S280" s="1">
        <f t="shared" si="2"/>
        <v>58</v>
      </c>
      <c r="T280" s="5">
        <f t="shared" si="3"/>
        <v>107</v>
      </c>
      <c r="U280" s="5" t="s">
        <v>90</v>
      </c>
    </row>
    <row r="281">
      <c r="A281" s="1" t="s">
        <v>502</v>
      </c>
      <c r="B281" s="2">
        <v>7.0</v>
      </c>
      <c r="C281" s="1" t="s">
        <v>86</v>
      </c>
      <c r="D281" s="6"/>
      <c r="E281" s="3"/>
      <c r="F281" s="1" t="s">
        <v>28</v>
      </c>
      <c r="G281" s="4">
        <v>0.14652777777777778</v>
      </c>
      <c r="H281" s="1" t="s">
        <v>167</v>
      </c>
      <c r="I281" s="1" t="s">
        <v>30</v>
      </c>
      <c r="J281" s="4">
        <v>0.42916666666666664</v>
      </c>
      <c r="K281" s="1" t="s">
        <v>45</v>
      </c>
      <c r="L281" s="1" t="s">
        <v>28</v>
      </c>
      <c r="M281" s="4">
        <v>0.6805555555555556</v>
      </c>
      <c r="N281" s="1" t="s">
        <v>335</v>
      </c>
      <c r="O281" s="1" t="s">
        <v>30</v>
      </c>
      <c r="P281" s="4">
        <v>0.9291666666666667</v>
      </c>
      <c r="Q281" s="1" t="s">
        <v>446</v>
      </c>
      <c r="R281" s="1">
        <f t="shared" si="1"/>
        <v>122</v>
      </c>
      <c r="S281" s="1">
        <f t="shared" si="2"/>
        <v>87</v>
      </c>
      <c r="T281" s="5">
        <f t="shared" si="3"/>
        <v>122</v>
      </c>
      <c r="U281" s="5" t="s">
        <v>90</v>
      </c>
    </row>
    <row r="282">
      <c r="A282" s="1" t="s">
        <v>502</v>
      </c>
      <c r="B282" s="2">
        <v>8.0</v>
      </c>
      <c r="C282" s="1" t="s">
        <v>26</v>
      </c>
      <c r="D282" s="6"/>
      <c r="E282" s="3"/>
      <c r="F282" s="1" t="s">
        <v>28</v>
      </c>
      <c r="G282" s="4">
        <v>0.18125</v>
      </c>
      <c r="H282" s="1" t="s">
        <v>412</v>
      </c>
      <c r="I282" s="1" t="s">
        <v>30</v>
      </c>
      <c r="J282" s="4">
        <v>0.4534722222222222</v>
      </c>
      <c r="K282" s="1" t="s">
        <v>110</v>
      </c>
      <c r="L282" s="1" t="s">
        <v>28</v>
      </c>
      <c r="M282" s="4">
        <v>0.7013888888888888</v>
      </c>
      <c r="N282" s="1" t="s">
        <v>388</v>
      </c>
      <c r="O282" s="1" t="s">
        <v>30</v>
      </c>
      <c r="P282" s="4">
        <v>0.9576388888888889</v>
      </c>
      <c r="Q282" s="1" t="s">
        <v>37</v>
      </c>
      <c r="R282" s="1">
        <f t="shared" si="1"/>
        <v>131</v>
      </c>
      <c r="S282" s="1">
        <f t="shared" si="2"/>
        <v>111</v>
      </c>
      <c r="T282" s="5">
        <f t="shared" si="3"/>
        <v>131</v>
      </c>
      <c r="U282" s="5" t="s">
        <v>47</v>
      </c>
    </row>
    <row r="283">
      <c r="A283" s="1" t="s">
        <v>502</v>
      </c>
      <c r="B283" s="2">
        <v>9.0</v>
      </c>
      <c r="C283" s="1" t="s">
        <v>34</v>
      </c>
      <c r="D283" s="1" t="s">
        <v>264</v>
      </c>
      <c r="E283" s="3"/>
      <c r="F283" s="1" t="s">
        <v>28</v>
      </c>
      <c r="G283" s="4">
        <v>0.2111111111111111</v>
      </c>
      <c r="H283" s="1" t="s">
        <v>205</v>
      </c>
      <c r="I283" s="1" t="s">
        <v>30</v>
      </c>
      <c r="J283" s="4">
        <v>0.47430555555555554</v>
      </c>
      <c r="K283" s="1" t="s">
        <v>186</v>
      </c>
      <c r="L283" s="1" t="s">
        <v>28</v>
      </c>
      <c r="M283" s="4">
        <v>0.7215277777777778</v>
      </c>
      <c r="N283" s="1" t="s">
        <v>38</v>
      </c>
      <c r="O283" s="1" t="s">
        <v>30</v>
      </c>
      <c r="P283" s="4">
        <v>0.9833333333333333</v>
      </c>
      <c r="Q283" s="1" t="s">
        <v>182</v>
      </c>
      <c r="R283" s="1">
        <f t="shared" si="1"/>
        <v>133</v>
      </c>
      <c r="S283" s="1">
        <f t="shared" si="2"/>
        <v>131</v>
      </c>
      <c r="T283" s="5">
        <f t="shared" si="3"/>
        <v>133</v>
      </c>
      <c r="U283" s="5" t="s">
        <v>47</v>
      </c>
    </row>
    <row r="284">
      <c r="A284" s="1" t="s">
        <v>502</v>
      </c>
      <c r="B284" s="2">
        <v>10.0</v>
      </c>
      <c r="C284" s="1" t="s">
        <v>41</v>
      </c>
      <c r="D284" s="1" t="s">
        <v>503</v>
      </c>
      <c r="E284" s="7" t="s">
        <v>143</v>
      </c>
      <c r="F284" s="1" t="s">
        <v>28</v>
      </c>
      <c r="G284" s="4">
        <v>0.23819444444444443</v>
      </c>
      <c r="H284" s="1" t="s">
        <v>67</v>
      </c>
      <c r="I284" s="1" t="s">
        <v>30</v>
      </c>
      <c r="J284" s="4">
        <v>0.4930555555555556</v>
      </c>
      <c r="K284" s="1" t="s">
        <v>277</v>
      </c>
      <c r="L284" s="1" t="s">
        <v>28</v>
      </c>
      <c r="M284" s="4">
        <v>0.7409722222222223</v>
      </c>
      <c r="N284" s="1" t="s">
        <v>67</v>
      </c>
      <c r="R284" s="1">
        <f t="shared" si="1"/>
        <v>128</v>
      </c>
      <c r="S284" s="1">
        <f t="shared" si="2"/>
        <v>71</v>
      </c>
      <c r="T284" s="5">
        <f t="shared" si="3"/>
        <v>128</v>
      </c>
      <c r="U284" s="5" t="s">
        <v>47</v>
      </c>
    </row>
    <row r="285">
      <c r="A285" s="1" t="s">
        <v>502</v>
      </c>
      <c r="B285" s="2">
        <v>11.0</v>
      </c>
      <c r="C285" s="1" t="s">
        <v>55</v>
      </c>
      <c r="D285" s="1" t="s">
        <v>42</v>
      </c>
      <c r="E285" s="3"/>
      <c r="F285" s="1" t="s">
        <v>30</v>
      </c>
      <c r="G285" s="4">
        <v>0.007638888888888889</v>
      </c>
      <c r="H285" s="1" t="s">
        <v>108</v>
      </c>
      <c r="I285" s="1" t="s">
        <v>28</v>
      </c>
      <c r="J285" s="4">
        <v>0.26319444444444445</v>
      </c>
      <c r="K285" s="1" t="s">
        <v>38</v>
      </c>
      <c r="L285" s="1" t="s">
        <v>30</v>
      </c>
      <c r="M285" s="4">
        <v>0.5104166666666666</v>
      </c>
      <c r="N285" s="1" t="s">
        <v>257</v>
      </c>
      <c r="O285" s="1" t="s">
        <v>28</v>
      </c>
      <c r="P285" s="4">
        <v>0.7604166666666666</v>
      </c>
      <c r="Q285" s="1" t="s">
        <v>59</v>
      </c>
      <c r="R285" s="1">
        <f t="shared" si="1"/>
        <v>137</v>
      </c>
      <c r="S285" s="1">
        <f t="shared" si="2"/>
        <v>127</v>
      </c>
      <c r="T285" s="5">
        <f t="shared" si="3"/>
        <v>137</v>
      </c>
      <c r="U285" s="5" t="s">
        <v>47</v>
      </c>
    </row>
    <row r="286">
      <c r="A286" s="1" t="s">
        <v>502</v>
      </c>
      <c r="B286" s="2">
        <v>12.0</v>
      </c>
      <c r="C286" s="1" t="s">
        <v>25</v>
      </c>
      <c r="D286" s="6"/>
      <c r="E286" s="3"/>
      <c r="F286" s="1" t="s">
        <v>30</v>
      </c>
      <c r="G286" s="4">
        <v>0.030555555555555555</v>
      </c>
      <c r="H286" s="1" t="s">
        <v>293</v>
      </c>
      <c r="I286" s="1" t="s">
        <v>28</v>
      </c>
      <c r="J286" s="4">
        <v>0.2875</v>
      </c>
      <c r="K286" s="1" t="s">
        <v>388</v>
      </c>
      <c r="L286" s="1" t="s">
        <v>30</v>
      </c>
      <c r="M286" s="4">
        <v>0.5270833333333333</v>
      </c>
      <c r="N286" s="1" t="s">
        <v>200</v>
      </c>
      <c r="O286" s="1" t="s">
        <v>28</v>
      </c>
      <c r="P286" s="4">
        <v>0.7798611111111111</v>
      </c>
      <c r="Q286" s="1" t="s">
        <v>59</v>
      </c>
      <c r="R286" s="1">
        <f t="shared" si="1"/>
        <v>130</v>
      </c>
      <c r="S286" s="1">
        <f t="shared" si="2"/>
        <v>122</v>
      </c>
      <c r="T286" s="5">
        <f t="shared" si="3"/>
        <v>130</v>
      </c>
      <c r="U286" s="5" t="s">
        <v>47</v>
      </c>
    </row>
    <row r="287">
      <c r="A287" s="1" t="s">
        <v>502</v>
      </c>
      <c r="B287" s="2">
        <v>13.0</v>
      </c>
      <c r="C287" s="1" t="s">
        <v>75</v>
      </c>
      <c r="D287" s="6"/>
      <c r="E287" s="3"/>
      <c r="F287" s="1" t="s">
        <v>30</v>
      </c>
      <c r="G287" s="4">
        <v>0.05347222222222222</v>
      </c>
      <c r="H287" s="1" t="s">
        <v>215</v>
      </c>
      <c r="I287" s="1" t="s">
        <v>28</v>
      </c>
      <c r="J287" s="4">
        <v>0.3104166666666667</v>
      </c>
      <c r="K287" s="1" t="s">
        <v>335</v>
      </c>
      <c r="L287" s="1" t="s">
        <v>30</v>
      </c>
      <c r="M287" s="4">
        <v>0.54375</v>
      </c>
      <c r="N287" s="1" t="s">
        <v>224</v>
      </c>
      <c r="O287" s="1" t="s">
        <v>28</v>
      </c>
      <c r="P287" s="4">
        <v>0.7986111111111112</v>
      </c>
      <c r="Q287" s="1" t="s">
        <v>67</v>
      </c>
      <c r="R287" s="1">
        <f t="shared" si="1"/>
        <v>119</v>
      </c>
      <c r="S287" s="1">
        <f t="shared" si="2"/>
        <v>114</v>
      </c>
      <c r="T287" s="5">
        <f t="shared" si="3"/>
        <v>119</v>
      </c>
      <c r="U287" s="5" t="s">
        <v>90</v>
      </c>
    </row>
    <row r="288">
      <c r="A288" s="1" t="s">
        <v>502</v>
      </c>
      <c r="B288" s="2">
        <v>14.0</v>
      </c>
      <c r="C288" s="1" t="s">
        <v>86</v>
      </c>
      <c r="D288" s="6"/>
      <c r="E288" s="3"/>
      <c r="F288" s="1" t="s">
        <v>30</v>
      </c>
      <c r="G288" s="4">
        <v>0.0763888888888889</v>
      </c>
      <c r="H288" s="1" t="s">
        <v>174</v>
      </c>
      <c r="I288" s="1" t="s">
        <v>28</v>
      </c>
      <c r="J288" s="4">
        <v>0.33402777777777776</v>
      </c>
      <c r="K288" s="1" t="s">
        <v>218</v>
      </c>
      <c r="L288" s="1" t="s">
        <v>30</v>
      </c>
      <c r="M288" s="4">
        <v>0.5611111111111111</v>
      </c>
      <c r="N288" s="1" t="s">
        <v>122</v>
      </c>
      <c r="O288" s="1" t="s">
        <v>28</v>
      </c>
      <c r="P288" s="4">
        <v>0.81875</v>
      </c>
      <c r="Q288" s="1" t="s">
        <v>385</v>
      </c>
      <c r="R288" s="1">
        <f t="shared" si="1"/>
        <v>102</v>
      </c>
      <c r="S288" s="1">
        <f t="shared" si="2"/>
        <v>103</v>
      </c>
      <c r="T288" s="5">
        <f t="shared" si="3"/>
        <v>103</v>
      </c>
      <c r="U288" s="5" t="s">
        <v>90</v>
      </c>
    </row>
    <row r="289">
      <c r="A289" s="1" t="s">
        <v>502</v>
      </c>
      <c r="B289" s="2">
        <v>15.0</v>
      </c>
      <c r="C289" s="1" t="s">
        <v>26</v>
      </c>
      <c r="D289" s="6"/>
      <c r="E289" s="3"/>
      <c r="F289" s="1" t="s">
        <v>30</v>
      </c>
      <c r="G289" s="4">
        <v>0.10069444444444445</v>
      </c>
      <c r="H289" s="1" t="s">
        <v>186</v>
      </c>
      <c r="I289" s="1" t="s">
        <v>28</v>
      </c>
      <c r="J289" s="4">
        <v>0.3576388888888889</v>
      </c>
      <c r="K289" s="1" t="s">
        <v>123</v>
      </c>
      <c r="L289" s="1" t="s">
        <v>30</v>
      </c>
      <c r="M289" s="4">
        <v>0.5791666666666667</v>
      </c>
      <c r="N289" s="1" t="s">
        <v>391</v>
      </c>
      <c r="O289" s="1" t="s">
        <v>28</v>
      </c>
      <c r="P289" s="4">
        <v>0.8402777777777778</v>
      </c>
      <c r="Q289" s="1" t="s">
        <v>337</v>
      </c>
      <c r="R289" s="1">
        <f t="shared" si="1"/>
        <v>83</v>
      </c>
      <c r="S289" s="1">
        <f t="shared" si="2"/>
        <v>89</v>
      </c>
      <c r="T289" s="5">
        <f t="shared" si="3"/>
        <v>89</v>
      </c>
      <c r="U289" s="5" t="s">
        <v>39</v>
      </c>
    </row>
    <row r="290">
      <c r="A290" s="1" t="s">
        <v>502</v>
      </c>
      <c r="B290" s="2">
        <v>16.0</v>
      </c>
      <c r="C290" s="1" t="s">
        <v>34</v>
      </c>
      <c r="D290" s="6"/>
      <c r="E290" s="3"/>
      <c r="F290" s="1" t="s">
        <v>30</v>
      </c>
      <c r="G290" s="4">
        <v>0.12708333333333333</v>
      </c>
      <c r="H290" s="1" t="s">
        <v>114</v>
      </c>
      <c r="I290" s="1" t="s">
        <v>28</v>
      </c>
      <c r="J290" s="4">
        <v>0.3854166666666667</v>
      </c>
      <c r="K290" s="1" t="s">
        <v>57</v>
      </c>
      <c r="L290" s="1" t="s">
        <v>30</v>
      </c>
      <c r="M290" s="4">
        <v>0.5986111111111111</v>
      </c>
      <c r="N290" s="1" t="s">
        <v>241</v>
      </c>
      <c r="O290" s="1" t="s">
        <v>28</v>
      </c>
      <c r="P290" s="4">
        <v>0.8652777777777778</v>
      </c>
      <c r="Q290" s="1" t="s">
        <v>265</v>
      </c>
      <c r="R290" s="1">
        <f t="shared" si="1"/>
        <v>64</v>
      </c>
      <c r="S290" s="1">
        <f t="shared" si="2"/>
        <v>73</v>
      </c>
      <c r="T290" s="5">
        <f t="shared" si="3"/>
        <v>73</v>
      </c>
      <c r="U290" s="5" t="s">
        <v>39</v>
      </c>
    </row>
    <row r="291">
      <c r="A291" s="1" t="s">
        <v>502</v>
      </c>
      <c r="B291" s="2">
        <v>17.0</v>
      </c>
      <c r="C291" s="1" t="s">
        <v>41</v>
      </c>
      <c r="D291" s="1" t="s">
        <v>42</v>
      </c>
      <c r="E291" s="3"/>
      <c r="F291" s="1" t="s">
        <v>30</v>
      </c>
      <c r="G291" s="4">
        <v>0.16041666666666668</v>
      </c>
      <c r="H291" s="1" t="s">
        <v>446</v>
      </c>
      <c r="I291" s="1" t="s">
        <v>28</v>
      </c>
      <c r="J291" s="4">
        <v>0.4263888888888889</v>
      </c>
      <c r="K291" s="1" t="s">
        <v>249</v>
      </c>
      <c r="L291" s="1" t="s">
        <v>30</v>
      </c>
      <c r="M291" s="4">
        <v>0.6222222222222222</v>
      </c>
      <c r="N291" s="1" t="s">
        <v>427</v>
      </c>
      <c r="O291" s="1" t="s">
        <v>28</v>
      </c>
      <c r="P291" s="4">
        <v>0.8958333333333334</v>
      </c>
      <c r="Q291" s="1" t="s">
        <v>131</v>
      </c>
      <c r="R291" s="1">
        <f t="shared" si="1"/>
        <v>45</v>
      </c>
      <c r="S291" s="1">
        <f t="shared" si="2"/>
        <v>55</v>
      </c>
      <c r="T291" s="5">
        <f t="shared" si="3"/>
        <v>55</v>
      </c>
      <c r="U291" s="5" t="s">
        <v>39</v>
      </c>
    </row>
    <row r="292">
      <c r="A292" s="1" t="s">
        <v>502</v>
      </c>
      <c r="B292" s="2">
        <v>18.0</v>
      </c>
      <c r="C292" s="1" t="s">
        <v>55</v>
      </c>
      <c r="D292" s="1" t="s">
        <v>42</v>
      </c>
      <c r="E292" s="3"/>
      <c r="F292" s="1" t="s">
        <v>30</v>
      </c>
      <c r="G292" s="4">
        <v>0.21041666666666667</v>
      </c>
      <c r="H292" s="1" t="s">
        <v>295</v>
      </c>
      <c r="I292" s="1" t="s">
        <v>28</v>
      </c>
      <c r="J292" s="4">
        <v>0.5097222222222222</v>
      </c>
      <c r="K292" s="1" t="s">
        <v>187</v>
      </c>
      <c r="L292" s="1" t="s">
        <v>30</v>
      </c>
      <c r="M292" s="4">
        <v>0.6659722222222222</v>
      </c>
      <c r="N292" s="1" t="s">
        <v>331</v>
      </c>
      <c r="O292" s="1" t="s">
        <v>28</v>
      </c>
      <c r="P292" s="4">
        <v>0.94375</v>
      </c>
      <c r="Q292" s="1" t="s">
        <v>128</v>
      </c>
      <c r="R292" s="1">
        <f t="shared" si="1"/>
        <v>32</v>
      </c>
      <c r="S292" s="1">
        <f t="shared" si="2"/>
        <v>38</v>
      </c>
      <c r="T292" s="5">
        <f t="shared" si="3"/>
        <v>38</v>
      </c>
      <c r="U292" s="5" t="s">
        <v>39</v>
      </c>
    </row>
    <row r="293">
      <c r="A293" s="1" t="s">
        <v>502</v>
      </c>
      <c r="B293" s="2">
        <v>19.0</v>
      </c>
      <c r="C293" s="1" t="s">
        <v>25</v>
      </c>
      <c r="D293" s="6"/>
      <c r="E293" s="7" t="s">
        <v>184</v>
      </c>
      <c r="F293" s="1" t="s">
        <v>30</v>
      </c>
      <c r="G293" s="4">
        <v>0.2916666666666667</v>
      </c>
      <c r="H293" s="1" t="s">
        <v>327</v>
      </c>
      <c r="I293" s="1" t="s">
        <v>28</v>
      </c>
      <c r="J293" s="4">
        <v>0.5868055555555556</v>
      </c>
      <c r="K293" s="1" t="s">
        <v>222</v>
      </c>
      <c r="L293" s="1" t="s">
        <v>30</v>
      </c>
      <c r="M293" s="4">
        <v>0.7597222222222222</v>
      </c>
      <c r="N293" s="1" t="s">
        <v>356</v>
      </c>
      <c r="R293" s="1">
        <f t="shared" si="1"/>
        <v>34</v>
      </c>
      <c r="S293" s="1">
        <f t="shared" si="2"/>
        <v>3</v>
      </c>
      <c r="T293" s="5">
        <f t="shared" si="3"/>
        <v>34</v>
      </c>
      <c r="U293" s="5" t="s">
        <v>39</v>
      </c>
    </row>
    <row r="294">
      <c r="A294" s="1" t="s">
        <v>502</v>
      </c>
      <c r="B294" s="2">
        <v>20.0</v>
      </c>
      <c r="C294" s="1" t="s">
        <v>75</v>
      </c>
      <c r="D294" s="6"/>
      <c r="E294" s="3"/>
      <c r="F294" s="1" t="s">
        <v>28</v>
      </c>
      <c r="G294" s="4">
        <v>0.02361111111111111</v>
      </c>
      <c r="H294" s="1" t="s">
        <v>189</v>
      </c>
      <c r="I294" s="1" t="s">
        <v>30</v>
      </c>
      <c r="J294" s="4">
        <v>0.35138888888888886</v>
      </c>
      <c r="K294" s="1" t="s">
        <v>250</v>
      </c>
      <c r="L294" s="1" t="s">
        <v>28</v>
      </c>
      <c r="M294" s="4">
        <v>0.6229166666666667</v>
      </c>
      <c r="N294" s="1" t="s">
        <v>77</v>
      </c>
      <c r="O294" s="1" t="s">
        <v>30</v>
      </c>
      <c r="P294" s="4">
        <v>0.8381944444444445</v>
      </c>
      <c r="Q294" s="1" t="s">
        <v>332</v>
      </c>
      <c r="R294" s="1">
        <f t="shared" si="1"/>
        <v>60</v>
      </c>
      <c r="S294" s="1">
        <f t="shared" si="2"/>
        <v>26</v>
      </c>
      <c r="T294" s="5">
        <f t="shared" si="3"/>
        <v>60</v>
      </c>
      <c r="U294" s="5" t="s">
        <v>39</v>
      </c>
    </row>
    <row r="295">
      <c r="A295" s="1" t="s">
        <v>502</v>
      </c>
      <c r="B295" s="2">
        <v>21.0</v>
      </c>
      <c r="C295" s="1" t="s">
        <v>86</v>
      </c>
      <c r="D295" s="6"/>
      <c r="E295" s="3"/>
      <c r="F295" s="1" t="s">
        <v>28</v>
      </c>
      <c r="G295" s="4">
        <v>0.08958333333333333</v>
      </c>
      <c r="H295" s="1" t="s">
        <v>100</v>
      </c>
      <c r="I295" s="1" t="s">
        <v>30</v>
      </c>
      <c r="J295" s="4">
        <v>0.38472222222222224</v>
      </c>
      <c r="K295" s="1" t="s">
        <v>120</v>
      </c>
      <c r="L295" s="1" t="s">
        <v>28</v>
      </c>
      <c r="M295" s="4">
        <v>0.6451388888888889</v>
      </c>
      <c r="N295" s="1" t="s">
        <v>181</v>
      </c>
      <c r="O295" s="1" t="s">
        <v>30</v>
      </c>
      <c r="P295" s="4">
        <v>0.8819444444444444</v>
      </c>
      <c r="Q295" s="1" t="s">
        <v>241</v>
      </c>
      <c r="R295" s="1">
        <f t="shared" si="1"/>
        <v>72</v>
      </c>
      <c r="S295" s="1">
        <f t="shared" si="2"/>
        <v>51</v>
      </c>
      <c r="T295" s="5">
        <f t="shared" si="3"/>
        <v>72</v>
      </c>
      <c r="U295" s="5" t="s">
        <v>39</v>
      </c>
    </row>
    <row r="296">
      <c r="A296" s="1" t="s">
        <v>502</v>
      </c>
      <c r="B296" s="2">
        <v>22.0</v>
      </c>
      <c r="C296" s="1" t="s">
        <v>26</v>
      </c>
      <c r="D296" s="6"/>
      <c r="E296" s="3"/>
      <c r="F296" s="1" t="s">
        <v>28</v>
      </c>
      <c r="G296" s="4">
        <v>0.12986111111111112</v>
      </c>
      <c r="H296" s="1" t="s">
        <v>251</v>
      </c>
      <c r="I296" s="1" t="s">
        <v>30</v>
      </c>
      <c r="J296" s="4">
        <v>0.4083333333333333</v>
      </c>
      <c r="K296" s="1" t="s">
        <v>223</v>
      </c>
      <c r="L296" s="1" t="s">
        <v>28</v>
      </c>
      <c r="M296" s="4">
        <v>0.6638888888888889</v>
      </c>
      <c r="N296" s="1" t="s">
        <v>192</v>
      </c>
      <c r="O296" s="1" t="s">
        <v>30</v>
      </c>
      <c r="P296" s="4">
        <v>0.9125</v>
      </c>
      <c r="Q296" s="1" t="s">
        <v>120</v>
      </c>
      <c r="R296" s="1">
        <f t="shared" si="1"/>
        <v>88</v>
      </c>
      <c r="S296" s="1">
        <f t="shared" si="2"/>
        <v>78</v>
      </c>
      <c r="T296" s="5">
        <f t="shared" si="3"/>
        <v>88</v>
      </c>
      <c r="U296" s="5" t="s">
        <v>39</v>
      </c>
    </row>
    <row r="297">
      <c r="A297" s="1" t="s">
        <v>502</v>
      </c>
      <c r="B297" s="2">
        <v>23.0</v>
      </c>
      <c r="C297" s="1" t="s">
        <v>34</v>
      </c>
      <c r="D297" s="6"/>
      <c r="E297" s="3"/>
      <c r="F297" s="1" t="s">
        <v>28</v>
      </c>
      <c r="G297" s="4">
        <v>0.16180555555555556</v>
      </c>
      <c r="H297" s="1" t="s">
        <v>265</v>
      </c>
      <c r="I297" s="1" t="s">
        <v>30</v>
      </c>
      <c r="J297" s="4">
        <v>0.42916666666666664</v>
      </c>
      <c r="K297" s="1" t="s">
        <v>114</v>
      </c>
      <c r="L297" s="1" t="s">
        <v>28</v>
      </c>
      <c r="M297" s="4">
        <v>0.6819444444444445</v>
      </c>
      <c r="N297" s="1" t="s">
        <v>307</v>
      </c>
      <c r="O297" s="1" t="s">
        <v>30</v>
      </c>
      <c r="P297" s="4">
        <v>0.9388888888888889</v>
      </c>
      <c r="Q297" s="1" t="s">
        <v>37</v>
      </c>
      <c r="R297" s="1">
        <f t="shared" si="1"/>
        <v>101</v>
      </c>
      <c r="S297" s="1">
        <f t="shared" si="2"/>
        <v>106</v>
      </c>
      <c r="T297" s="5">
        <f t="shared" si="3"/>
        <v>106</v>
      </c>
      <c r="U297" s="5" t="s">
        <v>90</v>
      </c>
    </row>
    <row r="298">
      <c r="A298" s="1" t="s">
        <v>502</v>
      </c>
      <c r="B298" s="2">
        <v>24.0</v>
      </c>
      <c r="C298" s="1" t="s">
        <v>41</v>
      </c>
      <c r="D298" s="1" t="s">
        <v>42</v>
      </c>
      <c r="E298" s="3"/>
      <c r="F298" s="1" t="s">
        <v>28</v>
      </c>
      <c r="G298" s="4">
        <v>0.18958333333333333</v>
      </c>
      <c r="H298" s="1" t="s">
        <v>410</v>
      </c>
      <c r="I298" s="1" t="s">
        <v>30</v>
      </c>
      <c r="J298" s="4">
        <v>0.4486111111111111</v>
      </c>
      <c r="K298" s="1" t="s">
        <v>146</v>
      </c>
      <c r="L298" s="1" t="s">
        <v>28</v>
      </c>
      <c r="M298" s="4">
        <v>0.7006944444444444</v>
      </c>
      <c r="N298" s="1" t="s">
        <v>167</v>
      </c>
      <c r="O298" s="1" t="s">
        <v>30</v>
      </c>
      <c r="P298" s="4">
        <v>0.9638888888888889</v>
      </c>
      <c r="Q298" s="1" t="s">
        <v>185</v>
      </c>
      <c r="R298" s="1">
        <f t="shared" si="1"/>
        <v>113</v>
      </c>
      <c r="S298" s="1">
        <f t="shared" si="2"/>
        <v>134</v>
      </c>
      <c r="T298" s="5">
        <f t="shared" si="3"/>
        <v>134</v>
      </c>
      <c r="U298" s="5" t="s">
        <v>47</v>
      </c>
    </row>
    <row r="299">
      <c r="A299" s="1" t="s">
        <v>502</v>
      </c>
      <c r="B299" s="2">
        <v>25.0</v>
      </c>
      <c r="C299" s="1" t="s">
        <v>55</v>
      </c>
      <c r="D299" s="1" t="s">
        <v>504</v>
      </c>
      <c r="E299" s="3"/>
      <c r="F299" s="1" t="s">
        <v>28</v>
      </c>
      <c r="G299" s="4">
        <v>0.21666666666666667</v>
      </c>
      <c r="H299" s="1" t="s">
        <v>158</v>
      </c>
      <c r="I299" s="1" t="s">
        <v>30</v>
      </c>
      <c r="J299" s="4">
        <v>0.46875</v>
      </c>
      <c r="K299" s="1" t="s">
        <v>99</v>
      </c>
      <c r="L299" s="1" t="s">
        <v>28</v>
      </c>
      <c r="M299" s="4">
        <v>0.7208333333333333</v>
      </c>
      <c r="N299" s="1" t="s">
        <v>205</v>
      </c>
      <c r="O299" s="1" t="s">
        <v>30</v>
      </c>
      <c r="P299" s="4">
        <v>0.9895833333333334</v>
      </c>
      <c r="Q299" s="1" t="s">
        <v>98</v>
      </c>
      <c r="R299" s="1">
        <f t="shared" si="1"/>
        <v>119</v>
      </c>
      <c r="S299" s="1">
        <f t="shared" si="2"/>
        <v>157</v>
      </c>
      <c r="T299" s="5">
        <f t="shared" si="3"/>
        <v>157</v>
      </c>
      <c r="U299" s="5" t="s">
        <v>47</v>
      </c>
    </row>
    <row r="300">
      <c r="A300" s="1" t="s">
        <v>502</v>
      </c>
      <c r="B300" s="2">
        <v>26.0</v>
      </c>
      <c r="C300" s="1" t="s">
        <v>25</v>
      </c>
      <c r="D300" s="1" t="s">
        <v>264</v>
      </c>
      <c r="E300" s="7" t="s">
        <v>35</v>
      </c>
      <c r="F300" s="1" t="s">
        <v>28</v>
      </c>
      <c r="G300" s="4">
        <v>0.24444444444444444</v>
      </c>
      <c r="H300" s="1" t="s">
        <v>378</v>
      </c>
      <c r="I300" s="1" t="s">
        <v>30</v>
      </c>
      <c r="J300" s="4">
        <v>0.4895833333333333</v>
      </c>
      <c r="K300" s="1" t="s">
        <v>99</v>
      </c>
      <c r="L300" s="1" t="s">
        <v>28</v>
      </c>
      <c r="M300" s="4">
        <v>0.7430555555555556</v>
      </c>
      <c r="N300" s="1" t="s">
        <v>493</v>
      </c>
      <c r="R300" s="1">
        <f t="shared" si="1"/>
        <v>118</v>
      </c>
      <c r="S300" s="1">
        <f t="shared" si="2"/>
        <v>81</v>
      </c>
      <c r="T300" s="5">
        <f t="shared" si="3"/>
        <v>118</v>
      </c>
      <c r="U300" s="5" t="s">
        <v>90</v>
      </c>
    </row>
    <row r="301">
      <c r="A301" s="1" t="s">
        <v>502</v>
      </c>
      <c r="B301" s="2">
        <v>27.0</v>
      </c>
      <c r="C301" s="1" t="s">
        <v>75</v>
      </c>
      <c r="D301" s="6"/>
      <c r="E301" s="3"/>
      <c r="F301" s="1" t="s">
        <v>30</v>
      </c>
      <c r="G301" s="4">
        <v>0.016666666666666666</v>
      </c>
      <c r="H301" s="1" t="s">
        <v>144</v>
      </c>
      <c r="I301" s="1" t="s">
        <v>28</v>
      </c>
      <c r="J301" s="4">
        <v>0.2722222222222222</v>
      </c>
      <c r="K301" s="1" t="s">
        <v>147</v>
      </c>
      <c r="L301" s="1" t="s">
        <v>30</v>
      </c>
      <c r="M301" s="4">
        <v>0.5111111111111111</v>
      </c>
      <c r="N301" s="1" t="s">
        <v>146</v>
      </c>
      <c r="O301" s="1" t="s">
        <v>28</v>
      </c>
      <c r="P301" s="4">
        <v>0.7666666666666667</v>
      </c>
      <c r="Q301" s="1" t="s">
        <v>473</v>
      </c>
      <c r="R301" s="1">
        <f t="shared" si="1"/>
        <v>147</v>
      </c>
      <c r="S301" s="1">
        <f t="shared" si="2"/>
        <v>140</v>
      </c>
      <c r="T301" s="5">
        <f t="shared" si="3"/>
        <v>147</v>
      </c>
      <c r="U301" s="5" t="s">
        <v>47</v>
      </c>
    </row>
    <row r="302">
      <c r="A302" s="1" t="s">
        <v>502</v>
      </c>
      <c r="B302" s="2">
        <v>28.0</v>
      </c>
      <c r="C302" s="1" t="s">
        <v>86</v>
      </c>
      <c r="D302" s="6"/>
      <c r="E302" s="3"/>
      <c r="F302" s="1" t="s">
        <v>30</v>
      </c>
      <c r="G302" s="4">
        <v>0.04583333333333333</v>
      </c>
      <c r="H302" s="1" t="s">
        <v>456</v>
      </c>
      <c r="I302" s="1" t="s">
        <v>28</v>
      </c>
      <c r="J302" s="4">
        <v>0.3013888888888889</v>
      </c>
      <c r="K302" s="1" t="s">
        <v>179</v>
      </c>
      <c r="L302" s="1" t="s">
        <v>30</v>
      </c>
      <c r="M302" s="4">
        <v>0.5333333333333333</v>
      </c>
      <c r="N302" s="1" t="s">
        <v>114</v>
      </c>
      <c r="O302" s="1" t="s">
        <v>28</v>
      </c>
      <c r="P302" s="4">
        <v>0.7930555555555555</v>
      </c>
      <c r="Q302" s="1" t="s">
        <v>451</v>
      </c>
      <c r="R302" s="1">
        <f t="shared" si="1"/>
        <v>140</v>
      </c>
      <c r="S302" s="1">
        <f t="shared" si="2"/>
        <v>134</v>
      </c>
      <c r="T302" s="5">
        <f t="shared" si="3"/>
        <v>140</v>
      </c>
      <c r="U302" s="5" t="s">
        <v>47</v>
      </c>
    </row>
    <row r="303">
      <c r="A303" s="1" t="s">
        <v>502</v>
      </c>
      <c r="B303" s="2">
        <v>29.0</v>
      </c>
      <c r="C303" s="1" t="s">
        <v>26</v>
      </c>
      <c r="D303" s="6"/>
      <c r="E303" s="3"/>
      <c r="F303" s="1" t="s">
        <v>30</v>
      </c>
      <c r="G303" s="4">
        <v>0.07708333333333334</v>
      </c>
      <c r="H303" s="1" t="s">
        <v>475</v>
      </c>
      <c r="I303" s="1" t="s">
        <v>28</v>
      </c>
      <c r="J303" s="4">
        <v>0.3333333333333333</v>
      </c>
      <c r="K303" s="1" t="s">
        <v>100</v>
      </c>
      <c r="L303" s="1" t="s">
        <v>30</v>
      </c>
      <c r="M303" s="4">
        <v>0.5576388888888889</v>
      </c>
      <c r="N303" s="1" t="s">
        <v>115</v>
      </c>
      <c r="O303" s="1" t="s">
        <v>28</v>
      </c>
      <c r="P303" s="4">
        <v>0.8222222222222222</v>
      </c>
      <c r="Q303" s="1" t="s">
        <v>346</v>
      </c>
      <c r="R303" s="1">
        <f t="shared" si="1"/>
        <v>124</v>
      </c>
      <c r="S303" s="1">
        <f t="shared" si="2"/>
        <v>122</v>
      </c>
      <c r="T303" s="5">
        <f t="shared" si="3"/>
        <v>124</v>
      </c>
      <c r="U303" s="5" t="s">
        <v>47</v>
      </c>
    </row>
    <row r="304">
      <c r="A304" s="1" t="s">
        <v>502</v>
      </c>
      <c r="B304" s="2">
        <v>30.0</v>
      </c>
      <c r="C304" s="1" t="s">
        <v>34</v>
      </c>
      <c r="D304" s="6"/>
      <c r="E304" s="3"/>
      <c r="F304" s="1" t="s">
        <v>30</v>
      </c>
      <c r="G304" s="4">
        <v>0.1125</v>
      </c>
      <c r="H304" s="1" t="s">
        <v>505</v>
      </c>
      <c r="I304" s="1" t="s">
        <v>28</v>
      </c>
      <c r="J304" s="4">
        <v>0.3701388888888889</v>
      </c>
      <c r="K304" s="1" t="s">
        <v>230</v>
      </c>
      <c r="L304" s="1" t="s">
        <v>30</v>
      </c>
      <c r="M304" s="4">
        <v>0.5854166666666667</v>
      </c>
      <c r="N304" s="1" t="s">
        <v>122</v>
      </c>
      <c r="O304" s="1" t="s">
        <v>28</v>
      </c>
      <c r="P304" s="4">
        <v>0.8555555555555555</v>
      </c>
      <c r="Q304" s="1" t="s">
        <v>385</v>
      </c>
      <c r="R304" s="1">
        <f t="shared" si="1"/>
        <v>102</v>
      </c>
      <c r="S304" s="1">
        <f t="shared" si="2"/>
        <v>103</v>
      </c>
      <c r="T304" s="5">
        <f t="shared" si="3"/>
        <v>103</v>
      </c>
      <c r="U304" s="5" t="s">
        <v>90</v>
      </c>
    </row>
    <row r="305">
      <c r="A305" s="1" t="s">
        <v>502</v>
      </c>
      <c r="B305" s="2">
        <v>31.0</v>
      </c>
      <c r="C305" s="1" t="s">
        <v>41</v>
      </c>
      <c r="D305" s="1" t="s">
        <v>42</v>
      </c>
      <c r="E305" s="3"/>
      <c r="F305" s="1" t="s">
        <v>30</v>
      </c>
      <c r="G305" s="4">
        <v>0.15555555555555556</v>
      </c>
      <c r="H305" s="1" t="s">
        <v>185</v>
      </c>
      <c r="I305" s="1" t="s">
        <v>28</v>
      </c>
      <c r="J305" s="4">
        <v>0.4173611111111111</v>
      </c>
      <c r="K305" s="1" t="s">
        <v>145</v>
      </c>
      <c r="L305" s="1" t="s">
        <v>30</v>
      </c>
      <c r="M305" s="4">
        <v>0.6208333333333333</v>
      </c>
      <c r="N305" s="1" t="s">
        <v>327</v>
      </c>
      <c r="O305" s="1" t="s">
        <v>28</v>
      </c>
      <c r="P305" s="4">
        <v>0.8965277777777778</v>
      </c>
      <c r="Q305" s="1" t="s">
        <v>267</v>
      </c>
      <c r="R305" s="1">
        <f t="shared" si="1"/>
        <v>79</v>
      </c>
      <c r="S305" s="1">
        <f t="shared" si="2"/>
        <v>81</v>
      </c>
      <c r="T305" s="5">
        <f t="shared" si="3"/>
        <v>81</v>
      </c>
      <c r="U305" s="5" t="s">
        <v>39</v>
      </c>
    </row>
    <row r="306">
      <c r="A306" s="1" t="s">
        <v>507</v>
      </c>
      <c r="B306" s="2">
        <v>1.0</v>
      </c>
      <c r="C306" s="1" t="s">
        <v>55</v>
      </c>
      <c r="D306" s="1" t="s">
        <v>42</v>
      </c>
      <c r="E306" s="3"/>
      <c r="F306" s="1" t="s">
        <v>30</v>
      </c>
      <c r="G306" s="4">
        <v>0.21041666666666667</v>
      </c>
      <c r="H306" s="1" t="s">
        <v>186</v>
      </c>
      <c r="I306" s="1" t="s">
        <v>28</v>
      </c>
      <c r="J306" s="4">
        <v>0.4826388888888889</v>
      </c>
      <c r="K306" s="1" t="s">
        <v>29</v>
      </c>
      <c r="L306" s="1" t="s">
        <v>30</v>
      </c>
      <c r="M306" s="4">
        <v>0.6770833333333334</v>
      </c>
      <c r="N306" s="1" t="s">
        <v>494</v>
      </c>
      <c r="O306" s="1" t="s">
        <v>28</v>
      </c>
      <c r="P306" s="4">
        <v>0.9520833333333333</v>
      </c>
      <c r="Q306" s="1" t="s">
        <v>292</v>
      </c>
      <c r="R306" s="1">
        <f t="shared" si="1"/>
        <v>63</v>
      </c>
      <c r="S306" s="1">
        <f t="shared" si="2"/>
        <v>61</v>
      </c>
      <c r="T306" s="5">
        <f t="shared" si="3"/>
        <v>63</v>
      </c>
      <c r="U306" s="5" t="s">
        <v>39</v>
      </c>
    </row>
    <row r="307">
      <c r="A307" s="1" t="s">
        <v>507</v>
      </c>
      <c r="B307" s="2">
        <v>2.0</v>
      </c>
      <c r="C307" s="1" t="s">
        <v>25</v>
      </c>
      <c r="D307" s="6"/>
      <c r="E307" s="7" t="s">
        <v>107</v>
      </c>
      <c r="F307" s="1" t="s">
        <v>30</v>
      </c>
      <c r="G307" s="4">
        <v>0.2763888888888889</v>
      </c>
      <c r="H307" s="1" t="s">
        <v>37</v>
      </c>
      <c r="I307" s="1" t="s">
        <v>28</v>
      </c>
      <c r="J307" s="4">
        <v>0.55</v>
      </c>
      <c r="K307" s="1" t="s">
        <v>36</v>
      </c>
      <c r="L307" s="1" t="s">
        <v>30</v>
      </c>
      <c r="M307" s="4">
        <v>0.7604166666666666</v>
      </c>
      <c r="N307" s="1" t="s">
        <v>481</v>
      </c>
      <c r="R307" s="1">
        <f t="shared" si="1"/>
        <v>62</v>
      </c>
      <c r="S307" s="1">
        <f t="shared" si="2"/>
        <v>19</v>
      </c>
      <c r="T307" s="5">
        <f t="shared" si="3"/>
        <v>62</v>
      </c>
      <c r="U307" s="5" t="s">
        <v>39</v>
      </c>
    </row>
    <row r="308">
      <c r="A308" s="1" t="s">
        <v>507</v>
      </c>
      <c r="B308" s="2">
        <v>3.0</v>
      </c>
      <c r="C308" s="1" t="s">
        <v>75</v>
      </c>
      <c r="D308" s="6"/>
      <c r="E308" s="3"/>
      <c r="F308" s="1" t="s">
        <v>28</v>
      </c>
      <c r="G308" s="4">
        <v>0.02361111111111111</v>
      </c>
      <c r="H308" s="1" t="s">
        <v>402</v>
      </c>
      <c r="I308" s="1" t="s">
        <v>30</v>
      </c>
      <c r="J308" s="4">
        <v>0.33055555555555555</v>
      </c>
      <c r="K308" s="1" t="s">
        <v>37</v>
      </c>
      <c r="L308" s="1" t="s">
        <v>28</v>
      </c>
      <c r="M308" s="4">
        <v>0.5958333333333333</v>
      </c>
      <c r="N308" s="1" t="s">
        <v>109</v>
      </c>
      <c r="O308" s="1" t="s">
        <v>30</v>
      </c>
      <c r="P308" s="4">
        <v>0.8361111111111111</v>
      </c>
      <c r="Q308" s="1" t="s">
        <v>480</v>
      </c>
      <c r="R308" s="1">
        <f t="shared" si="1"/>
        <v>90</v>
      </c>
      <c r="S308" s="1">
        <f t="shared" si="2"/>
        <v>46</v>
      </c>
      <c r="T308" s="5">
        <f t="shared" si="3"/>
        <v>90</v>
      </c>
      <c r="U308" s="5" t="s">
        <v>39</v>
      </c>
    </row>
    <row r="309">
      <c r="A309" s="1" t="s">
        <v>507</v>
      </c>
      <c r="B309" s="2">
        <v>4.0</v>
      </c>
      <c r="C309" s="1" t="s">
        <v>86</v>
      </c>
      <c r="D309" s="6"/>
      <c r="E309" s="3"/>
      <c r="F309" s="1" t="s">
        <v>28</v>
      </c>
      <c r="G309" s="4">
        <v>0.08611111111111111</v>
      </c>
      <c r="H309" s="1" t="s">
        <v>402</v>
      </c>
      <c r="I309" s="1" t="s">
        <v>30</v>
      </c>
      <c r="J309" s="4">
        <v>0.3701388888888889</v>
      </c>
      <c r="K309" s="1" t="s">
        <v>146</v>
      </c>
      <c r="L309" s="1" t="s">
        <v>28</v>
      </c>
      <c r="M309" s="4">
        <v>0.6270833333333333</v>
      </c>
      <c r="N309" s="1" t="s">
        <v>181</v>
      </c>
      <c r="O309" s="1" t="s">
        <v>30</v>
      </c>
      <c r="P309" s="4">
        <v>0.8840277777777777</v>
      </c>
      <c r="Q309" s="1" t="s">
        <v>117</v>
      </c>
      <c r="R309" s="1">
        <f t="shared" si="1"/>
        <v>91</v>
      </c>
      <c r="S309" s="1">
        <f t="shared" si="2"/>
        <v>72</v>
      </c>
      <c r="T309" s="5">
        <f t="shared" si="3"/>
        <v>91</v>
      </c>
      <c r="U309" s="5" t="s">
        <v>90</v>
      </c>
    </row>
    <row r="310">
      <c r="A310" s="1" t="s">
        <v>507</v>
      </c>
      <c r="B310" s="2">
        <v>5.0</v>
      </c>
      <c r="C310" s="1" t="s">
        <v>26</v>
      </c>
      <c r="D310" s="6"/>
      <c r="E310" s="3"/>
      <c r="F310" s="1" t="s">
        <v>28</v>
      </c>
      <c r="G310" s="4">
        <v>0.13194444444444445</v>
      </c>
      <c r="H310" s="1" t="s">
        <v>262</v>
      </c>
      <c r="I310" s="1" t="s">
        <v>30</v>
      </c>
      <c r="J310" s="4">
        <v>0.40069444444444446</v>
      </c>
      <c r="K310" s="1" t="s">
        <v>146</v>
      </c>
      <c r="L310" s="1" t="s">
        <v>28</v>
      </c>
      <c r="M310" s="4">
        <v>0.6520833333333333</v>
      </c>
      <c r="N310" s="1" t="s">
        <v>192</v>
      </c>
      <c r="O310" s="1" t="s">
        <v>30</v>
      </c>
      <c r="P310" s="4">
        <v>0.91875</v>
      </c>
      <c r="Q310" s="1" t="s">
        <v>99</v>
      </c>
      <c r="R310" s="1">
        <f t="shared" si="1"/>
        <v>94</v>
      </c>
      <c r="S310" s="1">
        <f t="shared" si="2"/>
        <v>97</v>
      </c>
      <c r="T310" s="5">
        <f t="shared" si="3"/>
        <v>97</v>
      </c>
      <c r="U310" s="5" t="s">
        <v>90</v>
      </c>
    </row>
    <row r="311">
      <c r="A311" s="1" t="s">
        <v>507</v>
      </c>
      <c r="B311" s="2">
        <v>6.0</v>
      </c>
      <c r="C311" s="1" t="s">
        <v>34</v>
      </c>
      <c r="D311" s="6"/>
      <c r="E311" s="3"/>
      <c r="F311" s="1" t="s">
        <v>28</v>
      </c>
      <c r="G311" s="4">
        <v>0.16875</v>
      </c>
      <c r="H311" s="1" t="s">
        <v>131</v>
      </c>
      <c r="I311" s="1" t="s">
        <v>30</v>
      </c>
      <c r="J311" s="4">
        <v>0.425</v>
      </c>
      <c r="K311" s="1" t="s">
        <v>146</v>
      </c>
      <c r="L311" s="1" t="s">
        <v>28</v>
      </c>
      <c r="M311" s="4">
        <v>0.6756944444444445</v>
      </c>
      <c r="N311" s="1" t="s">
        <v>135</v>
      </c>
      <c r="O311" s="1" t="s">
        <v>30</v>
      </c>
      <c r="P311" s="4">
        <v>0.9479166666666666</v>
      </c>
      <c r="Q311" s="1" t="s">
        <v>314</v>
      </c>
      <c r="R311" s="1">
        <f t="shared" si="1"/>
        <v>96</v>
      </c>
      <c r="S311" s="1">
        <f t="shared" si="2"/>
        <v>118</v>
      </c>
      <c r="T311" s="5">
        <f t="shared" si="3"/>
        <v>118</v>
      </c>
      <c r="U311" s="5" t="s">
        <v>90</v>
      </c>
    </row>
    <row r="312">
      <c r="A312" s="1" t="s">
        <v>507</v>
      </c>
      <c r="B312" s="2">
        <v>7.0</v>
      </c>
      <c r="C312" s="1" t="s">
        <v>41</v>
      </c>
      <c r="D312" s="1" t="s">
        <v>42</v>
      </c>
      <c r="E312" s="3"/>
      <c r="F312" s="1" t="s">
        <v>28</v>
      </c>
      <c r="G312" s="4">
        <v>0.2</v>
      </c>
      <c r="H312" s="1" t="s">
        <v>131</v>
      </c>
      <c r="I312" s="1" t="s">
        <v>30</v>
      </c>
      <c r="J312" s="4">
        <v>0.4465277777777778</v>
      </c>
      <c r="K312" s="1" t="s">
        <v>37</v>
      </c>
      <c r="L312" s="1" t="s">
        <v>28</v>
      </c>
      <c r="M312" s="4">
        <v>0.6972222222222222</v>
      </c>
      <c r="N312" s="1" t="s">
        <v>147</v>
      </c>
      <c r="O312" s="1" t="s">
        <v>30</v>
      </c>
      <c r="P312" s="4">
        <v>0.9736111111111111</v>
      </c>
      <c r="Q312" s="1" t="s">
        <v>302</v>
      </c>
      <c r="R312" s="1">
        <f t="shared" si="1"/>
        <v>95</v>
      </c>
      <c r="S312" s="1">
        <f t="shared" si="2"/>
        <v>134</v>
      </c>
      <c r="T312" s="5">
        <f t="shared" si="3"/>
        <v>134</v>
      </c>
      <c r="U312" s="5" t="s">
        <v>47</v>
      </c>
    </row>
    <row r="313">
      <c r="A313" s="1" t="s">
        <v>507</v>
      </c>
      <c r="B313" s="2">
        <v>8.0</v>
      </c>
      <c r="C313" s="1" t="s">
        <v>55</v>
      </c>
      <c r="D313" s="1" t="s">
        <v>42</v>
      </c>
      <c r="E313" s="3"/>
      <c r="F313" s="1" t="s">
        <v>28</v>
      </c>
      <c r="G313" s="4">
        <v>0.22847222222222222</v>
      </c>
      <c r="H313" s="1" t="s">
        <v>262</v>
      </c>
      <c r="I313" s="1" t="s">
        <v>30</v>
      </c>
      <c r="J313" s="4">
        <v>0.46597222222222223</v>
      </c>
      <c r="K313" s="1" t="s">
        <v>469</v>
      </c>
      <c r="L313" s="1" t="s">
        <v>28</v>
      </c>
      <c r="M313" s="4">
        <v>0.71875</v>
      </c>
      <c r="N313" s="1" t="s">
        <v>337</v>
      </c>
      <c r="O313" s="1" t="s">
        <v>30</v>
      </c>
      <c r="P313" s="4">
        <v>0.9972222222222222</v>
      </c>
      <c r="Q313" s="1" t="s">
        <v>300</v>
      </c>
      <c r="R313" s="1">
        <f t="shared" si="1"/>
        <v>92</v>
      </c>
      <c r="S313" s="1">
        <f t="shared" si="2"/>
        <v>144</v>
      </c>
      <c r="T313" s="5">
        <f t="shared" si="3"/>
        <v>144</v>
      </c>
      <c r="U313" s="5" t="s">
        <v>47</v>
      </c>
    </row>
    <row r="314">
      <c r="A314" s="1" t="s">
        <v>507</v>
      </c>
      <c r="B314" s="2">
        <v>9.0</v>
      </c>
      <c r="C314" s="1" t="s">
        <v>25</v>
      </c>
      <c r="D314" s="6"/>
      <c r="E314" s="7" t="s">
        <v>143</v>
      </c>
      <c r="F314" s="1" t="s">
        <v>28</v>
      </c>
      <c r="G314" s="4">
        <v>0.2548611111111111</v>
      </c>
      <c r="H314" s="1" t="s">
        <v>100</v>
      </c>
      <c r="I314" s="1" t="s">
        <v>30</v>
      </c>
      <c r="J314" s="4">
        <v>0.48541666666666666</v>
      </c>
      <c r="K314" s="1" t="s">
        <v>257</v>
      </c>
      <c r="L314" s="1" t="s">
        <v>28</v>
      </c>
      <c r="M314" s="4">
        <v>0.7395833333333334</v>
      </c>
      <c r="N314" s="1" t="s">
        <v>78</v>
      </c>
      <c r="R314" s="1">
        <f t="shared" si="1"/>
        <v>86</v>
      </c>
      <c r="S314" s="1">
        <f t="shared" si="2"/>
        <v>62</v>
      </c>
      <c r="T314" s="5">
        <f t="shared" si="3"/>
        <v>86</v>
      </c>
      <c r="U314" s="5" t="s">
        <v>39</v>
      </c>
    </row>
    <row r="315">
      <c r="A315" s="1" t="s">
        <v>507</v>
      </c>
      <c r="B315" s="2">
        <v>10.0</v>
      </c>
      <c r="C315" s="1" t="s">
        <v>75</v>
      </c>
      <c r="D315" s="6"/>
      <c r="E315" s="3"/>
      <c r="F315" s="1" t="s">
        <v>30</v>
      </c>
      <c r="G315" s="4">
        <v>0.02013888888888889</v>
      </c>
      <c r="H315" s="1" t="s">
        <v>260</v>
      </c>
      <c r="I315" s="1" t="s">
        <v>28</v>
      </c>
      <c r="J315" s="4">
        <v>0.2798611111111111</v>
      </c>
      <c r="K315" s="1" t="s">
        <v>181</v>
      </c>
      <c r="L315" s="1" t="s">
        <v>30</v>
      </c>
      <c r="M315" s="4">
        <v>0.5041666666666667</v>
      </c>
      <c r="N315" s="1" t="s">
        <v>114</v>
      </c>
      <c r="O315" s="1" t="s">
        <v>28</v>
      </c>
      <c r="P315" s="4">
        <v>0.7604166666666666</v>
      </c>
      <c r="Q315" s="1" t="s">
        <v>78</v>
      </c>
      <c r="R315" s="1">
        <f t="shared" si="1"/>
        <v>115</v>
      </c>
      <c r="S315" s="1">
        <f t="shared" si="2"/>
        <v>113</v>
      </c>
      <c r="T315" s="5">
        <f t="shared" si="3"/>
        <v>115</v>
      </c>
      <c r="U315" s="5" t="s">
        <v>90</v>
      </c>
    </row>
    <row r="316">
      <c r="A316" s="1" t="s">
        <v>507</v>
      </c>
      <c r="B316" s="2">
        <v>11.0</v>
      </c>
      <c r="C316" s="1" t="s">
        <v>86</v>
      </c>
      <c r="D316" s="6"/>
      <c r="E316" s="3"/>
      <c r="F316" s="1" t="s">
        <v>30</v>
      </c>
      <c r="G316" s="4">
        <v>0.043055555555555555</v>
      </c>
      <c r="H316" s="1" t="s">
        <v>260</v>
      </c>
      <c r="I316" s="1" t="s">
        <v>28</v>
      </c>
      <c r="J316" s="4">
        <v>0.3034722222222222</v>
      </c>
      <c r="K316" s="1" t="s">
        <v>256</v>
      </c>
      <c r="L316" s="1" t="s">
        <v>30</v>
      </c>
      <c r="M316" s="4">
        <v>0.5243055555555556</v>
      </c>
      <c r="N316" s="1" t="s">
        <v>118</v>
      </c>
      <c r="O316" s="1" t="s">
        <v>28</v>
      </c>
      <c r="P316" s="4">
        <v>0.7819444444444444</v>
      </c>
      <c r="Q316" s="1" t="s">
        <v>378</v>
      </c>
      <c r="R316" s="1">
        <f t="shared" si="1"/>
        <v>109</v>
      </c>
      <c r="S316" s="1">
        <f t="shared" si="2"/>
        <v>109</v>
      </c>
      <c r="T316" s="5">
        <f t="shared" si="3"/>
        <v>109</v>
      </c>
      <c r="U316" s="5" t="s">
        <v>90</v>
      </c>
    </row>
    <row r="317">
      <c r="A317" s="1" t="s">
        <v>507</v>
      </c>
      <c r="B317" s="2">
        <v>12.0</v>
      </c>
      <c r="C317" s="1" t="s">
        <v>26</v>
      </c>
      <c r="D317" s="6"/>
      <c r="E317" s="3"/>
      <c r="F317" s="1" t="s">
        <v>30</v>
      </c>
      <c r="G317" s="4">
        <v>0.06597222222222222</v>
      </c>
      <c r="H317" s="1" t="s">
        <v>98</v>
      </c>
      <c r="I317" s="1" t="s">
        <v>28</v>
      </c>
      <c r="J317" s="4">
        <v>0.3277777777777778</v>
      </c>
      <c r="K317" s="1" t="s">
        <v>65</v>
      </c>
      <c r="L317" s="1" t="s">
        <v>30</v>
      </c>
      <c r="M317" s="4">
        <v>0.5444444444444444</v>
      </c>
      <c r="N317" s="1" t="s">
        <v>223</v>
      </c>
      <c r="O317" s="1" t="s">
        <v>28</v>
      </c>
      <c r="P317" s="4">
        <v>0.8034722222222223</v>
      </c>
      <c r="Q317" s="1" t="s">
        <v>388</v>
      </c>
      <c r="R317" s="1">
        <f t="shared" si="1"/>
        <v>99</v>
      </c>
      <c r="S317" s="1">
        <f t="shared" si="2"/>
        <v>102</v>
      </c>
      <c r="T317" s="5">
        <f t="shared" si="3"/>
        <v>102</v>
      </c>
      <c r="U317" s="5" t="s">
        <v>90</v>
      </c>
    </row>
    <row r="318">
      <c r="A318" s="1" t="s">
        <v>507</v>
      </c>
      <c r="B318" s="2">
        <v>13.0</v>
      </c>
      <c r="C318" s="1" t="s">
        <v>34</v>
      </c>
      <c r="D318" s="6"/>
      <c r="E318" s="3"/>
      <c r="F318" s="1" t="s">
        <v>30</v>
      </c>
      <c r="G318" s="4">
        <v>0.08958333333333333</v>
      </c>
      <c r="H318" s="1" t="s">
        <v>129</v>
      </c>
      <c r="I318" s="1" t="s">
        <v>28</v>
      </c>
      <c r="J318" s="4">
        <v>0.3527777777777778</v>
      </c>
      <c r="K318" s="1" t="s">
        <v>359</v>
      </c>
      <c r="L318" s="1" t="s">
        <v>30</v>
      </c>
      <c r="M318" s="4">
        <v>0.5659722222222222</v>
      </c>
      <c r="N318" s="1" t="s">
        <v>333</v>
      </c>
      <c r="O318" s="1" t="s">
        <v>28</v>
      </c>
      <c r="P318" s="4">
        <v>0.8270833333333333</v>
      </c>
      <c r="Q318" s="1" t="s">
        <v>265</v>
      </c>
      <c r="R318" s="1">
        <f t="shared" si="1"/>
        <v>87</v>
      </c>
      <c r="S318" s="1">
        <f t="shared" si="2"/>
        <v>92</v>
      </c>
      <c r="T318" s="5">
        <f t="shared" si="3"/>
        <v>92</v>
      </c>
      <c r="U318" s="5" t="s">
        <v>90</v>
      </c>
    </row>
    <row r="319">
      <c r="A319" s="1" t="s">
        <v>507</v>
      </c>
      <c r="B319" s="2">
        <v>14.0</v>
      </c>
      <c r="C319" s="1" t="s">
        <v>41</v>
      </c>
      <c r="D319" s="1" t="s">
        <v>42</v>
      </c>
      <c r="E319" s="3"/>
      <c r="F319" s="1" t="s">
        <v>30</v>
      </c>
      <c r="G319" s="4">
        <v>0.11527777777777778</v>
      </c>
      <c r="H319" s="1" t="s">
        <v>314</v>
      </c>
      <c r="I319" s="1" t="s">
        <v>28</v>
      </c>
      <c r="J319" s="4">
        <v>0.38055555555555554</v>
      </c>
      <c r="K319" s="1" t="s">
        <v>29</v>
      </c>
      <c r="L319" s="1" t="s">
        <v>30</v>
      </c>
      <c r="M319" s="4">
        <v>0.5895833333333333</v>
      </c>
      <c r="N319" s="1" t="s">
        <v>191</v>
      </c>
      <c r="O319" s="1" t="s">
        <v>28</v>
      </c>
      <c r="P319" s="4">
        <v>0.8527777777777777</v>
      </c>
      <c r="Q319" s="1" t="s">
        <v>251</v>
      </c>
      <c r="R319" s="1">
        <f t="shared" si="1"/>
        <v>73</v>
      </c>
      <c r="S319" s="1">
        <f t="shared" si="2"/>
        <v>78</v>
      </c>
      <c r="T319" s="5">
        <f t="shared" si="3"/>
        <v>78</v>
      </c>
      <c r="U319" s="5" t="s">
        <v>39</v>
      </c>
    </row>
    <row r="320">
      <c r="A320" s="1" t="s">
        <v>507</v>
      </c>
      <c r="B320" s="2">
        <v>15.0</v>
      </c>
      <c r="C320" s="1" t="s">
        <v>55</v>
      </c>
      <c r="D320" s="1" t="s">
        <v>42</v>
      </c>
      <c r="E320" s="3"/>
      <c r="F320" s="1" t="s">
        <v>30</v>
      </c>
      <c r="G320" s="4">
        <v>0.14444444444444443</v>
      </c>
      <c r="H320" s="1" t="s">
        <v>110</v>
      </c>
      <c r="I320" s="1" t="s">
        <v>28</v>
      </c>
      <c r="J320" s="4">
        <v>0.4152777777777778</v>
      </c>
      <c r="K320" s="1" t="s">
        <v>130</v>
      </c>
      <c r="L320" s="1" t="s">
        <v>30</v>
      </c>
      <c r="M320" s="4">
        <v>0.61875</v>
      </c>
      <c r="N320" s="1" t="s">
        <v>391</v>
      </c>
      <c r="O320" s="1" t="s">
        <v>28</v>
      </c>
      <c r="P320" s="4">
        <v>0.8826388888888889</v>
      </c>
      <c r="Q320" s="1" t="s">
        <v>218</v>
      </c>
      <c r="R320" s="1">
        <f t="shared" si="1"/>
        <v>59</v>
      </c>
      <c r="S320" s="1">
        <f t="shared" si="2"/>
        <v>64</v>
      </c>
      <c r="T320" s="5">
        <f t="shared" si="3"/>
        <v>64</v>
      </c>
      <c r="U320" s="5" t="s">
        <v>39</v>
      </c>
    </row>
    <row r="321">
      <c r="A321" s="1" t="s">
        <v>507</v>
      </c>
      <c r="B321" s="2">
        <v>16.0</v>
      </c>
      <c r="C321" s="1" t="s">
        <v>25</v>
      </c>
      <c r="D321" s="6"/>
      <c r="E321" s="3"/>
      <c r="F321" s="1" t="s">
        <v>30</v>
      </c>
      <c r="G321" s="4">
        <v>0.18125</v>
      </c>
      <c r="H321" s="1" t="s">
        <v>257</v>
      </c>
      <c r="I321" s="1" t="s">
        <v>28</v>
      </c>
      <c r="J321" s="4">
        <v>0.46458333333333335</v>
      </c>
      <c r="K321" s="1" t="s">
        <v>278</v>
      </c>
      <c r="L321" s="1" t="s">
        <v>30</v>
      </c>
      <c r="M321" s="4">
        <v>0.6611111111111111</v>
      </c>
      <c r="N321" s="1" t="s">
        <v>422</v>
      </c>
      <c r="O321" s="1" t="s">
        <v>28</v>
      </c>
      <c r="P321" s="4">
        <v>0.9215277777777777</v>
      </c>
      <c r="Q321" s="1" t="s">
        <v>471</v>
      </c>
      <c r="R321" s="1">
        <f t="shared" si="1"/>
        <v>49</v>
      </c>
      <c r="S321" s="1">
        <f t="shared" si="2"/>
        <v>49</v>
      </c>
      <c r="T321" s="5">
        <f t="shared" si="3"/>
        <v>49</v>
      </c>
      <c r="U321" s="5" t="s">
        <v>39</v>
      </c>
    </row>
    <row r="322">
      <c r="A322" s="1" t="s">
        <v>507</v>
      </c>
      <c r="B322" s="2">
        <v>17.0</v>
      </c>
      <c r="C322" s="1" t="s">
        <v>75</v>
      </c>
      <c r="D322" s="6"/>
      <c r="E322" s="7" t="s">
        <v>184</v>
      </c>
      <c r="F322" s="1" t="s">
        <v>30</v>
      </c>
      <c r="G322" s="4">
        <v>0.23055555555555557</v>
      </c>
      <c r="H322" s="1" t="s">
        <v>112</v>
      </c>
      <c r="I322" s="1" t="s">
        <v>28</v>
      </c>
      <c r="J322" s="4">
        <v>0.5222222222222223</v>
      </c>
      <c r="K322" s="1" t="s">
        <v>187</v>
      </c>
      <c r="L322" s="1" t="s">
        <v>30</v>
      </c>
      <c r="M322" s="4">
        <v>0.7256944444444444</v>
      </c>
      <c r="N322" s="1" t="s">
        <v>355</v>
      </c>
      <c r="O322" s="1" t="s">
        <v>28</v>
      </c>
      <c r="P322" s="4">
        <v>0.975</v>
      </c>
      <c r="Q322" s="1" t="s">
        <v>470</v>
      </c>
      <c r="R322" s="1">
        <f t="shared" si="1"/>
        <v>47</v>
      </c>
      <c r="S322" s="1">
        <f t="shared" si="2"/>
        <v>39</v>
      </c>
      <c r="T322" s="5">
        <f t="shared" si="3"/>
        <v>47</v>
      </c>
      <c r="U322" s="5" t="s">
        <v>39</v>
      </c>
    </row>
    <row r="323">
      <c r="A323" s="1" t="s">
        <v>507</v>
      </c>
      <c r="B323" s="2">
        <v>18.0</v>
      </c>
      <c r="C323" s="1" t="s">
        <v>86</v>
      </c>
      <c r="D323" s="6"/>
      <c r="E323" s="3"/>
      <c r="F323" s="1" t="s">
        <v>30</v>
      </c>
      <c r="G323" s="4">
        <v>0.28402777777777777</v>
      </c>
      <c r="H323" s="1" t="s">
        <v>115</v>
      </c>
      <c r="I323" s="1" t="s">
        <v>28</v>
      </c>
      <c r="J323" s="4">
        <v>0.5659722222222222</v>
      </c>
      <c r="K323" s="1" t="s">
        <v>145</v>
      </c>
      <c r="L323" s="1" t="s">
        <v>30</v>
      </c>
      <c r="M323" s="4">
        <v>0.7958333333333333</v>
      </c>
      <c r="N323" s="1" t="s">
        <v>248</v>
      </c>
      <c r="R323" s="1">
        <f t="shared" si="1"/>
        <v>53</v>
      </c>
      <c r="S323" s="1">
        <f t="shared" si="2"/>
        <v>26</v>
      </c>
      <c r="T323" s="5">
        <f t="shared" si="3"/>
        <v>53</v>
      </c>
      <c r="U323" s="5" t="s">
        <v>39</v>
      </c>
    </row>
    <row r="324">
      <c r="A324" s="1" t="s">
        <v>507</v>
      </c>
      <c r="B324" s="2">
        <v>19.0</v>
      </c>
      <c r="C324" s="1" t="s">
        <v>26</v>
      </c>
      <c r="D324" s="6"/>
      <c r="E324" s="3"/>
      <c r="F324" s="1" t="s">
        <v>28</v>
      </c>
      <c r="G324" s="4">
        <v>0.03819444444444445</v>
      </c>
      <c r="H324" s="1" t="s">
        <v>109</v>
      </c>
      <c r="I324" s="1" t="s">
        <v>30</v>
      </c>
      <c r="J324" s="4">
        <v>0.32708333333333334</v>
      </c>
      <c r="K324" s="1" t="s">
        <v>112</v>
      </c>
      <c r="L324" s="1" t="s">
        <v>28</v>
      </c>
      <c r="M324" s="4">
        <v>0.5972222222222222</v>
      </c>
      <c r="N324" s="1" t="s">
        <v>470</v>
      </c>
      <c r="O324" s="1" t="s">
        <v>30</v>
      </c>
      <c r="P324" s="4">
        <v>0.8479166666666667</v>
      </c>
      <c r="Q324" s="1" t="s">
        <v>326</v>
      </c>
      <c r="R324" s="1">
        <f t="shared" si="1"/>
        <v>64</v>
      </c>
      <c r="S324" s="1">
        <f t="shared" si="2"/>
        <v>56</v>
      </c>
      <c r="T324" s="5">
        <f t="shared" si="3"/>
        <v>64</v>
      </c>
      <c r="U324" s="5" t="s">
        <v>39</v>
      </c>
    </row>
    <row r="325">
      <c r="A325" s="1" t="s">
        <v>507</v>
      </c>
      <c r="B325" s="2">
        <v>20.0</v>
      </c>
      <c r="C325" s="1" t="s">
        <v>34</v>
      </c>
      <c r="D325" s="6"/>
      <c r="E325" s="3"/>
      <c r="F325" s="1" t="s">
        <v>28</v>
      </c>
      <c r="G325" s="4">
        <v>0.09097222222222222</v>
      </c>
      <c r="H325" s="1" t="s">
        <v>296</v>
      </c>
      <c r="I325" s="1" t="s">
        <v>30</v>
      </c>
      <c r="J325" s="4">
        <v>0.36041666666666666</v>
      </c>
      <c r="K325" s="1" t="s">
        <v>134</v>
      </c>
      <c r="L325" s="1" t="s">
        <v>28</v>
      </c>
      <c r="M325" s="4">
        <v>0.6229166666666667</v>
      </c>
      <c r="N325" s="1" t="s">
        <v>190</v>
      </c>
      <c r="O325" s="1" t="s">
        <v>30</v>
      </c>
      <c r="P325" s="4">
        <v>0.8861111111111111</v>
      </c>
      <c r="Q325" s="1" t="s">
        <v>469</v>
      </c>
      <c r="R325" s="1">
        <f t="shared" si="1"/>
        <v>70</v>
      </c>
      <c r="S325" s="1">
        <f t="shared" si="2"/>
        <v>84</v>
      </c>
      <c r="T325" s="5">
        <f t="shared" si="3"/>
        <v>84</v>
      </c>
      <c r="U325" s="5" t="s">
        <v>39</v>
      </c>
    </row>
    <row r="326">
      <c r="A326" s="1" t="s">
        <v>507</v>
      </c>
      <c r="B326" s="2">
        <v>21.0</v>
      </c>
      <c r="C326" s="1" t="s">
        <v>41</v>
      </c>
      <c r="D326" s="1" t="s">
        <v>42</v>
      </c>
      <c r="E326" s="3"/>
      <c r="F326" s="1" t="s">
        <v>28</v>
      </c>
      <c r="G326" s="4">
        <v>0.1326388888888889</v>
      </c>
      <c r="H326" s="1" t="s">
        <v>471</v>
      </c>
      <c r="I326" s="1" t="s">
        <v>30</v>
      </c>
      <c r="J326" s="4">
        <v>0.38819444444444445</v>
      </c>
      <c r="K326" s="1" t="s">
        <v>257</v>
      </c>
      <c r="L326" s="1" t="s">
        <v>28</v>
      </c>
      <c r="M326" s="4">
        <v>0.6472222222222223</v>
      </c>
      <c r="N326" s="1" t="s">
        <v>251</v>
      </c>
      <c r="O326" s="1" t="s">
        <v>30</v>
      </c>
      <c r="P326" s="4">
        <v>0.9180555555555555</v>
      </c>
      <c r="Q326" s="1" t="s">
        <v>185</v>
      </c>
      <c r="R326" s="1">
        <f t="shared" si="1"/>
        <v>78</v>
      </c>
      <c r="S326" s="1">
        <f t="shared" si="2"/>
        <v>113</v>
      </c>
      <c r="T326" s="5">
        <f t="shared" si="3"/>
        <v>113</v>
      </c>
      <c r="U326" s="5" t="s">
        <v>90</v>
      </c>
    </row>
    <row r="327">
      <c r="A327" s="1" t="s">
        <v>507</v>
      </c>
      <c r="B327" s="2">
        <v>22.0</v>
      </c>
      <c r="C327" s="1" t="s">
        <v>55</v>
      </c>
      <c r="D327" s="1" t="s">
        <v>42</v>
      </c>
      <c r="E327" s="3"/>
      <c r="F327" s="1" t="s">
        <v>28</v>
      </c>
      <c r="G327" s="4">
        <v>0.16944444444444445</v>
      </c>
      <c r="H327" s="1" t="s">
        <v>190</v>
      </c>
      <c r="I327" s="1" t="s">
        <v>30</v>
      </c>
      <c r="J327" s="4">
        <v>0.41458333333333336</v>
      </c>
      <c r="K327" s="1" t="s">
        <v>146</v>
      </c>
      <c r="L327" s="1" t="s">
        <v>28</v>
      </c>
      <c r="M327" s="4">
        <v>0.6715277777777777</v>
      </c>
      <c r="N327" s="1" t="s">
        <v>32</v>
      </c>
      <c r="O327" s="1" t="s">
        <v>30</v>
      </c>
      <c r="P327" s="4">
        <v>0.9479166666666666</v>
      </c>
      <c r="Q327" s="1" t="s">
        <v>260</v>
      </c>
      <c r="R327" s="1">
        <f t="shared" si="1"/>
        <v>86</v>
      </c>
      <c r="S327" s="1">
        <f t="shared" si="2"/>
        <v>141</v>
      </c>
      <c r="T327" s="5">
        <f t="shared" si="3"/>
        <v>141</v>
      </c>
      <c r="U327" s="5" t="s">
        <v>47</v>
      </c>
    </row>
    <row r="328">
      <c r="A328" s="1" t="s">
        <v>507</v>
      </c>
      <c r="B328" s="2">
        <v>23.0</v>
      </c>
      <c r="C328" s="1" t="s">
        <v>25</v>
      </c>
      <c r="D328" s="6"/>
      <c r="E328" s="3"/>
      <c r="F328" s="1" t="s">
        <v>28</v>
      </c>
      <c r="G328" s="4">
        <v>0.20277777777777778</v>
      </c>
      <c r="H328" s="1" t="s">
        <v>183</v>
      </c>
      <c r="I328" s="1" t="s">
        <v>30</v>
      </c>
      <c r="J328" s="4">
        <v>0.44027777777777777</v>
      </c>
      <c r="K328" s="1" t="s">
        <v>99</v>
      </c>
      <c r="L328" s="1" t="s">
        <v>28</v>
      </c>
      <c r="M328" s="4">
        <v>0.6979166666666666</v>
      </c>
      <c r="N328" s="1" t="s">
        <v>38</v>
      </c>
      <c r="O328" s="1" t="s">
        <v>30</v>
      </c>
      <c r="P328" s="4">
        <v>0.9784722222222222</v>
      </c>
      <c r="Q328" s="1" t="s">
        <v>508</v>
      </c>
      <c r="R328" s="1">
        <f t="shared" si="1"/>
        <v>90</v>
      </c>
      <c r="S328" s="1">
        <f t="shared" si="2"/>
        <v>165</v>
      </c>
      <c r="T328" s="5">
        <f t="shared" si="3"/>
        <v>165</v>
      </c>
      <c r="U328" s="5" t="s">
        <v>47</v>
      </c>
    </row>
    <row r="329">
      <c r="A329" s="1" t="s">
        <v>507</v>
      </c>
      <c r="B329" s="2">
        <v>24.0</v>
      </c>
      <c r="C329" s="1" t="s">
        <v>75</v>
      </c>
      <c r="D329" s="6"/>
      <c r="E329" s="7" t="s">
        <v>35</v>
      </c>
      <c r="F329" s="1" t="s">
        <v>28</v>
      </c>
      <c r="G329" s="4">
        <v>0.23541666666666666</v>
      </c>
      <c r="H329" s="1" t="s">
        <v>183</v>
      </c>
      <c r="I329" s="1" t="s">
        <v>30</v>
      </c>
      <c r="J329" s="4">
        <v>0.4666666666666667</v>
      </c>
      <c r="K329" s="1" t="s">
        <v>45</v>
      </c>
      <c r="L329" s="1" t="s">
        <v>28</v>
      </c>
      <c r="M329" s="4">
        <v>0.7256944444444444</v>
      </c>
      <c r="N329" s="1" t="s">
        <v>205</v>
      </c>
      <c r="R329" s="1">
        <f t="shared" si="1"/>
        <v>91</v>
      </c>
      <c r="S329" s="1">
        <f t="shared" si="2"/>
        <v>73</v>
      </c>
      <c r="T329" s="5">
        <f t="shared" si="3"/>
        <v>91</v>
      </c>
      <c r="U329" s="5" t="s">
        <v>90</v>
      </c>
    </row>
    <row r="330">
      <c r="A330" s="1" t="s">
        <v>507</v>
      </c>
      <c r="B330" s="2">
        <v>25.0</v>
      </c>
      <c r="C330" s="1" t="s">
        <v>86</v>
      </c>
      <c r="D330" s="6"/>
      <c r="E330" s="3"/>
      <c r="F330" s="1" t="s">
        <v>30</v>
      </c>
      <c r="G330" s="4">
        <v>0.009722222222222222</v>
      </c>
      <c r="H330" s="1" t="s">
        <v>509</v>
      </c>
      <c r="I330" s="1" t="s">
        <v>28</v>
      </c>
      <c r="J330" s="4">
        <v>0.26875</v>
      </c>
      <c r="K330" s="1" t="s">
        <v>214</v>
      </c>
      <c r="L330" s="1" t="s">
        <v>30</v>
      </c>
      <c r="M330" s="4">
        <v>0.49375</v>
      </c>
      <c r="N330" s="1" t="s">
        <v>99</v>
      </c>
      <c r="O330" s="1" t="s">
        <v>28</v>
      </c>
      <c r="P330" s="4">
        <v>0.7555555555555555</v>
      </c>
      <c r="Q330" s="1" t="s">
        <v>497</v>
      </c>
      <c r="R330" s="1">
        <f t="shared" si="1"/>
        <v>137</v>
      </c>
      <c r="S330" s="1">
        <f t="shared" si="2"/>
        <v>136</v>
      </c>
      <c r="T330" s="5">
        <f t="shared" si="3"/>
        <v>137</v>
      </c>
      <c r="U330" s="5" t="s">
        <v>47</v>
      </c>
    </row>
    <row r="331">
      <c r="A331" s="1" t="s">
        <v>507</v>
      </c>
      <c r="B331" s="2">
        <v>26.0</v>
      </c>
      <c r="C331" s="1" t="s">
        <v>26</v>
      </c>
      <c r="D331" s="6"/>
      <c r="E331" s="3"/>
      <c r="F331" s="1" t="s">
        <v>30</v>
      </c>
      <c r="G331" s="4">
        <v>0.04236111111111111</v>
      </c>
      <c r="H331" s="1" t="s">
        <v>510</v>
      </c>
      <c r="I331" s="1" t="s">
        <v>28</v>
      </c>
      <c r="J331" s="4">
        <v>0.3020833333333333</v>
      </c>
      <c r="K331" s="1" t="s">
        <v>123</v>
      </c>
      <c r="L331" s="1" t="s">
        <v>30</v>
      </c>
      <c r="M331" s="4">
        <v>0.5222222222222223</v>
      </c>
      <c r="N331" s="1" t="s">
        <v>146</v>
      </c>
      <c r="O331" s="1" t="s">
        <v>28</v>
      </c>
      <c r="P331" s="4">
        <v>0.7868055555555555</v>
      </c>
      <c r="Q331" s="1" t="s">
        <v>346</v>
      </c>
      <c r="R331" s="1">
        <f t="shared" si="1"/>
        <v>133</v>
      </c>
      <c r="S331" s="1">
        <f t="shared" si="2"/>
        <v>133</v>
      </c>
      <c r="T331" s="5">
        <f t="shared" si="3"/>
        <v>133</v>
      </c>
      <c r="U331" s="5" t="s">
        <v>47</v>
      </c>
    </row>
    <row r="332">
      <c r="A332" s="1" t="s">
        <v>507</v>
      </c>
      <c r="B332" s="2">
        <v>27.0</v>
      </c>
      <c r="C332" s="1" t="s">
        <v>34</v>
      </c>
      <c r="D332" s="6"/>
      <c r="E332" s="3"/>
      <c r="F332" s="1" t="s">
        <v>30</v>
      </c>
      <c r="G332" s="4">
        <v>0.07777777777777778</v>
      </c>
      <c r="H332" s="1" t="s">
        <v>76</v>
      </c>
      <c r="I332" s="1" t="s">
        <v>28</v>
      </c>
      <c r="J332" s="4">
        <v>0.3375</v>
      </c>
      <c r="K332" s="1" t="s">
        <v>77</v>
      </c>
      <c r="L332" s="1" t="s">
        <v>30</v>
      </c>
      <c r="M332" s="4">
        <v>0.5534722222222223</v>
      </c>
      <c r="N332" s="1" t="s">
        <v>257</v>
      </c>
      <c r="O332" s="1" t="s">
        <v>28</v>
      </c>
      <c r="P332" s="4">
        <v>0.8201388888888889</v>
      </c>
      <c r="Q332" s="1" t="s">
        <v>46</v>
      </c>
      <c r="R332" s="1">
        <f t="shared" si="1"/>
        <v>123</v>
      </c>
      <c r="S332" s="1">
        <f t="shared" si="2"/>
        <v>125</v>
      </c>
      <c r="T332" s="5">
        <f t="shared" si="3"/>
        <v>125</v>
      </c>
      <c r="U332" s="5" t="s">
        <v>47</v>
      </c>
    </row>
    <row r="333">
      <c r="A333" s="1" t="s">
        <v>507</v>
      </c>
      <c r="B333" s="2">
        <v>28.0</v>
      </c>
      <c r="C333" s="1" t="s">
        <v>41</v>
      </c>
      <c r="D333" s="1" t="s">
        <v>42</v>
      </c>
      <c r="E333" s="3"/>
      <c r="F333" s="1" t="s">
        <v>30</v>
      </c>
      <c r="G333" s="4">
        <v>0.11527777777777778</v>
      </c>
      <c r="H333" s="1" t="s">
        <v>511</v>
      </c>
      <c r="I333" s="1" t="s">
        <v>28</v>
      </c>
      <c r="J333" s="4">
        <v>0.375</v>
      </c>
      <c r="K333" s="1" t="s">
        <v>44</v>
      </c>
      <c r="L333" s="1" t="s">
        <v>30</v>
      </c>
      <c r="M333" s="4">
        <v>0.5888888888888889</v>
      </c>
      <c r="N333" s="1" t="s">
        <v>200</v>
      </c>
      <c r="O333" s="1" t="s">
        <v>28</v>
      </c>
      <c r="P333" s="4">
        <v>0.85625</v>
      </c>
      <c r="Q333" s="1" t="s">
        <v>78</v>
      </c>
      <c r="R333" s="1">
        <f t="shared" si="1"/>
        <v>109</v>
      </c>
      <c r="S333" s="1">
        <f t="shared" si="2"/>
        <v>110</v>
      </c>
      <c r="T333" s="5">
        <f t="shared" si="3"/>
        <v>110</v>
      </c>
      <c r="U333" s="5" t="s">
        <v>90</v>
      </c>
    </row>
    <row r="334">
      <c r="A334" s="1" t="s">
        <v>507</v>
      </c>
      <c r="B334" s="2">
        <v>29.0</v>
      </c>
      <c r="C334" s="1" t="s">
        <v>55</v>
      </c>
      <c r="D334" s="1" t="s">
        <v>42</v>
      </c>
      <c r="E334" s="3"/>
      <c r="F334" s="1" t="s">
        <v>30</v>
      </c>
      <c r="G334" s="4">
        <v>0.15486111111111112</v>
      </c>
      <c r="H334" s="1" t="s">
        <v>177</v>
      </c>
      <c r="I334" s="1" t="s">
        <v>28</v>
      </c>
      <c r="J334" s="4">
        <v>0.4166666666666667</v>
      </c>
      <c r="K334" s="1" t="s">
        <v>222</v>
      </c>
      <c r="L334" s="1" t="s">
        <v>30</v>
      </c>
      <c r="M334" s="4">
        <v>0.63125</v>
      </c>
      <c r="N334" s="1" t="s">
        <v>224</v>
      </c>
      <c r="O334" s="1" t="s">
        <v>28</v>
      </c>
      <c r="P334" s="4">
        <v>0.8958333333333334</v>
      </c>
      <c r="Q334" s="1" t="s">
        <v>135</v>
      </c>
      <c r="R334" s="1">
        <f t="shared" si="1"/>
        <v>95</v>
      </c>
      <c r="S334" s="1">
        <f t="shared" si="2"/>
        <v>91</v>
      </c>
      <c r="T334" s="5">
        <f t="shared" si="3"/>
        <v>95</v>
      </c>
      <c r="U334" s="5" t="s">
        <v>90</v>
      </c>
    </row>
    <row r="335">
      <c r="A335" s="1" t="s">
        <v>507</v>
      </c>
      <c r="B335" s="2">
        <v>30.0</v>
      </c>
      <c r="C335" s="1" t="s">
        <v>25</v>
      </c>
      <c r="D335" s="6"/>
      <c r="E335" s="3"/>
      <c r="F335" s="1" t="s">
        <v>30</v>
      </c>
      <c r="G335" s="4">
        <v>0.1986111111111111</v>
      </c>
      <c r="H335" s="1" t="s">
        <v>129</v>
      </c>
      <c r="I335" s="1" t="s">
        <v>28</v>
      </c>
      <c r="J335" s="4">
        <v>0.4618055555555556</v>
      </c>
      <c r="K335" s="1" t="s">
        <v>426</v>
      </c>
      <c r="L335" s="1" t="s">
        <v>30</v>
      </c>
      <c r="M335" s="4">
        <v>0.6833333333333333</v>
      </c>
      <c r="N335" s="1" t="s">
        <v>120</v>
      </c>
      <c r="O335" s="1" t="s">
        <v>28</v>
      </c>
      <c r="P335" s="4">
        <v>0.9430555555555555</v>
      </c>
      <c r="Q335" s="1" t="s">
        <v>218</v>
      </c>
      <c r="R335" s="1">
        <f t="shared" si="1"/>
        <v>83</v>
      </c>
      <c r="S335" s="1">
        <f t="shared" si="2"/>
        <v>73</v>
      </c>
      <c r="T335" s="5">
        <f t="shared" si="3"/>
        <v>83</v>
      </c>
      <c r="U335" s="5" t="s">
        <v>39</v>
      </c>
    </row>
    <row r="336">
      <c r="A336" s="1" t="s">
        <v>24</v>
      </c>
      <c r="B336" s="2">
        <v>1.0</v>
      </c>
      <c r="C336" s="1" t="s">
        <v>75</v>
      </c>
      <c r="D336" s="6"/>
      <c r="E336" s="7" t="s">
        <v>107</v>
      </c>
      <c r="F336" s="1" t="s">
        <v>30</v>
      </c>
      <c r="G336" s="4">
        <v>0.24375</v>
      </c>
      <c r="H336" s="1" t="s">
        <v>174</v>
      </c>
      <c r="I336" s="1" t="s">
        <v>28</v>
      </c>
      <c r="J336" s="4">
        <v>0.5083333333333333</v>
      </c>
      <c r="K336" s="1" t="s">
        <v>145</v>
      </c>
      <c r="L336" s="1" t="s">
        <v>30</v>
      </c>
      <c r="M336" s="4">
        <v>0.7458333333333333</v>
      </c>
      <c r="N336" s="1" t="s">
        <v>120</v>
      </c>
      <c r="O336" s="1" t="s">
        <v>28</v>
      </c>
      <c r="P336" s="4">
        <v>0.9986111111111111</v>
      </c>
      <c r="Q336" s="1" t="s">
        <v>256</v>
      </c>
      <c r="R336" s="1">
        <f t="shared" si="1"/>
        <v>76</v>
      </c>
      <c r="S336" s="1">
        <f t="shared" si="2"/>
        <v>61</v>
      </c>
      <c r="T336" s="5">
        <f t="shared" si="3"/>
        <v>76</v>
      </c>
      <c r="U336" s="5" t="s">
        <v>39</v>
      </c>
    </row>
    <row r="337">
      <c r="A337" s="1" t="s">
        <v>24</v>
      </c>
      <c r="B337" s="2">
        <v>2.0</v>
      </c>
      <c r="C337" s="1" t="s">
        <v>86</v>
      </c>
      <c r="D337" s="6"/>
      <c r="E337" s="3"/>
      <c r="F337" s="1" t="s">
        <v>30</v>
      </c>
      <c r="G337" s="4">
        <v>0.2861111111111111</v>
      </c>
      <c r="H337" s="1" t="s">
        <v>186</v>
      </c>
      <c r="I337" s="1" t="s">
        <v>28</v>
      </c>
      <c r="J337" s="4">
        <v>0.5506944444444445</v>
      </c>
      <c r="K337" s="1" t="s">
        <v>111</v>
      </c>
      <c r="L337" s="1" t="s">
        <v>30</v>
      </c>
      <c r="M337" s="4">
        <v>0.8104166666666667</v>
      </c>
      <c r="N337" s="1" t="s">
        <v>115</v>
      </c>
      <c r="R337" s="1">
        <f t="shared" si="1"/>
        <v>74</v>
      </c>
      <c r="S337" s="1">
        <f t="shared" si="2"/>
        <v>45</v>
      </c>
      <c r="T337" s="5">
        <f t="shared" si="3"/>
        <v>74</v>
      </c>
      <c r="U337" s="5" t="s">
        <v>39</v>
      </c>
    </row>
    <row r="338">
      <c r="A338" s="1" t="s">
        <v>24</v>
      </c>
      <c r="B338" s="2">
        <v>3.0</v>
      </c>
      <c r="C338" s="1" t="s">
        <v>26</v>
      </c>
      <c r="D338" s="6"/>
      <c r="E338" s="3"/>
      <c r="F338" s="1" t="s">
        <v>28</v>
      </c>
      <c r="G338" s="4">
        <v>0.05694444444444444</v>
      </c>
      <c r="H338" s="1" t="s">
        <v>111</v>
      </c>
      <c r="I338" s="1" t="s">
        <v>30</v>
      </c>
      <c r="J338" s="4">
        <v>0.32569444444444445</v>
      </c>
      <c r="K338" s="1" t="s">
        <v>37</v>
      </c>
      <c r="L338" s="1" t="s">
        <v>28</v>
      </c>
      <c r="M338" s="4">
        <v>0.5881944444444445</v>
      </c>
      <c r="N338" s="1" t="s">
        <v>173</v>
      </c>
      <c r="O338" s="1" t="s">
        <v>30</v>
      </c>
      <c r="P338" s="4">
        <v>0.8645833333333334</v>
      </c>
      <c r="Q338" s="1" t="s">
        <v>37</v>
      </c>
      <c r="R338" s="1">
        <f t="shared" si="1"/>
        <v>69</v>
      </c>
      <c r="S338" s="1">
        <f t="shared" si="2"/>
        <v>76</v>
      </c>
      <c r="T338" s="5">
        <f t="shared" si="3"/>
        <v>76</v>
      </c>
      <c r="U338" s="5" t="s">
        <v>39</v>
      </c>
    </row>
    <row r="339">
      <c r="A339" s="1" t="s">
        <v>24</v>
      </c>
      <c r="B339" s="2">
        <v>4.0</v>
      </c>
      <c r="C339" s="1" t="s">
        <v>34</v>
      </c>
      <c r="D339" s="6"/>
      <c r="E339" s="3"/>
      <c r="F339" s="1" t="s">
        <v>28</v>
      </c>
      <c r="G339" s="4">
        <v>0.11041666666666666</v>
      </c>
      <c r="H339" s="1" t="s">
        <v>44</v>
      </c>
      <c r="I339" s="1" t="s">
        <v>30</v>
      </c>
      <c r="J339" s="4">
        <v>0.36041666666666666</v>
      </c>
      <c r="K339" s="1" t="s">
        <v>31</v>
      </c>
      <c r="L339" s="1" t="s">
        <v>28</v>
      </c>
      <c r="M339" s="4">
        <v>0.6208333333333333</v>
      </c>
      <c r="N339" s="1" t="s">
        <v>181</v>
      </c>
      <c r="O339" s="1" t="s">
        <v>30</v>
      </c>
      <c r="P339" s="4">
        <v>0.90625</v>
      </c>
      <c r="Q339" s="1" t="s">
        <v>182</v>
      </c>
      <c r="R339" s="1">
        <f t="shared" si="1"/>
        <v>62</v>
      </c>
      <c r="S339" s="1">
        <f t="shared" si="2"/>
        <v>94</v>
      </c>
      <c r="T339" s="5">
        <f t="shared" si="3"/>
        <v>94</v>
      </c>
      <c r="U339" s="5" t="s">
        <v>90</v>
      </c>
    </row>
    <row r="340">
      <c r="A340" s="1" t="s">
        <v>24</v>
      </c>
      <c r="B340" s="2">
        <v>5.0</v>
      </c>
      <c r="C340" s="1" t="s">
        <v>41</v>
      </c>
      <c r="D340" s="1" t="s">
        <v>42</v>
      </c>
      <c r="E340" s="3"/>
      <c r="F340" s="1" t="s">
        <v>28</v>
      </c>
      <c r="G340" s="4">
        <v>0.15555555555555556</v>
      </c>
      <c r="H340" s="1" t="s">
        <v>359</v>
      </c>
      <c r="I340" s="1" t="s">
        <v>30</v>
      </c>
      <c r="J340" s="4">
        <v>0.3909722222222222</v>
      </c>
      <c r="K340" s="1" t="s">
        <v>114</v>
      </c>
      <c r="L340" s="1" t="s">
        <v>28</v>
      </c>
      <c r="M340" s="4">
        <v>0.6506944444444445</v>
      </c>
      <c r="N340" s="1" t="s">
        <v>402</v>
      </c>
      <c r="O340" s="1" t="s">
        <v>30</v>
      </c>
      <c r="P340" s="4">
        <v>0.9395833333333333</v>
      </c>
      <c r="Q340" s="1" t="s">
        <v>386</v>
      </c>
      <c r="R340" s="1">
        <f t="shared" si="1"/>
        <v>60</v>
      </c>
      <c r="S340" s="1">
        <f t="shared" si="2"/>
        <v>111</v>
      </c>
      <c r="T340" s="5">
        <f t="shared" si="3"/>
        <v>111</v>
      </c>
      <c r="U340" s="5" t="s">
        <v>90</v>
      </c>
    </row>
    <row r="341">
      <c r="A341" s="1" t="s">
        <v>24</v>
      </c>
      <c r="B341" s="2">
        <v>6.0</v>
      </c>
      <c r="C341" s="1" t="s">
        <v>55</v>
      </c>
      <c r="D341" s="1" t="s">
        <v>42</v>
      </c>
      <c r="E341" s="3"/>
      <c r="F341" s="1" t="s">
        <v>28</v>
      </c>
      <c r="G341" s="4">
        <v>0.19236111111111112</v>
      </c>
      <c r="H341" s="1" t="s">
        <v>359</v>
      </c>
      <c r="I341" s="1" t="s">
        <v>30</v>
      </c>
      <c r="J341" s="4">
        <v>0.41805555555555557</v>
      </c>
      <c r="K341" s="1" t="s">
        <v>114</v>
      </c>
      <c r="L341" s="1" t="s">
        <v>28</v>
      </c>
      <c r="M341" s="4">
        <v>0.6770833333333334</v>
      </c>
      <c r="N341" s="1" t="s">
        <v>292</v>
      </c>
      <c r="O341" s="1" t="s">
        <v>30</v>
      </c>
      <c r="P341" s="4">
        <v>0.9673611111111111</v>
      </c>
      <c r="Q341" s="1" t="s">
        <v>98</v>
      </c>
      <c r="R341" s="1">
        <f t="shared" si="1"/>
        <v>60</v>
      </c>
      <c r="S341" s="1">
        <f t="shared" si="2"/>
        <v>125</v>
      </c>
      <c r="T341" s="5">
        <f t="shared" si="3"/>
        <v>125</v>
      </c>
      <c r="U341" s="5" t="s">
        <v>47</v>
      </c>
    </row>
    <row r="342">
      <c r="A342" s="1" t="s">
        <v>24</v>
      </c>
      <c r="B342" s="2">
        <v>7.0</v>
      </c>
      <c r="C342" s="1" t="s">
        <v>25</v>
      </c>
      <c r="D342" s="6"/>
      <c r="E342" s="3"/>
      <c r="F342" s="1" t="s">
        <v>28</v>
      </c>
      <c r="G342" s="4">
        <v>0.22361111111111112</v>
      </c>
      <c r="H342" s="1" t="s">
        <v>359</v>
      </c>
      <c r="I342" s="1" t="s">
        <v>30</v>
      </c>
      <c r="J342" s="4">
        <v>0.44305555555555554</v>
      </c>
      <c r="K342" s="1" t="s">
        <v>31</v>
      </c>
      <c r="L342" s="1" t="s">
        <v>28</v>
      </c>
      <c r="M342" s="4">
        <v>0.7027777777777777</v>
      </c>
      <c r="N342" s="1" t="s">
        <v>335</v>
      </c>
      <c r="O342" s="1" t="s">
        <v>30</v>
      </c>
      <c r="P342" s="4">
        <v>0.9923611111111111</v>
      </c>
      <c r="Q342" s="1" t="s">
        <v>475</v>
      </c>
      <c r="R342" s="1">
        <f t="shared" si="1"/>
        <v>61</v>
      </c>
      <c r="S342" s="1">
        <f t="shared" si="2"/>
        <v>137</v>
      </c>
      <c r="T342" s="5">
        <f t="shared" si="3"/>
        <v>137</v>
      </c>
      <c r="U342" s="5" t="s">
        <v>47</v>
      </c>
    </row>
    <row r="343">
      <c r="A343" s="1" t="s">
        <v>24</v>
      </c>
      <c r="B343" s="2">
        <v>8.0</v>
      </c>
      <c r="C343" s="1" t="s">
        <v>75</v>
      </c>
      <c r="D343" s="6"/>
      <c r="E343" s="3"/>
      <c r="F343" s="1" t="s">
        <v>28</v>
      </c>
      <c r="G343" s="4">
        <v>0.25069444444444444</v>
      </c>
      <c r="H343" s="1" t="s">
        <v>359</v>
      </c>
      <c r="I343" s="1" t="s">
        <v>30</v>
      </c>
      <c r="J343" s="4">
        <v>0.4666666666666667</v>
      </c>
      <c r="K343" s="1" t="s">
        <v>469</v>
      </c>
      <c r="L343" s="1" t="s">
        <v>28</v>
      </c>
      <c r="M343" s="4">
        <v>0.7270833333333333</v>
      </c>
      <c r="N343" s="1" t="s">
        <v>89</v>
      </c>
      <c r="R343" s="1">
        <f t="shared" si="1"/>
        <v>63</v>
      </c>
      <c r="S343" s="1">
        <f t="shared" si="2"/>
        <v>49</v>
      </c>
      <c r="T343" s="5">
        <f t="shared" si="3"/>
        <v>63</v>
      </c>
      <c r="U343" s="5" t="s">
        <v>39</v>
      </c>
    </row>
    <row r="344">
      <c r="A344" s="1" t="s">
        <v>24</v>
      </c>
      <c r="B344" s="2">
        <v>9.0</v>
      </c>
      <c r="C344" s="1" t="s">
        <v>86</v>
      </c>
      <c r="D344" s="6"/>
      <c r="E344" s="7" t="s">
        <v>143</v>
      </c>
      <c r="F344" s="1" t="s">
        <v>30</v>
      </c>
      <c r="G344" s="4">
        <v>0.015277777777777777</v>
      </c>
      <c r="H344" s="1" t="s">
        <v>456</v>
      </c>
      <c r="I344" s="1" t="s">
        <v>28</v>
      </c>
      <c r="J344" s="4">
        <v>0.27569444444444446</v>
      </c>
      <c r="K344" s="1" t="s">
        <v>145</v>
      </c>
      <c r="L344" s="1" t="s">
        <v>30</v>
      </c>
      <c r="M344" s="4">
        <v>0.4895833333333333</v>
      </c>
      <c r="N344" s="1" t="s">
        <v>37</v>
      </c>
      <c r="O344" s="1" t="s">
        <v>28</v>
      </c>
      <c r="P344" s="4">
        <v>0.7506944444444444</v>
      </c>
      <c r="Q344" s="1" t="s">
        <v>307</v>
      </c>
      <c r="R344" s="1">
        <f t="shared" si="1"/>
        <v>103</v>
      </c>
      <c r="S344" s="1">
        <f t="shared" si="2"/>
        <v>106</v>
      </c>
      <c r="T344" s="5">
        <f t="shared" si="3"/>
        <v>106</v>
      </c>
      <c r="U344" s="5" t="s">
        <v>90</v>
      </c>
    </row>
    <row r="345">
      <c r="A345" s="1" t="s">
        <v>24</v>
      </c>
      <c r="B345" s="2">
        <v>10.0</v>
      </c>
      <c r="C345" s="1" t="s">
        <v>26</v>
      </c>
      <c r="D345" s="6"/>
      <c r="E345" s="3"/>
      <c r="F345" s="1" t="s">
        <v>30</v>
      </c>
      <c r="G345" s="4">
        <v>0.03819444444444445</v>
      </c>
      <c r="H345" s="1" t="s">
        <v>156</v>
      </c>
      <c r="I345" s="1" t="s">
        <v>28</v>
      </c>
      <c r="J345" s="4">
        <v>0.29930555555555555</v>
      </c>
      <c r="K345" s="1" t="s">
        <v>36</v>
      </c>
      <c r="L345" s="1" t="s">
        <v>30</v>
      </c>
      <c r="M345" s="4">
        <v>0.5131944444444444</v>
      </c>
      <c r="N345" s="1" t="s">
        <v>146</v>
      </c>
      <c r="O345" s="1" t="s">
        <v>28</v>
      </c>
      <c r="P345" s="4">
        <v>0.7736111111111111</v>
      </c>
      <c r="Q345" s="1" t="s">
        <v>195</v>
      </c>
      <c r="R345" s="1">
        <f t="shared" si="1"/>
        <v>103</v>
      </c>
      <c r="S345" s="1">
        <f t="shared" si="2"/>
        <v>108</v>
      </c>
      <c r="T345" s="5">
        <f t="shared" si="3"/>
        <v>108</v>
      </c>
      <c r="U345" s="5" t="s">
        <v>90</v>
      </c>
    </row>
    <row r="346">
      <c r="A346" s="1" t="s">
        <v>24</v>
      </c>
      <c r="B346" s="2">
        <v>11.0</v>
      </c>
      <c r="C346" s="1" t="s">
        <v>34</v>
      </c>
      <c r="D346" s="6"/>
      <c r="E346" s="3"/>
      <c r="F346" s="1" t="s">
        <v>30</v>
      </c>
      <c r="G346" s="4">
        <v>0.06041666666666667</v>
      </c>
      <c r="H346" s="1" t="s">
        <v>456</v>
      </c>
      <c r="I346" s="1" t="s">
        <v>28</v>
      </c>
      <c r="J346" s="4">
        <v>0.3229166666666667</v>
      </c>
      <c r="K346" s="1" t="s">
        <v>426</v>
      </c>
      <c r="L346" s="1" t="s">
        <v>30</v>
      </c>
      <c r="M346" s="4">
        <v>0.5361111111111111</v>
      </c>
      <c r="N346" s="1" t="s">
        <v>37</v>
      </c>
      <c r="O346" s="1" t="s">
        <v>28</v>
      </c>
      <c r="P346" s="4">
        <v>0.7965277777777777</v>
      </c>
      <c r="Q346" s="1" t="s">
        <v>265</v>
      </c>
      <c r="R346" s="1">
        <f t="shared" si="1"/>
        <v>100</v>
      </c>
      <c r="S346" s="1">
        <f t="shared" si="2"/>
        <v>105</v>
      </c>
      <c r="T346" s="5">
        <f t="shared" si="3"/>
        <v>105</v>
      </c>
      <c r="U346" s="5" t="s">
        <v>90</v>
      </c>
    </row>
    <row r="347">
      <c r="A347" s="1" t="s">
        <v>24</v>
      </c>
      <c r="B347" s="2">
        <v>12.0</v>
      </c>
      <c r="C347" s="1" t="s">
        <v>41</v>
      </c>
      <c r="D347" s="1" t="s">
        <v>42</v>
      </c>
      <c r="E347" s="3"/>
      <c r="F347" s="1" t="s">
        <v>30</v>
      </c>
      <c r="G347" s="4">
        <v>0.08333333333333333</v>
      </c>
      <c r="H347" s="1" t="s">
        <v>475</v>
      </c>
      <c r="I347" s="1" t="s">
        <v>28</v>
      </c>
      <c r="J347" s="4">
        <v>0.3458333333333333</v>
      </c>
      <c r="K347" s="1" t="s">
        <v>29</v>
      </c>
      <c r="L347" s="1" t="s">
        <v>30</v>
      </c>
      <c r="M347" s="4">
        <v>0.5604166666666667</v>
      </c>
      <c r="N347" s="1" t="s">
        <v>469</v>
      </c>
      <c r="O347" s="1" t="s">
        <v>28</v>
      </c>
      <c r="P347" s="4">
        <v>0.8201388888888889</v>
      </c>
      <c r="Q347" s="1" t="s">
        <v>301</v>
      </c>
      <c r="R347" s="1">
        <f t="shared" si="1"/>
        <v>94</v>
      </c>
      <c r="S347" s="1">
        <f t="shared" si="2"/>
        <v>101</v>
      </c>
      <c r="T347" s="5">
        <f t="shared" si="3"/>
        <v>101</v>
      </c>
      <c r="U347" s="5" t="s">
        <v>90</v>
      </c>
    </row>
    <row r="348">
      <c r="A348" s="1" t="s">
        <v>24</v>
      </c>
      <c r="B348" s="2">
        <v>13.0</v>
      </c>
      <c r="C348" s="1" t="s">
        <v>55</v>
      </c>
      <c r="D348" s="1" t="s">
        <v>42</v>
      </c>
      <c r="E348" s="3"/>
      <c r="F348" s="1" t="s">
        <v>30</v>
      </c>
      <c r="G348" s="4">
        <v>0.10625</v>
      </c>
      <c r="H348" s="1" t="s">
        <v>300</v>
      </c>
      <c r="I348" s="1" t="s">
        <v>28</v>
      </c>
      <c r="J348" s="4">
        <v>0.36944444444444446</v>
      </c>
      <c r="K348" s="1" t="s">
        <v>113</v>
      </c>
      <c r="L348" s="1" t="s">
        <v>30</v>
      </c>
      <c r="M348" s="4">
        <v>0.5861111111111111</v>
      </c>
      <c r="N348" s="1" t="s">
        <v>114</v>
      </c>
      <c r="O348" s="1" t="s">
        <v>28</v>
      </c>
      <c r="P348" s="4">
        <v>0.8451388888888889</v>
      </c>
      <c r="Q348" s="1" t="s">
        <v>251</v>
      </c>
      <c r="R348" s="1">
        <f t="shared" si="1"/>
        <v>87</v>
      </c>
      <c r="S348" s="1">
        <f t="shared" si="2"/>
        <v>93</v>
      </c>
      <c r="T348" s="5">
        <f t="shared" si="3"/>
        <v>93</v>
      </c>
      <c r="U348" s="5" t="s">
        <v>90</v>
      </c>
    </row>
    <row r="349">
      <c r="A349" s="1" t="s">
        <v>24</v>
      </c>
      <c r="B349" s="2">
        <v>14.0</v>
      </c>
      <c r="C349" s="1" t="s">
        <v>25</v>
      </c>
      <c r="D349" s="6"/>
      <c r="E349" s="3"/>
      <c r="F349" s="1" t="s">
        <v>30</v>
      </c>
      <c r="G349" s="4">
        <v>0.13125</v>
      </c>
      <c r="H349" s="1" t="s">
        <v>302</v>
      </c>
      <c r="I349" s="1" t="s">
        <v>28</v>
      </c>
      <c r="J349" s="4">
        <v>0.3958333333333333</v>
      </c>
      <c r="K349" s="1" t="s">
        <v>397</v>
      </c>
      <c r="L349" s="1" t="s">
        <v>30</v>
      </c>
      <c r="M349" s="4">
        <v>0.6152777777777778</v>
      </c>
      <c r="N349" s="1" t="s">
        <v>112</v>
      </c>
      <c r="O349" s="1" t="s">
        <v>28</v>
      </c>
      <c r="P349" s="4">
        <v>0.8722222222222222</v>
      </c>
      <c r="Q349" s="1" t="s">
        <v>218</v>
      </c>
      <c r="R349" s="1">
        <f t="shared" si="1"/>
        <v>80</v>
      </c>
      <c r="S349" s="1">
        <f t="shared" si="2"/>
        <v>81</v>
      </c>
      <c r="T349" s="5">
        <f t="shared" si="3"/>
        <v>81</v>
      </c>
      <c r="U349" s="5" t="s">
        <v>39</v>
      </c>
    </row>
    <row r="350">
      <c r="A350" s="1" t="s">
        <v>24</v>
      </c>
      <c r="B350" s="2">
        <v>15.0</v>
      </c>
      <c r="C350" s="1" t="s">
        <v>75</v>
      </c>
      <c r="D350" s="6"/>
      <c r="E350" s="3"/>
      <c r="F350" s="1" t="s">
        <v>30</v>
      </c>
      <c r="G350" s="4">
        <v>0.15763888888888888</v>
      </c>
      <c r="H350" s="1" t="s">
        <v>108</v>
      </c>
      <c r="I350" s="1" t="s">
        <v>28</v>
      </c>
      <c r="J350" s="4">
        <v>0.4263888888888889</v>
      </c>
      <c r="K350" s="1" t="s">
        <v>397</v>
      </c>
      <c r="L350" s="1" t="s">
        <v>30</v>
      </c>
      <c r="M350" s="4">
        <v>0.6506944444444445</v>
      </c>
      <c r="N350" s="1" t="s">
        <v>117</v>
      </c>
      <c r="O350" s="1" t="s">
        <v>28</v>
      </c>
      <c r="P350" s="4">
        <v>0.9034722222222222</v>
      </c>
      <c r="Q350" s="1" t="s">
        <v>178</v>
      </c>
      <c r="R350" s="1">
        <f t="shared" si="1"/>
        <v>73</v>
      </c>
      <c r="S350" s="1">
        <f t="shared" si="2"/>
        <v>70</v>
      </c>
      <c r="T350" s="5">
        <f t="shared" si="3"/>
        <v>73</v>
      </c>
      <c r="U350" s="5" t="s">
        <v>39</v>
      </c>
    </row>
    <row r="351">
      <c r="A351" s="1" t="s">
        <v>24</v>
      </c>
      <c r="B351" s="2">
        <v>16.0</v>
      </c>
      <c r="C351" s="1" t="s">
        <v>86</v>
      </c>
      <c r="D351" s="6"/>
      <c r="E351" s="3"/>
      <c r="F351" s="1" t="s">
        <v>30</v>
      </c>
      <c r="G351" s="4">
        <v>0.18819444444444444</v>
      </c>
      <c r="H351" s="1" t="s">
        <v>182</v>
      </c>
      <c r="I351" s="1" t="s">
        <v>28</v>
      </c>
      <c r="J351" s="4">
        <v>0.4618055555555556</v>
      </c>
      <c r="K351" s="1" t="s">
        <v>29</v>
      </c>
      <c r="L351" s="1" t="s">
        <v>30</v>
      </c>
      <c r="M351" s="4">
        <v>0.6951388888888889</v>
      </c>
      <c r="N351" s="1" t="s">
        <v>446</v>
      </c>
      <c r="O351" s="1" t="s">
        <v>28</v>
      </c>
      <c r="P351" s="4">
        <v>0.9416666666666667</v>
      </c>
      <c r="Q351" s="1" t="s">
        <v>109</v>
      </c>
      <c r="R351" s="1">
        <f t="shared" si="1"/>
        <v>69</v>
      </c>
      <c r="S351" s="1">
        <f t="shared" si="2"/>
        <v>58</v>
      </c>
      <c r="T351" s="5">
        <f t="shared" si="3"/>
        <v>69</v>
      </c>
      <c r="U351" s="5" t="s">
        <v>39</v>
      </c>
    </row>
    <row r="352">
      <c r="A352" s="1" t="s">
        <v>24</v>
      </c>
      <c r="B352" s="2">
        <v>17.0</v>
      </c>
      <c r="C352" s="1" t="s">
        <v>26</v>
      </c>
      <c r="D352" s="6"/>
      <c r="E352" s="7" t="s">
        <v>184</v>
      </c>
      <c r="F352" s="1" t="s">
        <v>30</v>
      </c>
      <c r="G352" s="4">
        <v>0.22291666666666668</v>
      </c>
      <c r="H352" s="1" t="s">
        <v>186</v>
      </c>
      <c r="I352" s="1" t="s">
        <v>28</v>
      </c>
      <c r="J352" s="4">
        <v>0.5006944444444444</v>
      </c>
      <c r="K352" s="1" t="s">
        <v>145</v>
      </c>
      <c r="L352" s="1" t="s">
        <v>30</v>
      </c>
      <c r="M352" s="4">
        <v>0.7493055555555556</v>
      </c>
      <c r="N352" s="1" t="s">
        <v>224</v>
      </c>
      <c r="O352" s="1" t="s">
        <v>28</v>
      </c>
      <c r="P352" s="4">
        <v>0.9888888888888889</v>
      </c>
      <c r="Q352" s="1" t="s">
        <v>359</v>
      </c>
      <c r="R352" s="1">
        <f t="shared" si="1"/>
        <v>68</v>
      </c>
      <c r="S352" s="1">
        <f t="shared" si="2"/>
        <v>52</v>
      </c>
      <c r="T352" s="5">
        <f t="shared" si="3"/>
        <v>68</v>
      </c>
      <c r="U352" s="5" t="s">
        <v>39</v>
      </c>
    </row>
    <row r="353">
      <c r="A353" s="1" t="s">
        <v>24</v>
      </c>
      <c r="B353" s="2">
        <v>18.0</v>
      </c>
      <c r="C353" s="1" t="s">
        <v>34</v>
      </c>
      <c r="D353" s="6"/>
      <c r="E353" s="3"/>
      <c r="F353" s="1" t="s">
        <v>30</v>
      </c>
      <c r="G353" s="4">
        <v>0.2625</v>
      </c>
      <c r="H353" s="1" t="s">
        <v>146</v>
      </c>
      <c r="I353" s="1" t="s">
        <v>28</v>
      </c>
      <c r="J353" s="4">
        <v>0.5395833333333333</v>
      </c>
      <c r="K353" s="1" t="s">
        <v>111</v>
      </c>
      <c r="L353" s="1" t="s">
        <v>30</v>
      </c>
      <c r="M353" s="4">
        <v>0.8055555555555556</v>
      </c>
      <c r="N353" s="1" t="s">
        <v>134</v>
      </c>
      <c r="R353" s="1">
        <f t="shared" si="1"/>
        <v>70</v>
      </c>
      <c r="S353" s="1">
        <f t="shared" si="2"/>
        <v>50</v>
      </c>
      <c r="T353" s="5">
        <f t="shared" si="3"/>
        <v>70</v>
      </c>
      <c r="U353" s="5" t="s">
        <v>39</v>
      </c>
    </row>
    <row r="354">
      <c r="A354" s="1" t="s">
        <v>24</v>
      </c>
      <c r="B354" s="2">
        <v>19.0</v>
      </c>
      <c r="C354" s="1" t="s">
        <v>41</v>
      </c>
      <c r="D354" s="1" t="s">
        <v>42</v>
      </c>
      <c r="E354" s="3"/>
      <c r="F354" s="1" t="s">
        <v>28</v>
      </c>
      <c r="G354" s="4">
        <v>0.04513888888888889</v>
      </c>
      <c r="H354" s="1" t="s">
        <v>249</v>
      </c>
      <c r="I354" s="1" t="s">
        <v>30</v>
      </c>
      <c r="J354" s="4">
        <v>0.3034722222222222</v>
      </c>
      <c r="K354" s="1" t="s">
        <v>257</v>
      </c>
      <c r="L354" s="1" t="s">
        <v>28</v>
      </c>
      <c r="M354" s="4">
        <v>0.5763888888888888</v>
      </c>
      <c r="N354" s="1" t="s">
        <v>123</v>
      </c>
      <c r="O354" s="1" t="s">
        <v>30</v>
      </c>
      <c r="P354" s="4">
        <v>0.85625</v>
      </c>
      <c r="Q354" s="1" t="s">
        <v>88</v>
      </c>
      <c r="R354" s="1">
        <f t="shared" si="1"/>
        <v>57</v>
      </c>
      <c r="S354" s="1">
        <f t="shared" si="2"/>
        <v>85</v>
      </c>
      <c r="T354" s="5">
        <f t="shared" si="3"/>
        <v>85</v>
      </c>
      <c r="U354" s="5" t="s">
        <v>39</v>
      </c>
    </row>
    <row r="355">
      <c r="A355" s="1" t="s">
        <v>24</v>
      </c>
      <c r="B355" s="2">
        <v>20.0</v>
      </c>
      <c r="C355" s="1" t="s">
        <v>55</v>
      </c>
      <c r="D355" s="1" t="s">
        <v>42</v>
      </c>
      <c r="E355" s="3"/>
      <c r="F355" s="1" t="s">
        <v>28</v>
      </c>
      <c r="G355" s="4">
        <v>0.10208333333333333</v>
      </c>
      <c r="H355" s="1" t="s">
        <v>29</v>
      </c>
      <c r="I355" s="1" t="s">
        <v>30</v>
      </c>
      <c r="J355" s="4">
        <v>0.34375</v>
      </c>
      <c r="K355" s="1" t="s">
        <v>114</v>
      </c>
      <c r="L355" s="1" t="s">
        <v>28</v>
      </c>
      <c r="M355" s="4">
        <v>0.6125</v>
      </c>
      <c r="N355" s="1" t="s">
        <v>218</v>
      </c>
      <c r="O355" s="1" t="s">
        <v>30</v>
      </c>
      <c r="P355" s="4">
        <v>0.8993055555555556</v>
      </c>
      <c r="Q355" s="1" t="s">
        <v>219</v>
      </c>
      <c r="R355" s="1">
        <f t="shared" si="1"/>
        <v>54</v>
      </c>
      <c r="S355" s="1">
        <f t="shared" si="2"/>
        <v>111</v>
      </c>
      <c r="T355" s="5">
        <f t="shared" si="3"/>
        <v>111</v>
      </c>
      <c r="U355" s="5" t="s">
        <v>90</v>
      </c>
    </row>
    <row r="356">
      <c r="A356" s="1" t="s">
        <v>24</v>
      </c>
      <c r="B356" s="2">
        <v>21.0</v>
      </c>
      <c r="C356" s="1" t="s">
        <v>25</v>
      </c>
      <c r="D356" s="6"/>
      <c r="E356" s="3"/>
      <c r="F356" s="1" t="s">
        <v>28</v>
      </c>
      <c r="G356" s="4">
        <v>0.15347222222222223</v>
      </c>
      <c r="H356" s="1" t="s">
        <v>426</v>
      </c>
      <c r="I356" s="1" t="s">
        <v>30</v>
      </c>
      <c r="J356" s="4">
        <v>0.38125</v>
      </c>
      <c r="K356" s="1" t="s">
        <v>31</v>
      </c>
      <c r="L356" s="1" t="s">
        <v>28</v>
      </c>
      <c r="M356" s="4">
        <v>0.6479166666666667</v>
      </c>
      <c r="N356" s="1" t="s">
        <v>335</v>
      </c>
      <c r="O356" s="1" t="s">
        <v>30</v>
      </c>
      <c r="P356" s="4">
        <v>0.9381944444444444</v>
      </c>
      <c r="Q356" s="1" t="s">
        <v>415</v>
      </c>
      <c r="R356" s="1">
        <f t="shared" si="1"/>
        <v>57</v>
      </c>
      <c r="S356" s="1">
        <f t="shared" si="2"/>
        <v>139</v>
      </c>
      <c r="T356" s="5">
        <f t="shared" si="3"/>
        <v>139</v>
      </c>
      <c r="U356" s="5" t="s">
        <v>47</v>
      </c>
    </row>
    <row r="357">
      <c r="A357" s="1" t="s">
        <v>24</v>
      </c>
      <c r="B357" s="2">
        <v>22.0</v>
      </c>
      <c r="C357" s="1" t="s">
        <v>75</v>
      </c>
      <c r="D357" s="6"/>
      <c r="E357" s="3"/>
      <c r="F357" s="1" t="s">
        <v>28</v>
      </c>
      <c r="G357" s="4">
        <v>0.19652777777777777</v>
      </c>
      <c r="H357" s="1" t="s">
        <v>359</v>
      </c>
      <c r="I357" s="1" t="s">
        <v>30</v>
      </c>
      <c r="J357" s="4">
        <v>0.4173611111111111</v>
      </c>
      <c r="K357" s="1" t="s">
        <v>469</v>
      </c>
      <c r="L357" s="1" t="s">
        <v>28</v>
      </c>
      <c r="M357" s="4">
        <v>0.6826388888888889</v>
      </c>
      <c r="N357" s="1" t="s">
        <v>434</v>
      </c>
      <c r="O357" s="1" t="s">
        <v>30</v>
      </c>
      <c r="P357" s="4">
        <v>0.9743055555555555</v>
      </c>
      <c r="Q357" s="1" t="s">
        <v>513</v>
      </c>
      <c r="R357" s="1">
        <f t="shared" si="1"/>
        <v>63</v>
      </c>
      <c r="S357" s="1">
        <f t="shared" si="2"/>
        <v>164</v>
      </c>
      <c r="T357" s="5">
        <f t="shared" si="3"/>
        <v>164</v>
      </c>
      <c r="U357" s="5" t="s">
        <v>47</v>
      </c>
    </row>
    <row r="358">
      <c r="A358" s="1" t="s">
        <v>24</v>
      </c>
      <c r="B358" s="2">
        <v>23.0</v>
      </c>
      <c r="C358" s="1" t="s">
        <v>86</v>
      </c>
      <c r="D358" s="6"/>
      <c r="E358" s="3"/>
      <c r="F358" s="1" t="s">
        <v>28</v>
      </c>
      <c r="G358" s="4">
        <v>0.23472222222222222</v>
      </c>
      <c r="H358" s="1" t="s">
        <v>157</v>
      </c>
      <c r="I358" s="1" t="s">
        <v>30</v>
      </c>
      <c r="J358" s="4">
        <v>0.45208333333333334</v>
      </c>
      <c r="K358" s="1" t="s">
        <v>277</v>
      </c>
      <c r="L358" s="1" t="s">
        <v>28</v>
      </c>
      <c r="M358" s="4">
        <v>0.7180555555555556</v>
      </c>
      <c r="N358" s="1" t="s">
        <v>436</v>
      </c>
      <c r="R358" s="1">
        <f t="shared" si="1"/>
        <v>69</v>
      </c>
      <c r="S358" s="1">
        <f t="shared" si="2"/>
        <v>68</v>
      </c>
      <c r="T358" s="5">
        <f t="shared" si="3"/>
        <v>69</v>
      </c>
      <c r="U358" s="5" t="s">
        <v>39</v>
      </c>
    </row>
    <row r="359">
      <c r="A359" s="1" t="s">
        <v>24</v>
      </c>
      <c r="B359" s="2">
        <v>24.0</v>
      </c>
      <c r="C359" s="1" t="s">
        <v>26</v>
      </c>
      <c r="D359" s="6"/>
      <c r="E359" s="7" t="s">
        <v>35</v>
      </c>
      <c r="F359" s="1" t="s">
        <v>30</v>
      </c>
      <c r="G359" s="4">
        <v>0.009722222222222222</v>
      </c>
      <c r="H359" s="1" t="s">
        <v>43</v>
      </c>
      <c r="I359" s="1" t="s">
        <v>28</v>
      </c>
      <c r="J359" s="4">
        <v>0.26944444444444443</v>
      </c>
      <c r="K359" s="1" t="s">
        <v>111</v>
      </c>
      <c r="L359" s="1" t="s">
        <v>30</v>
      </c>
      <c r="M359" s="4">
        <v>0.4861111111111111</v>
      </c>
      <c r="N359" s="1" t="s">
        <v>186</v>
      </c>
      <c r="O359" s="1" t="s">
        <v>28</v>
      </c>
      <c r="P359" s="4">
        <v>0.7520833333333333</v>
      </c>
      <c r="Q359" s="1" t="s">
        <v>298</v>
      </c>
      <c r="R359" s="1">
        <f t="shared" si="1"/>
        <v>128</v>
      </c>
      <c r="S359" s="1">
        <f t="shared" si="2"/>
        <v>135</v>
      </c>
      <c r="T359" s="5">
        <f t="shared" si="3"/>
        <v>135</v>
      </c>
      <c r="U359" s="5" t="s">
        <v>47</v>
      </c>
    </row>
    <row r="360">
      <c r="A360" s="1" t="s">
        <v>24</v>
      </c>
      <c r="B360" s="2">
        <v>25.0</v>
      </c>
      <c r="C360" s="1" t="s">
        <v>34</v>
      </c>
      <c r="D360" s="1" t="s">
        <v>514</v>
      </c>
      <c r="E360" s="3"/>
      <c r="F360" s="1" t="s">
        <v>30</v>
      </c>
      <c r="G360" s="4">
        <v>0.04375</v>
      </c>
      <c r="H360" s="1" t="s">
        <v>515</v>
      </c>
      <c r="I360" s="1" t="s">
        <v>28</v>
      </c>
      <c r="J360" s="4">
        <v>0.3020833333333333</v>
      </c>
      <c r="K360" s="1" t="s">
        <v>65</v>
      </c>
      <c r="L360" s="1" t="s">
        <v>30</v>
      </c>
      <c r="M360" s="4">
        <v>0.5208333333333334</v>
      </c>
      <c r="N360" s="1" t="s">
        <v>58</v>
      </c>
      <c r="O360" s="1" t="s">
        <v>28</v>
      </c>
      <c r="P360" s="4">
        <v>0.7861111111111111</v>
      </c>
      <c r="Q360" s="1" t="s">
        <v>346</v>
      </c>
      <c r="R360" s="1">
        <f t="shared" si="1"/>
        <v>133</v>
      </c>
      <c r="S360" s="1">
        <f t="shared" si="2"/>
        <v>140</v>
      </c>
      <c r="T360" s="5">
        <f t="shared" si="3"/>
        <v>140</v>
      </c>
      <c r="U360" s="5" t="s">
        <v>47</v>
      </c>
    </row>
    <row r="361">
      <c r="A361" s="1" t="s">
        <v>24</v>
      </c>
      <c r="B361" s="2">
        <v>26.0</v>
      </c>
      <c r="C361" s="1" t="s">
        <v>41</v>
      </c>
      <c r="D361" s="1" t="s">
        <v>42</v>
      </c>
      <c r="E361" s="3"/>
      <c r="F361" s="1" t="s">
        <v>30</v>
      </c>
      <c r="G361" s="4">
        <v>0.07777777777777778</v>
      </c>
      <c r="H361" s="1" t="s">
        <v>516</v>
      </c>
      <c r="I361" s="1" t="s">
        <v>28</v>
      </c>
      <c r="J361" s="4">
        <v>0.3347222222222222</v>
      </c>
      <c r="K361" s="1" t="s">
        <v>77</v>
      </c>
      <c r="L361" s="1" t="s">
        <v>30</v>
      </c>
      <c r="M361" s="4">
        <v>0.5555555555555556</v>
      </c>
      <c r="N361" s="1" t="s">
        <v>66</v>
      </c>
      <c r="O361" s="1" t="s">
        <v>28</v>
      </c>
      <c r="P361" s="4">
        <v>0.8194444444444444</v>
      </c>
      <c r="Q361" s="1" t="s">
        <v>59</v>
      </c>
      <c r="R361" s="1">
        <f t="shared" si="1"/>
        <v>132</v>
      </c>
      <c r="S361" s="1">
        <f t="shared" si="2"/>
        <v>139</v>
      </c>
      <c r="T361" s="5">
        <f t="shared" si="3"/>
        <v>139</v>
      </c>
      <c r="U361" s="5" t="s">
        <v>47</v>
      </c>
    </row>
    <row r="362">
      <c r="A362" s="1" t="s">
        <v>24</v>
      </c>
      <c r="B362" s="2">
        <v>27.0</v>
      </c>
      <c r="C362" s="1" t="s">
        <v>55</v>
      </c>
      <c r="D362" s="1" t="s">
        <v>42</v>
      </c>
      <c r="E362" s="3"/>
      <c r="F362" s="1" t="s">
        <v>30</v>
      </c>
      <c r="G362" s="4">
        <v>0.11041666666666666</v>
      </c>
      <c r="H362" s="1" t="s">
        <v>510</v>
      </c>
      <c r="I362" s="1" t="s">
        <v>28</v>
      </c>
      <c r="J362" s="4">
        <v>0.3659722222222222</v>
      </c>
      <c r="K362" s="1" t="s">
        <v>77</v>
      </c>
      <c r="L362" s="1" t="s">
        <v>30</v>
      </c>
      <c r="M362" s="4">
        <v>0.5916666666666667</v>
      </c>
      <c r="N362" s="1" t="s">
        <v>313</v>
      </c>
      <c r="O362" s="1" t="s">
        <v>28</v>
      </c>
      <c r="P362" s="4">
        <v>0.8527777777777777</v>
      </c>
      <c r="Q362" s="1" t="s">
        <v>216</v>
      </c>
      <c r="R362" s="1">
        <f t="shared" si="1"/>
        <v>126</v>
      </c>
      <c r="S362" s="1">
        <f t="shared" si="2"/>
        <v>128</v>
      </c>
      <c r="T362" s="5">
        <f t="shared" si="3"/>
        <v>128</v>
      </c>
      <c r="U362" s="5" t="s">
        <v>47</v>
      </c>
    </row>
    <row r="363">
      <c r="A363" s="1" t="s">
        <v>24</v>
      </c>
      <c r="B363" s="2">
        <v>28.0</v>
      </c>
      <c r="C363" s="1" t="s">
        <v>25</v>
      </c>
      <c r="D363" s="6"/>
      <c r="E363" s="3"/>
      <c r="F363" s="1" t="s">
        <v>30</v>
      </c>
      <c r="G363" s="4">
        <v>0.1423611111111111</v>
      </c>
      <c r="H363" s="1" t="s">
        <v>511</v>
      </c>
      <c r="I363" s="1" t="s">
        <v>28</v>
      </c>
      <c r="J363" s="4">
        <v>0.39791666666666664</v>
      </c>
      <c r="K363" s="1" t="s">
        <v>77</v>
      </c>
      <c r="L363" s="1" t="s">
        <v>30</v>
      </c>
      <c r="M363" s="4">
        <v>0.6298611111111111</v>
      </c>
      <c r="N363" s="1" t="s">
        <v>88</v>
      </c>
      <c r="O363" s="1" t="s">
        <v>28</v>
      </c>
      <c r="P363" s="4">
        <v>0.8875</v>
      </c>
      <c r="Q363" s="1" t="s">
        <v>89</v>
      </c>
      <c r="R363" s="1">
        <f t="shared" si="1"/>
        <v>115</v>
      </c>
      <c r="S363" s="1">
        <f t="shared" si="2"/>
        <v>111</v>
      </c>
      <c r="T363" s="5">
        <f t="shared" si="3"/>
        <v>115</v>
      </c>
      <c r="U363" s="5" t="s">
        <v>90</v>
      </c>
    </row>
    <row r="364">
      <c r="A364" s="1" t="s">
        <v>24</v>
      </c>
      <c r="B364" s="2">
        <v>29.0</v>
      </c>
      <c r="C364" s="1" t="s">
        <v>75</v>
      </c>
      <c r="D364" s="6"/>
      <c r="E364" s="3"/>
      <c r="F364" s="1" t="s">
        <v>30</v>
      </c>
      <c r="G364" s="4">
        <v>0.17291666666666666</v>
      </c>
      <c r="H364" s="1" t="s">
        <v>132</v>
      </c>
      <c r="I364" s="1" t="s">
        <v>28</v>
      </c>
      <c r="J364" s="4">
        <v>0.42986111111111114</v>
      </c>
      <c r="K364" s="1" t="s">
        <v>77</v>
      </c>
      <c r="L364" s="1" t="s">
        <v>30</v>
      </c>
      <c r="M364" s="4">
        <v>0.6715277777777777</v>
      </c>
      <c r="N364" s="1" t="s">
        <v>277</v>
      </c>
      <c r="O364" s="1" t="s">
        <v>28</v>
      </c>
      <c r="P364" s="4">
        <v>0.9243055555555556</v>
      </c>
      <c r="Q364" s="1" t="s">
        <v>183</v>
      </c>
      <c r="R364" s="1">
        <f t="shared" si="1"/>
        <v>102</v>
      </c>
      <c r="S364" s="1">
        <f t="shared" si="2"/>
        <v>89</v>
      </c>
      <c r="T364" s="5">
        <f t="shared" si="3"/>
        <v>102</v>
      </c>
      <c r="U364" s="5" t="s">
        <v>90</v>
      </c>
    </row>
    <row r="365">
      <c r="A365" s="1" t="s">
        <v>24</v>
      </c>
      <c r="B365" s="2">
        <v>30.0</v>
      </c>
      <c r="C365" s="1" t="s">
        <v>86</v>
      </c>
      <c r="D365" s="6"/>
      <c r="E365" s="3"/>
      <c r="F365" s="1" t="s">
        <v>30</v>
      </c>
      <c r="G365" s="4">
        <v>0.20347222222222222</v>
      </c>
      <c r="H365" s="1" t="s">
        <v>215</v>
      </c>
      <c r="I365" s="1" t="s">
        <v>28</v>
      </c>
      <c r="J365" s="4">
        <v>0.46458333333333335</v>
      </c>
      <c r="K365" s="1" t="s">
        <v>77</v>
      </c>
      <c r="L365" s="1" t="s">
        <v>30</v>
      </c>
      <c r="M365" s="4">
        <v>0.7180555555555556</v>
      </c>
      <c r="N365" s="1" t="s">
        <v>257</v>
      </c>
      <c r="O365" s="1" t="s">
        <v>28</v>
      </c>
      <c r="P365" s="4">
        <v>0.9659722222222222</v>
      </c>
      <c r="Q365" s="1" t="s">
        <v>111</v>
      </c>
      <c r="R365" s="1">
        <f t="shared" si="1"/>
        <v>89</v>
      </c>
      <c r="S365" s="1">
        <f t="shared" si="2"/>
        <v>67</v>
      </c>
      <c r="T365" s="5">
        <f t="shared" si="3"/>
        <v>89</v>
      </c>
      <c r="U365" s="5" t="s">
        <v>39</v>
      </c>
    </row>
    <row r="366">
      <c r="A366" s="1" t="s">
        <v>24</v>
      </c>
      <c r="B366" s="2">
        <v>31.0</v>
      </c>
      <c r="C366" s="1" t="s">
        <v>26</v>
      </c>
      <c r="D366" s="6"/>
      <c r="E366" s="7" t="s">
        <v>107</v>
      </c>
      <c r="F366" s="1" t="s">
        <v>30</v>
      </c>
      <c r="G366" s="4">
        <v>0.23472222222222222</v>
      </c>
      <c r="H366" s="1" t="s">
        <v>110</v>
      </c>
      <c r="I366" s="1" t="s">
        <v>28</v>
      </c>
      <c r="J366" s="4">
        <v>0.5013888888888889</v>
      </c>
      <c r="K366" s="1" t="s">
        <v>77</v>
      </c>
      <c r="L366" s="1" t="s">
        <v>30</v>
      </c>
      <c r="M366" s="4">
        <v>0.7743055555555556</v>
      </c>
      <c r="N366" s="1" t="s">
        <v>114</v>
      </c>
      <c r="R366" s="1">
        <f t="shared" si="1"/>
        <v>77</v>
      </c>
      <c r="S366" s="1">
        <f t="shared" si="2"/>
        <v>51</v>
      </c>
      <c r="T366" s="5">
        <f t="shared" si="3"/>
        <v>77</v>
      </c>
      <c r="U366" s="5" t="s">
        <v>39</v>
      </c>
    </row>
  </sheetData>
  <mergeCells count="12">
    <mergeCell ref="Y87:AE87"/>
    <mergeCell ref="Y99:AE99"/>
    <mergeCell ref="Y111:AE111"/>
    <mergeCell ref="Y123:AE123"/>
    <mergeCell ref="Y135:AE135"/>
    <mergeCell ref="Y3:AE3"/>
    <mergeCell ref="Y15:AE15"/>
    <mergeCell ref="Y27:AE27"/>
    <mergeCell ref="Y39:AE39"/>
    <mergeCell ref="Y51:AE51"/>
    <mergeCell ref="Y63:AE63"/>
    <mergeCell ref="Y75:AE7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.75"/>
    <col customWidth="1" min="3" max="3" width="3.13"/>
    <col customWidth="1" min="4" max="4" width="26.38"/>
    <col customWidth="1" min="5" max="5" width="15.25"/>
    <col customWidth="1" min="6" max="7" width="7.0"/>
    <col customWidth="1" min="8" max="8" width="10.63"/>
    <col customWidth="1" min="9" max="10" width="7.0"/>
    <col customWidth="1" min="11" max="11" width="10.63"/>
    <col customWidth="1" min="12" max="13" width="7.0"/>
    <col customWidth="1" min="14" max="14" width="10.63"/>
    <col customWidth="1" min="15" max="16" width="7.0"/>
    <col customWidth="1" min="17" max="17" width="10.63"/>
    <col customWidth="1" min="18" max="18" width="12.88"/>
    <col customWidth="1" min="19" max="19" width="14.13"/>
    <col customWidth="1" min="20" max="20" width="10.38"/>
    <col customWidth="1" min="21" max="21" width="12.88"/>
    <col customWidth="1" min="22" max="23" width="24.38"/>
    <col customWidth="1" min="24" max="24" width="9.5"/>
    <col customWidth="1" min="25" max="25" width="9.0"/>
    <col customWidth="1" min="26" max="26" width="14.13"/>
    <col customWidth="1" min="27" max="32" width="16.5"/>
    <col customWidth="1" min="33" max="33" width="10.0"/>
    <col customWidth="1" min="34" max="34" width="25.13"/>
    <col customWidth="1" min="35" max="35" width="24.25"/>
    <col customWidth="1" min="36" max="47" width="26.0"/>
    <col customWidth="1" min="48" max="48" width="26.5"/>
    <col customWidth="1" min="49" max="57" width="26.0"/>
    <col customWidth="1" min="58" max="59" width="25.63"/>
    <col customWidth="1" min="60" max="61" width="24.25"/>
    <col customWidth="1" min="62" max="63" width="26.0"/>
    <col customWidth="1" min="64" max="64" width="26.5"/>
    <col customWidth="1" min="65" max="65" width="24.38"/>
    <col customWidth="1" min="66" max="66" width="26.0"/>
    <col customWidth="1" min="67" max="67" width="25.63"/>
    <col customWidth="1" min="68" max="68" width="24.38"/>
    <col customWidth="1" min="69" max="70" width="26.0"/>
    <col customWidth="1" min="71" max="72" width="26.5"/>
    <col customWidth="1" min="73" max="73" width="24.38"/>
    <col customWidth="1" min="74" max="74" width="24.63"/>
    <col customWidth="1" min="75" max="75" width="25.63"/>
    <col customWidth="1" min="76" max="80" width="24.38"/>
    <col customWidth="1" min="81" max="81" width="25.13"/>
    <col customWidth="1" min="82" max="83" width="25.63"/>
    <col customWidth="1" min="84" max="84" width="25.13"/>
    <col customWidth="1" min="85" max="86" width="26.0"/>
    <col customWidth="1" min="87" max="90" width="25.63"/>
    <col customWidth="1" min="91" max="94" width="26.0"/>
    <col customWidth="1" min="95" max="95" width="25.63"/>
    <col customWidth="1" min="96" max="96" width="25.13"/>
    <col customWidth="1" min="97" max="101" width="26.0"/>
    <col customWidth="1" min="102" max="102" width="25.63"/>
    <col customWidth="1" min="103" max="103" width="26.0"/>
    <col customWidth="1" min="104" max="104" width="25.63"/>
    <col customWidth="1" min="105" max="107" width="26.0"/>
    <col customWidth="1" min="108" max="108" width="25.63"/>
    <col customWidth="1" min="109" max="122" width="26.0"/>
    <col customWidth="1" min="123" max="123" width="24.63"/>
    <col customWidth="1" min="124" max="138" width="26.0"/>
    <col customWidth="1" min="139" max="139" width="25.13"/>
    <col customWidth="1" min="140" max="143" width="26.0"/>
    <col customWidth="1" min="144" max="144" width="25.63"/>
    <col customWidth="1" min="145" max="150" width="26.0"/>
    <col customWidth="1" min="151" max="151" width="24.38"/>
    <col customWidth="1" min="152" max="152" width="25.63"/>
    <col customWidth="1" min="153" max="153" width="24.63"/>
    <col customWidth="1" min="154" max="154" width="25.63"/>
    <col customWidth="1" min="155" max="155" width="26.0"/>
    <col customWidth="1" min="156" max="159" width="25.63"/>
    <col customWidth="1" min="160" max="160" width="24.38"/>
    <col customWidth="1" min="161" max="161" width="25.13"/>
    <col customWidth="1" min="162" max="168" width="24.38"/>
    <col customWidth="1" min="169" max="179" width="24.25"/>
    <col customWidth="1" min="180" max="180" width="23.5"/>
  </cols>
  <sheetData>
    <row r="1">
      <c r="A1" s="1" t="s">
        <v>871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>
      <c r="A2" s="1" t="s">
        <v>154</v>
      </c>
      <c r="B2" s="2">
        <v>1.0</v>
      </c>
      <c r="C2" s="1" t="s">
        <v>26</v>
      </c>
      <c r="D2" s="1" t="s">
        <v>27</v>
      </c>
      <c r="E2" s="3"/>
      <c r="F2" s="1" t="s">
        <v>28</v>
      </c>
      <c r="G2" s="4">
        <v>0.18958333333333333</v>
      </c>
      <c r="H2" s="1" t="s">
        <v>29</v>
      </c>
      <c r="I2" s="1" t="s">
        <v>30</v>
      </c>
      <c r="J2" s="4">
        <v>0.40555555555555556</v>
      </c>
      <c r="K2" s="1" t="s">
        <v>31</v>
      </c>
      <c r="L2" s="1" t="s">
        <v>28</v>
      </c>
      <c r="M2" s="4">
        <v>0.6743055555555556</v>
      </c>
      <c r="N2" s="1" t="s">
        <v>32</v>
      </c>
      <c r="O2" s="1" t="s">
        <v>30</v>
      </c>
      <c r="P2" s="4">
        <v>0.9694444444444444</v>
      </c>
      <c r="Q2" s="1" t="s">
        <v>33</v>
      </c>
      <c r="R2" s="1">
        <f t="shared" ref="R2:R366" si="1">LET(
  clean, LAMBDA(x, IF(x="", 0, VALUE(SUBSTITUTE(TRIM(x), "cm", "")))),
  a, clean(H2),
  b, clean(K2),
  MAX(a, b) - MIN(a, b)
)</f>
        <v>55</v>
      </c>
      <c r="S2" s="1">
        <f t="shared" ref="S2:S366" si="2">LET(
  clean, LAMBDA(x, IF(x="", 0, VALUE(SUBSTITUTE(TRIM(x), "cm", "")))),
  a, clean(N2),
  b, clean(Q2),
  MAX(a, b) - MIN(a, b)
)</f>
        <v>159</v>
      </c>
      <c r="T2" s="5">
        <f t="shared" ref="T2:T366" si="3">max(R2,S2)</f>
        <v>159</v>
      </c>
      <c r="U2" s="5" t="str">
        <f t="array" ref="U2:U366">IF(T2:T366 = "", "", LET( big, V2, small, W2, IF(T2:T366 &gt;= big, "大潮", IF(T2:T366 &gt;= small, "中潮", "小潮")) ) )</f>
        <v>大潮</v>
      </c>
      <c r="V2" s="5">
        <f>IFERROR(__xludf.DUMMYFUNCTION("LET( data, FILTER(T2:T366, T2:T366 &lt;&gt; """"), n, COUNTA(data), k, ROUNDUP(n/3, 0), sorted, SORT(data, 1, FALSE), INDEX(sorted, k) )"),124.0)</f>
        <v>124</v>
      </c>
      <c r="W2" s="5">
        <f>IFERROR(__xludf.DUMMYFUNCTION("LET( data, FILTER(T2:T366, T2:T366 &lt;&gt; """"), n, COUNTA(data), k, ROUNDUP(n/3, 0), sorted, SORT(data, 1, FALSE), INDEX(sorted, n - k + 1) )"),91.0)</f>
        <v>91</v>
      </c>
    </row>
    <row r="3">
      <c r="A3" s="1" t="s">
        <v>154</v>
      </c>
      <c r="B3" s="2">
        <v>2.0</v>
      </c>
      <c r="C3" s="1" t="s">
        <v>34</v>
      </c>
      <c r="D3" s="6"/>
      <c r="E3" s="3"/>
      <c r="F3" s="1" t="s">
        <v>28</v>
      </c>
      <c r="G3" s="4">
        <v>0.23055555555555557</v>
      </c>
      <c r="H3" s="1" t="s">
        <v>36</v>
      </c>
      <c r="I3" s="1" t="s">
        <v>30</v>
      </c>
      <c r="J3" s="4">
        <v>0.4444444444444444</v>
      </c>
      <c r="K3" s="1" t="s">
        <v>37</v>
      </c>
      <c r="L3" s="1" t="s">
        <v>28</v>
      </c>
      <c r="M3" s="4">
        <v>0.7118055555555556</v>
      </c>
      <c r="N3" s="1" t="s">
        <v>38</v>
      </c>
      <c r="R3" s="1">
        <f t="shared" si="1"/>
        <v>62</v>
      </c>
      <c r="S3" s="1">
        <f t="shared" si="2"/>
        <v>65</v>
      </c>
      <c r="T3" s="5">
        <f t="shared" si="3"/>
        <v>65</v>
      </c>
      <c r="U3" s="5" t="s">
        <v>39</v>
      </c>
      <c r="Z3" s="8" t="s">
        <v>40</v>
      </c>
    </row>
    <row r="4">
      <c r="A4" s="1" t="s">
        <v>154</v>
      </c>
      <c r="B4" s="2">
        <v>3.0</v>
      </c>
      <c r="C4" s="1" t="s">
        <v>41</v>
      </c>
      <c r="D4" s="1" t="s">
        <v>42</v>
      </c>
      <c r="E4" s="7" t="s">
        <v>35</v>
      </c>
      <c r="F4" s="1" t="s">
        <v>30</v>
      </c>
      <c r="G4" s="4">
        <v>0.00625</v>
      </c>
      <c r="H4" s="1" t="s">
        <v>43</v>
      </c>
      <c r="I4" s="1" t="s">
        <v>28</v>
      </c>
      <c r="J4" s="4">
        <v>0.2659722222222222</v>
      </c>
      <c r="K4" s="1" t="s">
        <v>44</v>
      </c>
      <c r="L4" s="1" t="s">
        <v>30</v>
      </c>
      <c r="M4" s="4">
        <v>0.48055555555555557</v>
      </c>
      <c r="N4" s="1" t="s">
        <v>45</v>
      </c>
      <c r="O4" s="1" t="s">
        <v>28</v>
      </c>
      <c r="P4" s="4">
        <v>0.7472222222222222</v>
      </c>
      <c r="Q4" s="1" t="s">
        <v>46</v>
      </c>
      <c r="R4" s="1">
        <f t="shared" si="1"/>
        <v>124</v>
      </c>
      <c r="S4" s="1">
        <f t="shared" si="2"/>
        <v>131</v>
      </c>
      <c r="T4" s="5">
        <f t="shared" si="3"/>
        <v>131</v>
      </c>
      <c r="U4" s="5" t="s">
        <v>47</v>
      </c>
      <c r="Z4" s="9" t="s">
        <v>48</v>
      </c>
      <c r="AA4" s="9" t="s">
        <v>49</v>
      </c>
      <c r="AB4" s="9" t="s">
        <v>50</v>
      </c>
      <c r="AC4" s="9" t="s">
        <v>51</v>
      </c>
      <c r="AD4" s="9" t="s">
        <v>52</v>
      </c>
      <c r="AE4" s="9" t="s">
        <v>53</v>
      </c>
      <c r="AF4" s="9" t="s">
        <v>54</v>
      </c>
    </row>
    <row r="5">
      <c r="A5" s="1" t="s">
        <v>154</v>
      </c>
      <c r="B5" s="2">
        <v>4.0</v>
      </c>
      <c r="C5" s="1" t="s">
        <v>55</v>
      </c>
      <c r="D5" s="1" t="s">
        <v>42</v>
      </c>
      <c r="E5" s="3"/>
      <c r="F5" s="1" t="s">
        <v>30</v>
      </c>
      <c r="G5" s="4">
        <v>0.04027777777777778</v>
      </c>
      <c r="H5" s="1" t="s">
        <v>56</v>
      </c>
      <c r="I5" s="1" t="s">
        <v>28</v>
      </c>
      <c r="J5" s="4">
        <v>0.2972222222222222</v>
      </c>
      <c r="K5" s="1" t="s">
        <v>57</v>
      </c>
      <c r="L5" s="1" t="s">
        <v>30</v>
      </c>
      <c r="M5" s="4">
        <v>0.5152777777777777</v>
      </c>
      <c r="N5" s="1" t="s">
        <v>58</v>
      </c>
      <c r="O5" s="1" t="s">
        <v>28</v>
      </c>
      <c r="P5" s="4">
        <v>0.7798611111111111</v>
      </c>
      <c r="Q5" s="1" t="s">
        <v>59</v>
      </c>
      <c r="R5" s="1">
        <f t="shared" si="1"/>
        <v>130</v>
      </c>
      <c r="S5" s="1">
        <f t="shared" si="2"/>
        <v>137</v>
      </c>
      <c r="T5" s="5">
        <f t="shared" si="3"/>
        <v>137</v>
      </c>
      <c r="U5" s="5" t="s">
        <v>47</v>
      </c>
      <c r="Z5" s="10" t="s">
        <v>60</v>
      </c>
      <c r="AA5" s="10" t="s">
        <v>60</v>
      </c>
      <c r="AB5" s="10" t="s">
        <v>60</v>
      </c>
      <c r="AC5" s="10" t="s">
        <v>61</v>
      </c>
      <c r="AD5" s="10" t="s">
        <v>62</v>
      </c>
      <c r="AE5" s="11" t="s">
        <v>872</v>
      </c>
      <c r="AF5" s="11" t="s">
        <v>64</v>
      </c>
      <c r="AG5" s="6"/>
    </row>
    <row r="6">
      <c r="A6" s="1" t="s">
        <v>154</v>
      </c>
      <c r="B6" s="2">
        <v>5.0</v>
      </c>
      <c r="C6" s="1" t="s">
        <v>25</v>
      </c>
      <c r="D6" s="6"/>
      <c r="E6" s="3"/>
      <c r="F6" s="1" t="s">
        <v>30</v>
      </c>
      <c r="G6" s="4">
        <v>0.07222222222222222</v>
      </c>
      <c r="H6" s="1" t="s">
        <v>43</v>
      </c>
      <c r="I6" s="1" t="s">
        <v>28</v>
      </c>
      <c r="J6" s="4">
        <v>0.32708333333333334</v>
      </c>
      <c r="K6" s="1" t="s">
        <v>65</v>
      </c>
      <c r="L6" s="1" t="s">
        <v>30</v>
      </c>
      <c r="M6" s="4">
        <v>0.5479166666666667</v>
      </c>
      <c r="N6" s="1" t="s">
        <v>66</v>
      </c>
      <c r="O6" s="1" t="s">
        <v>28</v>
      </c>
      <c r="P6" s="4">
        <v>0.8111111111111111</v>
      </c>
      <c r="Q6" s="1" t="s">
        <v>67</v>
      </c>
      <c r="R6" s="1">
        <f t="shared" si="1"/>
        <v>129</v>
      </c>
      <c r="S6" s="1">
        <f t="shared" si="2"/>
        <v>136</v>
      </c>
      <c r="T6" s="5">
        <f t="shared" si="3"/>
        <v>136</v>
      </c>
      <c r="U6" s="5" t="s">
        <v>47</v>
      </c>
      <c r="Z6" s="10" t="s">
        <v>68</v>
      </c>
      <c r="AA6" s="10" t="s">
        <v>69</v>
      </c>
      <c r="AB6" s="10" t="s">
        <v>70</v>
      </c>
      <c r="AC6" s="10" t="s">
        <v>71</v>
      </c>
      <c r="AD6" s="10" t="s">
        <v>72</v>
      </c>
      <c r="AE6" s="11" t="s">
        <v>873</v>
      </c>
      <c r="AF6" s="11" t="s">
        <v>74</v>
      </c>
      <c r="AG6" s="6"/>
    </row>
    <row r="7">
      <c r="A7" s="1" t="s">
        <v>154</v>
      </c>
      <c r="B7" s="2">
        <v>6.0</v>
      </c>
      <c r="C7" s="1" t="s">
        <v>75</v>
      </c>
      <c r="D7" s="6"/>
      <c r="E7" s="3"/>
      <c r="F7" s="1" t="s">
        <v>30</v>
      </c>
      <c r="G7" s="4">
        <v>0.10138888888888889</v>
      </c>
      <c r="H7" s="1" t="s">
        <v>76</v>
      </c>
      <c r="I7" s="1" t="s">
        <v>28</v>
      </c>
      <c r="J7" s="4">
        <v>0.3541666666666667</v>
      </c>
      <c r="K7" s="1" t="s">
        <v>77</v>
      </c>
      <c r="L7" s="1" t="s">
        <v>30</v>
      </c>
      <c r="M7" s="4">
        <v>0.5805555555555556</v>
      </c>
      <c r="N7" s="1" t="s">
        <v>66</v>
      </c>
      <c r="O7" s="1" t="s">
        <v>28</v>
      </c>
      <c r="P7" s="4">
        <v>0.8409722222222222</v>
      </c>
      <c r="Q7" s="1" t="s">
        <v>78</v>
      </c>
      <c r="R7" s="1">
        <f t="shared" si="1"/>
        <v>123</v>
      </c>
      <c r="S7" s="1">
        <f t="shared" si="2"/>
        <v>127</v>
      </c>
      <c r="T7" s="5">
        <f t="shared" si="3"/>
        <v>127</v>
      </c>
      <c r="U7" s="5" t="s">
        <v>47</v>
      </c>
      <c r="Z7" s="10" t="s">
        <v>79</v>
      </c>
      <c r="AA7" s="10" t="s">
        <v>80</v>
      </c>
      <c r="AB7" s="10" t="s">
        <v>81</v>
      </c>
      <c r="AC7" s="10" t="s">
        <v>82</v>
      </c>
      <c r="AD7" s="10" t="s">
        <v>83</v>
      </c>
      <c r="AE7" s="11" t="s">
        <v>84</v>
      </c>
      <c r="AF7" s="11" t="s">
        <v>85</v>
      </c>
      <c r="AG7" s="6"/>
    </row>
    <row r="8">
      <c r="A8" s="1" t="s">
        <v>154</v>
      </c>
      <c r="B8" s="2">
        <v>7.0</v>
      </c>
      <c r="C8" s="1" t="s">
        <v>86</v>
      </c>
      <c r="D8" s="6"/>
      <c r="E8" s="3"/>
      <c r="F8" s="1" t="s">
        <v>30</v>
      </c>
      <c r="G8" s="4">
        <v>0.12777777777777777</v>
      </c>
      <c r="H8" s="1" t="s">
        <v>87</v>
      </c>
      <c r="I8" s="1" t="s">
        <v>28</v>
      </c>
      <c r="J8" s="4">
        <v>0.38125</v>
      </c>
      <c r="K8" s="1" t="s">
        <v>77</v>
      </c>
      <c r="L8" s="1" t="s">
        <v>30</v>
      </c>
      <c r="M8" s="4">
        <v>0.6125</v>
      </c>
      <c r="N8" s="1" t="s">
        <v>88</v>
      </c>
      <c r="O8" s="1" t="s">
        <v>28</v>
      </c>
      <c r="P8" s="4">
        <v>0.8701388888888889</v>
      </c>
      <c r="Q8" s="1" t="s">
        <v>89</v>
      </c>
      <c r="R8" s="1">
        <f t="shared" si="1"/>
        <v>113</v>
      </c>
      <c r="S8" s="1">
        <f t="shared" si="2"/>
        <v>111</v>
      </c>
      <c r="T8" s="5">
        <f t="shared" si="3"/>
        <v>113</v>
      </c>
      <c r="U8" s="5" t="s">
        <v>90</v>
      </c>
      <c r="Z8" s="10" t="s">
        <v>874</v>
      </c>
      <c r="AA8" s="10" t="s">
        <v>92</v>
      </c>
      <c r="AB8" s="10" t="s">
        <v>93</v>
      </c>
      <c r="AC8" s="10" t="s">
        <v>94</v>
      </c>
      <c r="AD8" s="10" t="s">
        <v>95</v>
      </c>
      <c r="AE8" s="11" t="s">
        <v>96</v>
      </c>
      <c r="AF8" s="11" t="s">
        <v>97</v>
      </c>
      <c r="AG8" s="6"/>
    </row>
    <row r="9">
      <c r="A9" s="1" t="s">
        <v>154</v>
      </c>
      <c r="B9" s="2">
        <v>8.0</v>
      </c>
      <c r="C9" s="1" t="s">
        <v>26</v>
      </c>
      <c r="D9" s="6"/>
      <c r="E9" s="3"/>
      <c r="F9" s="1" t="s">
        <v>30</v>
      </c>
      <c r="G9" s="4">
        <v>0.15208333333333332</v>
      </c>
      <c r="H9" s="1" t="s">
        <v>98</v>
      </c>
      <c r="I9" s="1" t="s">
        <v>28</v>
      </c>
      <c r="J9" s="4">
        <v>0.40694444444444444</v>
      </c>
      <c r="K9" s="1" t="s">
        <v>77</v>
      </c>
      <c r="L9" s="1" t="s">
        <v>30</v>
      </c>
      <c r="M9" s="4">
        <v>0.6458333333333334</v>
      </c>
      <c r="N9" s="1" t="s">
        <v>99</v>
      </c>
      <c r="O9" s="1" t="s">
        <v>28</v>
      </c>
      <c r="P9" s="4">
        <v>0.8993055555555556</v>
      </c>
      <c r="Q9" s="1" t="s">
        <v>100</v>
      </c>
      <c r="R9" s="1">
        <f t="shared" si="1"/>
        <v>100</v>
      </c>
      <c r="S9" s="1">
        <f t="shared" si="2"/>
        <v>91</v>
      </c>
      <c r="T9" s="5">
        <f t="shared" si="3"/>
        <v>100</v>
      </c>
      <c r="U9" s="5" t="s">
        <v>90</v>
      </c>
      <c r="Z9" s="10" t="s">
        <v>287</v>
      </c>
      <c r="AA9" s="10" t="s">
        <v>102</v>
      </c>
      <c r="AB9" s="10" t="s">
        <v>103</v>
      </c>
      <c r="AC9" s="10" t="s">
        <v>104</v>
      </c>
      <c r="AD9" s="10" t="s">
        <v>105</v>
      </c>
      <c r="AE9" s="11" t="s">
        <v>106</v>
      </c>
      <c r="AF9" s="10" t="s">
        <v>60</v>
      </c>
      <c r="AG9" s="6"/>
    </row>
    <row r="10">
      <c r="A10" s="1" t="s">
        <v>154</v>
      </c>
      <c r="B10" s="2">
        <v>9.0</v>
      </c>
      <c r="C10" s="1" t="s">
        <v>34</v>
      </c>
      <c r="D10" s="6"/>
      <c r="E10" s="3"/>
      <c r="F10" s="1" t="s">
        <v>30</v>
      </c>
      <c r="G10" s="4">
        <v>0.17569444444444443</v>
      </c>
      <c r="H10" s="1" t="s">
        <v>108</v>
      </c>
      <c r="I10" s="1" t="s">
        <v>28</v>
      </c>
      <c r="J10" s="4">
        <v>0.43472222222222223</v>
      </c>
      <c r="K10" s="1" t="s">
        <v>65</v>
      </c>
      <c r="L10" s="1" t="s">
        <v>30</v>
      </c>
      <c r="M10" s="4">
        <v>0.6819444444444445</v>
      </c>
      <c r="N10" s="1" t="s">
        <v>31</v>
      </c>
      <c r="O10" s="1" t="s">
        <v>28</v>
      </c>
      <c r="P10" s="4">
        <v>0.9305555555555556</v>
      </c>
      <c r="Q10" s="1" t="s">
        <v>109</v>
      </c>
      <c r="R10" s="1">
        <f t="shared" si="1"/>
        <v>87</v>
      </c>
      <c r="S10" s="1">
        <f t="shared" si="2"/>
        <v>69</v>
      </c>
      <c r="T10" s="5">
        <f t="shared" si="3"/>
        <v>87</v>
      </c>
      <c r="U10" s="5" t="s">
        <v>39</v>
      </c>
      <c r="Z10" s="10" t="s">
        <v>60</v>
      </c>
      <c r="AA10" s="10" t="s">
        <v>60</v>
      </c>
      <c r="AB10" s="10" t="s">
        <v>60</v>
      </c>
      <c r="AC10" s="10" t="s">
        <v>60</v>
      </c>
      <c r="AD10" s="10" t="s">
        <v>60</v>
      </c>
      <c r="AE10" s="10" t="s">
        <v>60</v>
      </c>
      <c r="AF10" s="10" t="s">
        <v>60</v>
      </c>
      <c r="AG10" s="6"/>
    </row>
    <row r="11">
      <c r="A11" s="1" t="s">
        <v>154</v>
      </c>
      <c r="B11" s="2">
        <v>10.0</v>
      </c>
      <c r="C11" s="1" t="s">
        <v>41</v>
      </c>
      <c r="D11" s="1" t="s">
        <v>42</v>
      </c>
      <c r="E11" s="7" t="s">
        <v>107</v>
      </c>
      <c r="F11" s="1" t="s">
        <v>30</v>
      </c>
      <c r="G11" s="4">
        <v>0.19930555555555557</v>
      </c>
      <c r="H11" s="1" t="s">
        <v>110</v>
      </c>
      <c r="I11" s="1" t="s">
        <v>28</v>
      </c>
      <c r="J11" s="4">
        <v>0.4652777777777778</v>
      </c>
      <c r="K11" s="1" t="s">
        <v>111</v>
      </c>
      <c r="L11" s="1" t="s">
        <v>30</v>
      </c>
      <c r="M11" s="4">
        <v>0.7256944444444444</v>
      </c>
      <c r="N11" s="1" t="s">
        <v>112</v>
      </c>
      <c r="O11" s="1" t="s">
        <v>28</v>
      </c>
      <c r="P11" s="4">
        <v>0.9680555555555556</v>
      </c>
      <c r="Q11" s="1" t="s">
        <v>113</v>
      </c>
      <c r="R11" s="1">
        <f t="shared" si="1"/>
        <v>75</v>
      </c>
      <c r="S11" s="1">
        <f t="shared" si="2"/>
        <v>49</v>
      </c>
      <c r="T11" s="5">
        <f t="shared" si="3"/>
        <v>75</v>
      </c>
      <c r="U11" s="5" t="s">
        <v>39</v>
      </c>
      <c r="AG11" s="6"/>
    </row>
    <row r="12">
      <c r="A12" s="1" t="s">
        <v>154</v>
      </c>
      <c r="B12" s="2">
        <v>11.0</v>
      </c>
      <c r="C12" s="1" t="s">
        <v>55</v>
      </c>
      <c r="D12" s="1" t="s">
        <v>42</v>
      </c>
      <c r="E12" s="3"/>
      <c r="F12" s="1" t="s">
        <v>30</v>
      </c>
      <c r="G12" s="4">
        <v>0.22708333333333333</v>
      </c>
      <c r="H12" s="1" t="s">
        <v>114</v>
      </c>
      <c r="I12" s="1" t="s">
        <v>28</v>
      </c>
      <c r="J12" s="4">
        <v>0.5013888888888889</v>
      </c>
      <c r="K12" s="1" t="s">
        <v>57</v>
      </c>
      <c r="L12" s="1" t="s">
        <v>30</v>
      </c>
      <c r="M12" s="4">
        <v>0.7826388888888889</v>
      </c>
      <c r="N12" s="1" t="s">
        <v>115</v>
      </c>
      <c r="R12" s="1">
        <f t="shared" si="1"/>
        <v>64</v>
      </c>
      <c r="S12" s="1">
        <f t="shared" si="2"/>
        <v>45</v>
      </c>
      <c r="T12" s="5">
        <f t="shared" si="3"/>
        <v>64</v>
      </c>
      <c r="U12" s="5" t="s">
        <v>39</v>
      </c>
    </row>
    <row r="13">
      <c r="A13" s="1" t="s">
        <v>154</v>
      </c>
      <c r="B13" s="2">
        <v>12.0</v>
      </c>
      <c r="C13" s="1" t="s">
        <v>25</v>
      </c>
      <c r="D13" s="6"/>
      <c r="E13" s="3"/>
      <c r="F13" s="1" t="s">
        <v>28</v>
      </c>
      <c r="G13" s="4">
        <v>0.021527777777777778</v>
      </c>
      <c r="H13" s="1" t="s">
        <v>116</v>
      </c>
      <c r="I13" s="1" t="s">
        <v>30</v>
      </c>
      <c r="J13" s="4">
        <v>0.2625</v>
      </c>
      <c r="K13" s="1" t="s">
        <v>117</v>
      </c>
      <c r="L13" s="1" t="s">
        <v>28</v>
      </c>
      <c r="M13" s="4">
        <v>0.5444444444444444</v>
      </c>
      <c r="N13" s="1" t="s">
        <v>111</v>
      </c>
      <c r="O13" s="1" t="s">
        <v>30</v>
      </c>
      <c r="P13" s="4">
        <v>0.8513888888888889</v>
      </c>
      <c r="Q13" s="1" t="s">
        <v>118</v>
      </c>
      <c r="R13" s="1">
        <f t="shared" si="1"/>
        <v>33</v>
      </c>
      <c r="S13" s="1">
        <f t="shared" si="2"/>
        <v>63</v>
      </c>
      <c r="T13" s="5">
        <f t="shared" si="3"/>
        <v>63</v>
      </c>
      <c r="U13" s="5" t="s">
        <v>39</v>
      </c>
    </row>
    <row r="14">
      <c r="A14" s="1" t="s">
        <v>154</v>
      </c>
      <c r="B14" s="2">
        <v>13.0</v>
      </c>
      <c r="C14" s="1" t="s">
        <v>75</v>
      </c>
      <c r="D14" s="6"/>
      <c r="E14" s="3"/>
      <c r="F14" s="1" t="s">
        <v>28</v>
      </c>
      <c r="G14" s="4">
        <v>0.09652777777777778</v>
      </c>
      <c r="H14" s="1" t="s">
        <v>119</v>
      </c>
      <c r="I14" s="1" t="s">
        <v>30</v>
      </c>
      <c r="J14" s="4">
        <v>0.30833333333333335</v>
      </c>
      <c r="K14" s="1" t="s">
        <v>120</v>
      </c>
      <c r="L14" s="1" t="s">
        <v>28</v>
      </c>
      <c r="M14" s="4">
        <v>0.5909722222222222</v>
      </c>
      <c r="N14" s="1" t="s">
        <v>109</v>
      </c>
      <c r="O14" s="1" t="s">
        <v>30</v>
      </c>
      <c r="P14" s="4">
        <v>0.9048611111111111</v>
      </c>
      <c r="Q14" s="1" t="s">
        <v>99</v>
      </c>
      <c r="R14" s="1">
        <f t="shared" si="1"/>
        <v>23</v>
      </c>
      <c r="S14" s="1">
        <f t="shared" si="2"/>
        <v>75</v>
      </c>
      <c r="T14" s="5">
        <f t="shared" si="3"/>
        <v>75</v>
      </c>
      <c r="U14" s="5" t="s">
        <v>39</v>
      </c>
    </row>
    <row r="15">
      <c r="A15" s="1" t="s">
        <v>154</v>
      </c>
      <c r="B15" s="2">
        <v>14.0</v>
      </c>
      <c r="C15" s="1" t="s">
        <v>86</v>
      </c>
      <c r="D15" s="6"/>
      <c r="E15" s="3"/>
      <c r="F15" s="1" t="s">
        <v>28</v>
      </c>
      <c r="G15" s="4">
        <v>0.16041666666666668</v>
      </c>
      <c r="H15" s="1" t="s">
        <v>121</v>
      </c>
      <c r="I15" s="1" t="s">
        <v>30</v>
      </c>
      <c r="J15" s="4">
        <v>0.35694444444444445</v>
      </c>
      <c r="K15" s="1" t="s">
        <v>122</v>
      </c>
      <c r="L15" s="1" t="s">
        <v>28</v>
      </c>
      <c r="M15" s="4">
        <v>0.6340277777777777</v>
      </c>
      <c r="N15" s="1" t="s">
        <v>123</v>
      </c>
      <c r="O15" s="1" t="s">
        <v>30</v>
      </c>
      <c r="P15" s="4">
        <v>0.9409722222222222</v>
      </c>
      <c r="Q15" s="1" t="s">
        <v>124</v>
      </c>
      <c r="R15" s="1">
        <f t="shared" si="1"/>
        <v>23</v>
      </c>
      <c r="S15" s="1">
        <f t="shared" si="2"/>
        <v>92</v>
      </c>
      <c r="T15" s="5">
        <f t="shared" si="3"/>
        <v>92</v>
      </c>
      <c r="U15" s="5" t="s">
        <v>90</v>
      </c>
      <c r="Z15" s="8" t="s">
        <v>125</v>
      </c>
    </row>
    <row r="16">
      <c r="A16" s="1" t="s">
        <v>154</v>
      </c>
      <c r="B16" s="2">
        <v>15.0</v>
      </c>
      <c r="C16" s="1" t="s">
        <v>26</v>
      </c>
      <c r="D16" s="6"/>
      <c r="E16" s="3"/>
      <c r="F16" s="1" t="s">
        <v>28</v>
      </c>
      <c r="G16" s="4">
        <v>0.20069444444444445</v>
      </c>
      <c r="H16" s="1" t="s">
        <v>126</v>
      </c>
      <c r="I16" s="1" t="s">
        <v>30</v>
      </c>
      <c r="J16" s="4">
        <v>0.3993055555555556</v>
      </c>
      <c r="K16" s="1" t="s">
        <v>127</v>
      </c>
      <c r="L16" s="1" t="s">
        <v>28</v>
      </c>
      <c r="M16" s="4">
        <v>0.6694444444444444</v>
      </c>
      <c r="N16" s="1" t="s">
        <v>128</v>
      </c>
      <c r="O16" s="1" t="s">
        <v>30</v>
      </c>
      <c r="P16" s="4">
        <v>0.96875</v>
      </c>
      <c r="Q16" s="1" t="s">
        <v>129</v>
      </c>
      <c r="R16" s="1">
        <f t="shared" si="1"/>
        <v>32</v>
      </c>
      <c r="S16" s="1">
        <f t="shared" si="2"/>
        <v>109</v>
      </c>
      <c r="T16" s="5">
        <f t="shared" si="3"/>
        <v>109</v>
      </c>
      <c r="U16" s="5" t="s">
        <v>90</v>
      </c>
      <c r="Z16" s="9" t="s">
        <v>48</v>
      </c>
      <c r="AA16" s="9" t="s">
        <v>49</v>
      </c>
      <c r="AB16" s="9" t="s">
        <v>50</v>
      </c>
      <c r="AC16" s="9" t="s">
        <v>51</v>
      </c>
      <c r="AD16" s="9" t="s">
        <v>52</v>
      </c>
      <c r="AE16" s="9" t="s">
        <v>53</v>
      </c>
      <c r="AF16" s="9" t="s">
        <v>54</v>
      </c>
    </row>
    <row r="17">
      <c r="A17" s="1" t="s">
        <v>154</v>
      </c>
      <c r="B17" s="2">
        <v>16.0</v>
      </c>
      <c r="C17" s="1" t="s">
        <v>34</v>
      </c>
      <c r="D17" s="6"/>
      <c r="E17" s="3"/>
      <c r="F17" s="1" t="s">
        <v>28</v>
      </c>
      <c r="G17" s="4">
        <v>0.22847222222222222</v>
      </c>
      <c r="H17" s="1" t="s">
        <v>130</v>
      </c>
      <c r="I17" s="1" t="s">
        <v>30</v>
      </c>
      <c r="J17" s="4">
        <v>0.4340277777777778</v>
      </c>
      <c r="K17" s="1" t="s">
        <v>117</v>
      </c>
      <c r="L17" s="1" t="s">
        <v>28</v>
      </c>
      <c r="M17" s="4">
        <v>0.6993055555555555</v>
      </c>
      <c r="N17" s="1" t="s">
        <v>131</v>
      </c>
      <c r="O17" s="1" t="s">
        <v>30</v>
      </c>
      <c r="P17" s="4">
        <v>0.9930555555555556</v>
      </c>
      <c r="Q17" s="1" t="s">
        <v>132</v>
      </c>
      <c r="R17" s="1">
        <f t="shared" si="1"/>
        <v>42</v>
      </c>
      <c r="S17" s="1">
        <f t="shared" si="2"/>
        <v>126</v>
      </c>
      <c r="T17" s="5">
        <f t="shared" si="3"/>
        <v>126</v>
      </c>
      <c r="U17" s="5" t="s">
        <v>47</v>
      </c>
      <c r="Z17" s="10" t="s">
        <v>60</v>
      </c>
      <c r="AA17" s="10" t="s">
        <v>60</v>
      </c>
      <c r="AB17" s="10" t="s">
        <v>60</v>
      </c>
      <c r="AC17" s="10" t="s">
        <v>60</v>
      </c>
      <c r="AD17" s="10" t="s">
        <v>60</v>
      </c>
      <c r="AE17" s="10" t="s">
        <v>60</v>
      </c>
      <c r="AF17" s="11" t="s">
        <v>133</v>
      </c>
    </row>
    <row r="18">
      <c r="A18" s="1" t="s">
        <v>154</v>
      </c>
      <c r="B18" s="2">
        <v>17.0</v>
      </c>
      <c r="C18" s="1" t="s">
        <v>41</v>
      </c>
      <c r="D18" s="1" t="s">
        <v>42</v>
      </c>
      <c r="E18" s="3"/>
      <c r="F18" s="1" t="s">
        <v>28</v>
      </c>
      <c r="G18" s="4">
        <v>0.2520833333333333</v>
      </c>
      <c r="H18" s="1" t="s">
        <v>29</v>
      </c>
      <c r="I18" s="1" t="s">
        <v>30</v>
      </c>
      <c r="J18" s="4">
        <v>0.46319444444444446</v>
      </c>
      <c r="K18" s="1" t="s">
        <v>134</v>
      </c>
      <c r="L18" s="1" t="s">
        <v>28</v>
      </c>
      <c r="M18" s="4">
        <v>0.725</v>
      </c>
      <c r="N18" s="1" t="s">
        <v>135</v>
      </c>
      <c r="R18" s="1">
        <f t="shared" si="1"/>
        <v>53</v>
      </c>
      <c r="S18" s="1">
        <f t="shared" si="2"/>
        <v>48</v>
      </c>
      <c r="T18" s="5">
        <f t="shared" si="3"/>
        <v>53</v>
      </c>
      <c r="U18" s="5" t="s">
        <v>39</v>
      </c>
      <c r="Z18" s="10" t="s">
        <v>875</v>
      </c>
      <c r="AA18" s="10" t="s">
        <v>137</v>
      </c>
      <c r="AB18" s="10" t="s">
        <v>138</v>
      </c>
      <c r="AC18" s="10" t="s">
        <v>139</v>
      </c>
      <c r="AD18" s="10" t="s">
        <v>140</v>
      </c>
      <c r="AE18" s="11" t="s">
        <v>141</v>
      </c>
      <c r="AF18" s="11" t="s">
        <v>142</v>
      </c>
    </row>
    <row r="19">
      <c r="A19" s="1" t="s">
        <v>154</v>
      </c>
      <c r="B19" s="2">
        <v>18.0</v>
      </c>
      <c r="C19" s="1" t="s">
        <v>55</v>
      </c>
      <c r="D19" s="1" t="s">
        <v>42</v>
      </c>
      <c r="E19" s="3"/>
      <c r="F19" s="1" t="s">
        <v>30</v>
      </c>
      <c r="G19" s="4">
        <v>0.01597222222222222</v>
      </c>
      <c r="H19" s="1" t="s">
        <v>144</v>
      </c>
      <c r="I19" s="1" t="s">
        <v>28</v>
      </c>
      <c r="J19" s="4">
        <v>0.27361111111111114</v>
      </c>
      <c r="K19" s="1" t="s">
        <v>145</v>
      </c>
      <c r="L19" s="1" t="s">
        <v>30</v>
      </c>
      <c r="M19" s="4">
        <v>0.4895833333333333</v>
      </c>
      <c r="N19" s="1" t="s">
        <v>146</v>
      </c>
      <c r="O19" s="1" t="s">
        <v>28</v>
      </c>
      <c r="P19" s="4">
        <v>0.75</v>
      </c>
      <c r="Q19" s="1" t="s">
        <v>147</v>
      </c>
      <c r="R19" s="1">
        <f t="shared" si="1"/>
        <v>100</v>
      </c>
      <c r="S19" s="1">
        <f t="shared" si="2"/>
        <v>111</v>
      </c>
      <c r="T19" s="5">
        <f t="shared" si="3"/>
        <v>111</v>
      </c>
      <c r="U19" s="5" t="s">
        <v>90</v>
      </c>
      <c r="Z19" s="10" t="s">
        <v>72</v>
      </c>
      <c r="AA19" s="10" t="s">
        <v>149</v>
      </c>
      <c r="AB19" s="10" t="s">
        <v>150</v>
      </c>
      <c r="AC19" s="10" t="s">
        <v>79</v>
      </c>
      <c r="AD19" s="10" t="s">
        <v>151</v>
      </c>
      <c r="AE19" s="11" t="s">
        <v>152</v>
      </c>
      <c r="AF19" s="11" t="s">
        <v>153</v>
      </c>
    </row>
    <row r="20">
      <c r="A20" s="1" t="s">
        <v>154</v>
      </c>
      <c r="B20" s="2">
        <v>19.0</v>
      </c>
      <c r="C20" s="1" t="s">
        <v>25</v>
      </c>
      <c r="D20" s="6"/>
      <c r="E20" s="7" t="s">
        <v>143</v>
      </c>
      <c r="F20" s="1" t="s">
        <v>30</v>
      </c>
      <c r="G20" s="4">
        <v>0.03819444444444445</v>
      </c>
      <c r="H20" s="1" t="s">
        <v>156</v>
      </c>
      <c r="I20" s="1" t="s">
        <v>28</v>
      </c>
      <c r="J20" s="4">
        <v>0.29444444444444445</v>
      </c>
      <c r="K20" s="1" t="s">
        <v>157</v>
      </c>
      <c r="L20" s="1" t="s">
        <v>30</v>
      </c>
      <c r="M20" s="4">
        <v>0.5152777777777777</v>
      </c>
      <c r="N20" s="1" t="s">
        <v>110</v>
      </c>
      <c r="O20" s="1" t="s">
        <v>28</v>
      </c>
      <c r="P20" s="4">
        <v>0.7736111111111111</v>
      </c>
      <c r="Q20" s="1" t="s">
        <v>158</v>
      </c>
      <c r="R20" s="1">
        <f t="shared" si="1"/>
        <v>108</v>
      </c>
      <c r="S20" s="1">
        <f t="shared" si="2"/>
        <v>122</v>
      </c>
      <c r="T20" s="5">
        <f t="shared" si="3"/>
        <v>122</v>
      </c>
      <c r="U20" s="5" t="s">
        <v>90</v>
      </c>
      <c r="Z20" s="10" t="s">
        <v>159</v>
      </c>
      <c r="AA20" s="10" t="s">
        <v>876</v>
      </c>
      <c r="AB20" s="10" t="s">
        <v>161</v>
      </c>
      <c r="AC20" s="10" t="s">
        <v>162</v>
      </c>
      <c r="AD20" s="10" t="s">
        <v>163</v>
      </c>
      <c r="AE20" s="11" t="s">
        <v>164</v>
      </c>
      <c r="AF20" s="11" t="s">
        <v>165</v>
      </c>
    </row>
    <row r="21">
      <c r="A21" s="1" t="s">
        <v>154</v>
      </c>
      <c r="B21" s="2">
        <v>20.0</v>
      </c>
      <c r="C21" s="1" t="s">
        <v>75</v>
      </c>
      <c r="D21" s="6"/>
      <c r="E21" s="3"/>
      <c r="F21" s="1" t="s">
        <v>30</v>
      </c>
      <c r="G21" s="4">
        <v>0.059722222222222225</v>
      </c>
      <c r="H21" s="1" t="s">
        <v>166</v>
      </c>
      <c r="I21" s="1" t="s">
        <v>28</v>
      </c>
      <c r="J21" s="4">
        <v>0.31527777777777777</v>
      </c>
      <c r="K21" s="1" t="s">
        <v>109</v>
      </c>
      <c r="L21" s="1" t="s">
        <v>30</v>
      </c>
      <c r="M21" s="4">
        <v>0.5409722222222222</v>
      </c>
      <c r="N21" s="1" t="s">
        <v>66</v>
      </c>
      <c r="O21" s="1" t="s">
        <v>28</v>
      </c>
      <c r="P21" s="4">
        <v>0.7979166666666667</v>
      </c>
      <c r="Q21" s="1" t="s">
        <v>167</v>
      </c>
      <c r="R21" s="1">
        <f t="shared" si="1"/>
        <v>115</v>
      </c>
      <c r="S21" s="1">
        <f t="shared" si="2"/>
        <v>128</v>
      </c>
      <c r="T21" s="5">
        <f t="shared" si="3"/>
        <v>128</v>
      </c>
      <c r="U21" s="5" t="s">
        <v>47</v>
      </c>
      <c r="Z21" s="10" t="s">
        <v>95</v>
      </c>
      <c r="AA21" s="10" t="s">
        <v>320</v>
      </c>
      <c r="AB21" s="10" t="s">
        <v>169</v>
      </c>
      <c r="AC21" s="10" t="s">
        <v>170</v>
      </c>
      <c r="AD21" s="10" t="s">
        <v>171</v>
      </c>
      <c r="AE21" s="11" t="s">
        <v>172</v>
      </c>
      <c r="AF21" s="10" t="s">
        <v>60</v>
      </c>
    </row>
    <row r="22">
      <c r="A22" s="1" t="s">
        <v>154</v>
      </c>
      <c r="B22" s="2">
        <v>21.0</v>
      </c>
      <c r="C22" s="1" t="s">
        <v>86</v>
      </c>
      <c r="D22" s="6"/>
      <c r="E22" s="3"/>
      <c r="F22" s="1" t="s">
        <v>30</v>
      </c>
      <c r="G22" s="4">
        <v>0.08125</v>
      </c>
      <c r="H22" s="1" t="s">
        <v>87</v>
      </c>
      <c r="I22" s="1" t="s">
        <v>28</v>
      </c>
      <c r="J22" s="4">
        <v>0.33541666666666664</v>
      </c>
      <c r="K22" s="1" t="s">
        <v>173</v>
      </c>
      <c r="L22" s="1" t="s">
        <v>30</v>
      </c>
      <c r="M22" s="4">
        <v>0.5673611111111111</v>
      </c>
      <c r="N22" s="1" t="s">
        <v>174</v>
      </c>
      <c r="O22" s="1" t="s">
        <v>28</v>
      </c>
      <c r="P22" s="4">
        <v>0.8222222222222222</v>
      </c>
      <c r="Q22" s="1" t="s">
        <v>158</v>
      </c>
      <c r="R22" s="1">
        <f t="shared" si="1"/>
        <v>118</v>
      </c>
      <c r="S22" s="1">
        <f t="shared" si="2"/>
        <v>129</v>
      </c>
      <c r="T22" s="5">
        <f t="shared" si="3"/>
        <v>129</v>
      </c>
      <c r="U22" s="5" t="s">
        <v>47</v>
      </c>
      <c r="Z22" s="10" t="s">
        <v>60</v>
      </c>
      <c r="AA22" s="10" t="s">
        <v>60</v>
      </c>
      <c r="AB22" s="10" t="s">
        <v>60</v>
      </c>
      <c r="AC22" s="10" t="s">
        <v>60</v>
      </c>
      <c r="AD22" s="10" t="s">
        <v>60</v>
      </c>
      <c r="AE22" s="10" t="s">
        <v>60</v>
      </c>
      <c r="AF22" s="10" t="s">
        <v>60</v>
      </c>
    </row>
    <row r="23">
      <c r="A23" s="1" t="s">
        <v>154</v>
      </c>
      <c r="B23" s="2">
        <v>22.0</v>
      </c>
      <c r="C23" s="1" t="s">
        <v>26</v>
      </c>
      <c r="D23" s="6"/>
      <c r="E23" s="3"/>
      <c r="F23" s="1" t="s">
        <v>30</v>
      </c>
      <c r="G23" s="4">
        <v>0.10208333333333333</v>
      </c>
      <c r="H23" s="1" t="s">
        <v>175</v>
      </c>
      <c r="I23" s="1" t="s">
        <v>28</v>
      </c>
      <c r="J23" s="4">
        <v>0.35694444444444445</v>
      </c>
      <c r="K23" s="1" t="s">
        <v>176</v>
      </c>
      <c r="L23" s="1" t="s">
        <v>30</v>
      </c>
      <c r="M23" s="4">
        <v>0.5951388888888889</v>
      </c>
      <c r="N23" s="1" t="s">
        <v>124</v>
      </c>
      <c r="O23" s="1" t="s">
        <v>28</v>
      </c>
      <c r="P23" s="4">
        <v>0.8479166666666667</v>
      </c>
      <c r="Q23" s="1" t="s">
        <v>147</v>
      </c>
      <c r="R23" s="1">
        <f t="shared" si="1"/>
        <v>118</v>
      </c>
      <c r="S23" s="1">
        <f t="shared" si="2"/>
        <v>124</v>
      </c>
      <c r="T23" s="5">
        <f t="shared" si="3"/>
        <v>124</v>
      </c>
      <c r="U23" s="5" t="s">
        <v>47</v>
      </c>
    </row>
    <row r="24">
      <c r="A24" s="1" t="s">
        <v>154</v>
      </c>
      <c r="B24" s="2">
        <v>23.0</v>
      </c>
      <c r="C24" s="1" t="s">
        <v>34</v>
      </c>
      <c r="D24" s="6"/>
      <c r="E24" s="3"/>
      <c r="F24" s="1" t="s">
        <v>30</v>
      </c>
      <c r="G24" s="4">
        <v>0.12361111111111112</v>
      </c>
      <c r="H24" s="1" t="s">
        <v>177</v>
      </c>
      <c r="I24" s="1" t="s">
        <v>28</v>
      </c>
      <c r="J24" s="4">
        <v>0.3798611111111111</v>
      </c>
      <c r="K24" s="1" t="s">
        <v>178</v>
      </c>
      <c r="L24" s="1" t="s">
        <v>30</v>
      </c>
      <c r="M24" s="4">
        <v>0.6243055555555556</v>
      </c>
      <c r="N24" s="1" t="s">
        <v>174</v>
      </c>
      <c r="O24" s="1" t="s">
        <v>28</v>
      </c>
      <c r="P24" s="4">
        <v>0.8756944444444444</v>
      </c>
      <c r="Q24" s="1" t="s">
        <v>179</v>
      </c>
      <c r="R24" s="1">
        <f t="shared" si="1"/>
        <v>115</v>
      </c>
      <c r="S24" s="1">
        <f t="shared" si="2"/>
        <v>113</v>
      </c>
      <c r="T24" s="5">
        <f t="shared" si="3"/>
        <v>115</v>
      </c>
      <c r="U24" s="5" t="s">
        <v>90</v>
      </c>
    </row>
    <row r="25">
      <c r="A25" s="1" t="s">
        <v>154</v>
      </c>
      <c r="B25" s="2">
        <v>24.0</v>
      </c>
      <c r="C25" s="1" t="s">
        <v>41</v>
      </c>
      <c r="D25" s="1" t="s">
        <v>42</v>
      </c>
      <c r="E25" s="3"/>
      <c r="F25" s="1" t="s">
        <v>30</v>
      </c>
      <c r="G25" s="4">
        <v>0.14583333333333334</v>
      </c>
      <c r="H25" s="1" t="s">
        <v>180</v>
      </c>
      <c r="I25" s="1" t="s">
        <v>28</v>
      </c>
      <c r="J25" s="4">
        <v>0.4041666666666667</v>
      </c>
      <c r="K25" s="1" t="s">
        <v>181</v>
      </c>
      <c r="L25" s="1" t="s">
        <v>30</v>
      </c>
      <c r="M25" s="4">
        <v>0.6576388888888889</v>
      </c>
      <c r="N25" s="1" t="s">
        <v>182</v>
      </c>
      <c r="O25" s="1" t="s">
        <v>28</v>
      </c>
      <c r="P25" s="4">
        <v>0.90625</v>
      </c>
      <c r="Q25" s="1" t="s">
        <v>183</v>
      </c>
      <c r="R25" s="1">
        <f t="shared" si="1"/>
        <v>109</v>
      </c>
      <c r="S25" s="1">
        <f t="shared" si="2"/>
        <v>98</v>
      </c>
      <c r="T25" s="5">
        <f t="shared" si="3"/>
        <v>109</v>
      </c>
      <c r="U25" s="5" t="s">
        <v>90</v>
      </c>
    </row>
    <row r="26">
      <c r="A26" s="1" t="s">
        <v>154</v>
      </c>
      <c r="B26" s="2">
        <v>25.0</v>
      </c>
      <c r="C26" s="1" t="s">
        <v>55</v>
      </c>
      <c r="D26" s="1" t="s">
        <v>42</v>
      </c>
      <c r="E26" s="3"/>
      <c r="F26" s="1" t="s">
        <v>30</v>
      </c>
      <c r="G26" s="4">
        <v>0.16875</v>
      </c>
      <c r="H26" s="1" t="s">
        <v>185</v>
      </c>
      <c r="I26" s="1" t="s">
        <v>28</v>
      </c>
      <c r="J26" s="4">
        <v>0.4326388888888889</v>
      </c>
      <c r="K26" s="1" t="s">
        <v>181</v>
      </c>
      <c r="L26" s="1" t="s">
        <v>30</v>
      </c>
      <c r="M26" s="4">
        <v>0.6965277777777777</v>
      </c>
      <c r="N26" s="1" t="s">
        <v>58</v>
      </c>
      <c r="O26" s="1" t="s">
        <v>28</v>
      </c>
      <c r="P26" s="4">
        <v>0.9423611111111111</v>
      </c>
      <c r="Q26" s="1" t="s">
        <v>77</v>
      </c>
      <c r="R26" s="1">
        <f t="shared" si="1"/>
        <v>99</v>
      </c>
      <c r="S26" s="1">
        <f t="shared" si="2"/>
        <v>79</v>
      </c>
      <c r="T26" s="5">
        <f t="shared" si="3"/>
        <v>99</v>
      </c>
      <c r="U26" s="5" t="s">
        <v>90</v>
      </c>
    </row>
    <row r="27">
      <c r="A27" s="1" t="s">
        <v>154</v>
      </c>
      <c r="B27" s="2">
        <v>26.0</v>
      </c>
      <c r="C27" s="1" t="s">
        <v>25</v>
      </c>
      <c r="D27" s="6"/>
      <c r="E27" s="7" t="s">
        <v>184</v>
      </c>
      <c r="F27" s="1" t="s">
        <v>30</v>
      </c>
      <c r="G27" s="4">
        <v>0.19583333333333333</v>
      </c>
      <c r="H27" s="1" t="s">
        <v>186</v>
      </c>
      <c r="I27" s="1" t="s">
        <v>28</v>
      </c>
      <c r="J27" s="4">
        <v>0.4666666666666667</v>
      </c>
      <c r="K27" s="1" t="s">
        <v>181</v>
      </c>
      <c r="L27" s="1" t="s">
        <v>30</v>
      </c>
      <c r="M27" s="4">
        <v>0.7465277777777778</v>
      </c>
      <c r="N27" s="1" t="s">
        <v>186</v>
      </c>
      <c r="O27" s="1" t="s">
        <v>28</v>
      </c>
      <c r="P27" s="4">
        <v>0.9888888888888889</v>
      </c>
      <c r="Q27" s="1" t="s">
        <v>187</v>
      </c>
      <c r="R27" s="1">
        <f t="shared" si="1"/>
        <v>88</v>
      </c>
      <c r="S27" s="1">
        <f t="shared" si="2"/>
        <v>60</v>
      </c>
      <c r="T27" s="5">
        <f t="shared" si="3"/>
        <v>88</v>
      </c>
      <c r="U27" s="5" t="s">
        <v>39</v>
      </c>
      <c r="Z27" s="8" t="s">
        <v>188</v>
      </c>
    </row>
    <row r="28">
      <c r="A28" s="1" t="s">
        <v>154</v>
      </c>
      <c r="B28" s="2">
        <v>27.0</v>
      </c>
      <c r="C28" s="1" t="s">
        <v>75</v>
      </c>
      <c r="D28" s="6"/>
      <c r="E28" s="3"/>
      <c r="F28" s="1" t="s">
        <v>30</v>
      </c>
      <c r="G28" s="4">
        <v>0.2298611111111111</v>
      </c>
      <c r="H28" s="1" t="s">
        <v>118</v>
      </c>
      <c r="I28" s="1" t="s">
        <v>28</v>
      </c>
      <c r="J28" s="4">
        <v>0.5104166666666666</v>
      </c>
      <c r="K28" s="1" t="s">
        <v>189</v>
      </c>
      <c r="L28" s="1" t="s">
        <v>30</v>
      </c>
      <c r="M28" s="4">
        <v>0.8131944444444444</v>
      </c>
      <c r="N28" s="1" t="s">
        <v>88</v>
      </c>
      <c r="R28" s="1">
        <f t="shared" si="1"/>
        <v>76</v>
      </c>
      <c r="S28" s="1">
        <f t="shared" si="2"/>
        <v>62</v>
      </c>
      <c r="T28" s="5">
        <f t="shared" si="3"/>
        <v>76</v>
      </c>
      <c r="U28" s="5" t="s">
        <v>39</v>
      </c>
      <c r="Z28" s="9" t="s">
        <v>48</v>
      </c>
      <c r="AA28" s="9" t="s">
        <v>49</v>
      </c>
      <c r="AB28" s="9" t="s">
        <v>50</v>
      </c>
      <c r="AC28" s="9" t="s">
        <v>51</v>
      </c>
      <c r="AD28" s="9" t="s">
        <v>52</v>
      </c>
      <c r="AE28" s="9" t="s">
        <v>53</v>
      </c>
      <c r="AF28" s="9" t="s">
        <v>54</v>
      </c>
    </row>
    <row r="29">
      <c r="A29" s="1" t="s">
        <v>154</v>
      </c>
      <c r="B29" s="2">
        <v>28.0</v>
      </c>
      <c r="C29" s="1" t="s">
        <v>86</v>
      </c>
      <c r="D29" s="6"/>
      <c r="E29" s="3"/>
      <c r="F29" s="1" t="s">
        <v>28</v>
      </c>
      <c r="G29" s="4">
        <v>0.06388888888888888</v>
      </c>
      <c r="H29" s="1" t="s">
        <v>116</v>
      </c>
      <c r="I29" s="1" t="s">
        <v>30</v>
      </c>
      <c r="J29" s="4">
        <v>0.27847222222222223</v>
      </c>
      <c r="K29" s="1" t="s">
        <v>127</v>
      </c>
      <c r="L29" s="1" t="s">
        <v>28</v>
      </c>
      <c r="M29" s="4">
        <v>0.5673611111111111</v>
      </c>
      <c r="N29" s="1" t="s">
        <v>190</v>
      </c>
      <c r="O29" s="1" t="s">
        <v>30</v>
      </c>
      <c r="P29" s="4">
        <v>0.8833333333333333</v>
      </c>
      <c r="Q29" s="1" t="s">
        <v>185</v>
      </c>
      <c r="R29" s="1">
        <f t="shared" si="1"/>
        <v>29</v>
      </c>
      <c r="S29" s="1">
        <f t="shared" si="2"/>
        <v>101</v>
      </c>
      <c r="T29" s="5">
        <f t="shared" si="3"/>
        <v>101</v>
      </c>
      <c r="U29" s="5" t="s">
        <v>90</v>
      </c>
      <c r="Z29" s="10" t="s">
        <v>60</v>
      </c>
      <c r="AA29" s="10" t="s">
        <v>60</v>
      </c>
      <c r="AB29" s="10" t="s">
        <v>60</v>
      </c>
      <c r="AC29" s="10" t="s">
        <v>60</v>
      </c>
      <c r="AD29" s="10" t="s">
        <v>60</v>
      </c>
      <c r="AE29" s="10" t="s">
        <v>60</v>
      </c>
      <c r="AF29" s="11" t="s">
        <v>133</v>
      </c>
    </row>
    <row r="30">
      <c r="A30" s="1" t="s">
        <v>154</v>
      </c>
      <c r="B30" s="2">
        <v>29.0</v>
      </c>
      <c r="C30" s="1" t="s">
        <v>26</v>
      </c>
      <c r="D30" s="6"/>
      <c r="E30" s="3"/>
      <c r="F30" s="1" t="s">
        <v>28</v>
      </c>
      <c r="G30" s="4">
        <v>0.14791666666666667</v>
      </c>
      <c r="H30" s="1" t="s">
        <v>116</v>
      </c>
      <c r="I30" s="1" t="s">
        <v>30</v>
      </c>
      <c r="J30" s="4">
        <v>0.34375</v>
      </c>
      <c r="K30" s="1" t="s">
        <v>191</v>
      </c>
      <c r="L30" s="1" t="s">
        <v>28</v>
      </c>
      <c r="M30" s="4">
        <v>0.6270833333333333</v>
      </c>
      <c r="N30" s="1" t="s">
        <v>192</v>
      </c>
      <c r="O30" s="1" t="s">
        <v>30</v>
      </c>
      <c r="P30" s="4">
        <v>0.9361111111111111</v>
      </c>
      <c r="Q30" s="1" t="s">
        <v>98</v>
      </c>
      <c r="R30" s="1">
        <f t="shared" si="1"/>
        <v>25</v>
      </c>
      <c r="S30" s="1">
        <f t="shared" si="2"/>
        <v>123</v>
      </c>
      <c r="T30" s="5">
        <f t="shared" si="3"/>
        <v>123</v>
      </c>
      <c r="U30" s="5" t="s">
        <v>90</v>
      </c>
      <c r="Z30" s="10" t="s">
        <v>62</v>
      </c>
      <c r="AA30" s="10" t="s">
        <v>137</v>
      </c>
      <c r="AB30" s="10" t="s">
        <v>138</v>
      </c>
      <c r="AC30" s="10" t="s">
        <v>68</v>
      </c>
      <c r="AD30" s="10" t="s">
        <v>69</v>
      </c>
      <c r="AE30" s="11" t="s">
        <v>141</v>
      </c>
      <c r="AF30" s="11" t="s">
        <v>194</v>
      </c>
    </row>
    <row r="31">
      <c r="A31" s="1" t="s">
        <v>154</v>
      </c>
      <c r="B31" s="2">
        <v>30.0</v>
      </c>
      <c r="C31" s="1" t="s">
        <v>34</v>
      </c>
      <c r="D31" s="6"/>
      <c r="E31" s="3"/>
      <c r="F31" s="1" t="s">
        <v>28</v>
      </c>
      <c r="G31" s="4">
        <v>0.2</v>
      </c>
      <c r="H31" s="1" t="s">
        <v>130</v>
      </c>
      <c r="I31" s="1" t="s">
        <v>30</v>
      </c>
      <c r="J31" s="4">
        <v>0.4027777777777778</v>
      </c>
      <c r="K31" s="1" t="s">
        <v>127</v>
      </c>
      <c r="L31" s="1" t="s">
        <v>28</v>
      </c>
      <c r="M31" s="4">
        <v>0.675</v>
      </c>
      <c r="N31" s="1" t="s">
        <v>195</v>
      </c>
      <c r="O31" s="1" t="s">
        <v>30</v>
      </c>
      <c r="P31" s="4">
        <v>0.9756944444444444</v>
      </c>
      <c r="Q31" s="1" t="s">
        <v>87</v>
      </c>
      <c r="R31" s="1">
        <f t="shared" si="1"/>
        <v>38</v>
      </c>
      <c r="S31" s="1">
        <f t="shared" si="2"/>
        <v>149</v>
      </c>
      <c r="T31" s="5">
        <f t="shared" si="3"/>
        <v>149</v>
      </c>
      <c r="U31" s="5" t="s">
        <v>47</v>
      </c>
      <c r="Z31" s="10" t="s">
        <v>196</v>
      </c>
      <c r="AA31" s="10" t="s">
        <v>149</v>
      </c>
      <c r="AB31" s="10" t="s">
        <v>150</v>
      </c>
      <c r="AC31" s="10" t="s">
        <v>79</v>
      </c>
      <c r="AD31" s="10" t="s">
        <v>80</v>
      </c>
      <c r="AE31" s="11" t="s">
        <v>198</v>
      </c>
      <c r="AF31" s="11" t="s">
        <v>199</v>
      </c>
    </row>
    <row r="32">
      <c r="A32" s="1" t="s">
        <v>154</v>
      </c>
      <c r="B32" s="2">
        <v>31.0</v>
      </c>
      <c r="C32" s="1" t="s">
        <v>41</v>
      </c>
      <c r="D32" s="1" t="s">
        <v>42</v>
      </c>
      <c r="E32" s="3"/>
      <c r="F32" s="1" t="s">
        <v>28</v>
      </c>
      <c r="G32" s="4">
        <v>0.23402777777777778</v>
      </c>
      <c r="H32" s="1" t="s">
        <v>36</v>
      </c>
      <c r="I32" s="1" t="s">
        <v>30</v>
      </c>
      <c r="J32" s="4">
        <v>0.4479166666666667</v>
      </c>
      <c r="K32" s="1" t="s">
        <v>200</v>
      </c>
      <c r="L32" s="1" t="s">
        <v>28</v>
      </c>
      <c r="M32" s="4">
        <v>0.7131944444444445</v>
      </c>
      <c r="N32" s="1" t="s">
        <v>38</v>
      </c>
      <c r="R32" s="1">
        <f t="shared" si="1"/>
        <v>55</v>
      </c>
      <c r="S32" s="1">
        <f t="shared" si="2"/>
        <v>65</v>
      </c>
      <c r="T32" s="5">
        <f t="shared" si="3"/>
        <v>65</v>
      </c>
      <c r="U32" s="5" t="s">
        <v>39</v>
      </c>
      <c r="Z32" s="10" t="s">
        <v>83</v>
      </c>
      <c r="AA32" s="10" t="s">
        <v>201</v>
      </c>
      <c r="AB32" s="10" t="s">
        <v>202</v>
      </c>
      <c r="AC32" s="10" t="s">
        <v>280</v>
      </c>
      <c r="AD32" s="10" t="s">
        <v>92</v>
      </c>
      <c r="AE32" s="11" t="s">
        <v>164</v>
      </c>
      <c r="AF32" s="11" t="s">
        <v>204</v>
      </c>
    </row>
    <row r="33">
      <c r="A33" s="1" t="s">
        <v>258</v>
      </c>
      <c r="B33" s="2">
        <v>1.0</v>
      </c>
      <c r="C33" s="1" t="s">
        <v>55</v>
      </c>
      <c r="D33" s="1" t="s">
        <v>42</v>
      </c>
      <c r="E33" s="3"/>
      <c r="F33" s="1" t="s">
        <v>30</v>
      </c>
      <c r="G33" s="4">
        <v>0.007638888888888889</v>
      </c>
      <c r="H33" s="1" t="s">
        <v>33</v>
      </c>
      <c r="I33" s="1" t="s">
        <v>28</v>
      </c>
      <c r="J33" s="4">
        <v>0.2625</v>
      </c>
      <c r="K33" s="1" t="s">
        <v>77</v>
      </c>
      <c r="L33" s="1" t="s">
        <v>30</v>
      </c>
      <c r="M33" s="4">
        <v>0.4840277777777778</v>
      </c>
      <c r="N33" s="1" t="s">
        <v>99</v>
      </c>
      <c r="O33" s="1" t="s">
        <v>28</v>
      </c>
      <c r="P33" s="4">
        <v>0.7465277777777778</v>
      </c>
      <c r="Q33" s="1" t="s">
        <v>205</v>
      </c>
      <c r="R33" s="1">
        <f t="shared" si="1"/>
        <v>121</v>
      </c>
      <c r="S33" s="1">
        <f t="shared" si="2"/>
        <v>131</v>
      </c>
      <c r="T33" s="5">
        <f t="shared" si="3"/>
        <v>131</v>
      </c>
      <c r="U33" s="5" t="s">
        <v>47</v>
      </c>
      <c r="Z33" s="10" t="s">
        <v>206</v>
      </c>
      <c r="AA33" s="10" t="s">
        <v>207</v>
      </c>
      <c r="AB33" s="10" t="s">
        <v>169</v>
      </c>
      <c r="AC33" s="10" t="s">
        <v>287</v>
      </c>
      <c r="AD33" s="10" t="s">
        <v>208</v>
      </c>
      <c r="AE33" s="11" t="s">
        <v>209</v>
      </c>
      <c r="AF33" s="11" t="s">
        <v>210</v>
      </c>
    </row>
    <row r="34">
      <c r="A34" s="1" t="s">
        <v>258</v>
      </c>
      <c r="B34" s="2">
        <v>2.0</v>
      </c>
      <c r="C34" s="1" t="s">
        <v>25</v>
      </c>
      <c r="D34" s="6"/>
      <c r="E34" s="7" t="s">
        <v>35</v>
      </c>
      <c r="F34" s="1" t="s">
        <v>30</v>
      </c>
      <c r="G34" s="4">
        <v>0.03611111111111111</v>
      </c>
      <c r="H34" s="1" t="s">
        <v>76</v>
      </c>
      <c r="I34" s="1" t="s">
        <v>28</v>
      </c>
      <c r="J34" s="4">
        <v>0.28680555555555554</v>
      </c>
      <c r="K34" s="1" t="s">
        <v>176</v>
      </c>
      <c r="L34" s="1" t="s">
        <v>30</v>
      </c>
      <c r="M34" s="4">
        <v>0.5152777777777777</v>
      </c>
      <c r="N34" s="1" t="s">
        <v>182</v>
      </c>
      <c r="O34" s="1" t="s">
        <v>28</v>
      </c>
      <c r="P34" s="4">
        <v>0.7763888888888889</v>
      </c>
      <c r="Q34" s="1" t="s">
        <v>211</v>
      </c>
      <c r="R34" s="1">
        <f t="shared" si="1"/>
        <v>131</v>
      </c>
      <c r="S34" s="1">
        <f t="shared" si="2"/>
        <v>142</v>
      </c>
      <c r="T34" s="5">
        <f t="shared" si="3"/>
        <v>142</v>
      </c>
      <c r="U34" s="5" t="s">
        <v>47</v>
      </c>
      <c r="Z34" s="10" t="s">
        <v>105</v>
      </c>
      <c r="AA34" s="10" t="s">
        <v>212</v>
      </c>
      <c r="AB34" s="10" t="s">
        <v>60</v>
      </c>
      <c r="AC34" s="10" t="s">
        <v>60</v>
      </c>
      <c r="AD34" s="10" t="s">
        <v>60</v>
      </c>
      <c r="AE34" s="10" t="s">
        <v>60</v>
      </c>
      <c r="AF34" s="10" t="s">
        <v>60</v>
      </c>
    </row>
    <row r="35">
      <c r="A35" s="1" t="s">
        <v>258</v>
      </c>
      <c r="B35" s="2">
        <v>3.0</v>
      </c>
      <c r="C35" s="1" t="s">
        <v>75</v>
      </c>
      <c r="D35" s="6"/>
      <c r="E35" s="3"/>
      <c r="F35" s="1" t="s">
        <v>30</v>
      </c>
      <c r="G35" s="4">
        <v>0.06041666666666667</v>
      </c>
      <c r="H35" s="1" t="s">
        <v>213</v>
      </c>
      <c r="I35" s="1" t="s">
        <v>28</v>
      </c>
      <c r="J35" s="4">
        <v>0.30972222222222223</v>
      </c>
      <c r="K35" s="1" t="s">
        <v>214</v>
      </c>
      <c r="L35" s="1" t="s">
        <v>30</v>
      </c>
      <c r="M35" s="4">
        <v>0.5444444444444444</v>
      </c>
      <c r="N35" s="1" t="s">
        <v>185</v>
      </c>
      <c r="O35" s="1" t="s">
        <v>28</v>
      </c>
      <c r="P35" s="4">
        <v>0.8034722222222223</v>
      </c>
      <c r="Q35" s="1" t="s">
        <v>205</v>
      </c>
      <c r="R35" s="1">
        <f t="shared" si="1"/>
        <v>133</v>
      </c>
      <c r="S35" s="1">
        <f t="shared" si="2"/>
        <v>144</v>
      </c>
      <c r="T35" s="5">
        <f t="shared" si="3"/>
        <v>144</v>
      </c>
      <c r="U35" s="5" t="s">
        <v>47</v>
      </c>
    </row>
    <row r="36">
      <c r="A36" s="1" t="s">
        <v>258</v>
      </c>
      <c r="B36" s="2">
        <v>4.0</v>
      </c>
      <c r="C36" s="1" t="s">
        <v>86</v>
      </c>
      <c r="D36" s="6"/>
      <c r="E36" s="3"/>
      <c r="F36" s="1" t="s">
        <v>30</v>
      </c>
      <c r="G36" s="4">
        <v>0.08263888888888889</v>
      </c>
      <c r="H36" s="1" t="s">
        <v>87</v>
      </c>
      <c r="I36" s="1" t="s">
        <v>28</v>
      </c>
      <c r="J36" s="4">
        <v>0.33125</v>
      </c>
      <c r="K36" s="1" t="s">
        <v>100</v>
      </c>
      <c r="L36" s="1" t="s">
        <v>30</v>
      </c>
      <c r="M36" s="4">
        <v>0.5715277777777777</v>
      </c>
      <c r="N36" s="1" t="s">
        <v>215</v>
      </c>
      <c r="O36" s="1" t="s">
        <v>28</v>
      </c>
      <c r="P36" s="4">
        <v>0.8291666666666667</v>
      </c>
      <c r="Q36" s="1" t="s">
        <v>216</v>
      </c>
      <c r="R36" s="1">
        <f t="shared" si="1"/>
        <v>130</v>
      </c>
      <c r="S36" s="1">
        <f t="shared" si="2"/>
        <v>137</v>
      </c>
      <c r="T36" s="5">
        <f t="shared" si="3"/>
        <v>137</v>
      </c>
      <c r="U36" s="5" t="s">
        <v>47</v>
      </c>
    </row>
    <row r="37">
      <c r="A37" s="1" t="s">
        <v>258</v>
      </c>
      <c r="B37" s="2">
        <v>5.0</v>
      </c>
      <c r="C37" s="1" t="s">
        <v>26</v>
      </c>
      <c r="D37" s="6"/>
      <c r="E37" s="3"/>
      <c r="F37" s="1" t="s">
        <v>30</v>
      </c>
      <c r="G37" s="4">
        <v>0.10208333333333333</v>
      </c>
      <c r="H37" s="1" t="s">
        <v>217</v>
      </c>
      <c r="I37" s="1" t="s">
        <v>28</v>
      </c>
      <c r="J37" s="4">
        <v>0.35138888888888886</v>
      </c>
      <c r="K37" s="1" t="s">
        <v>218</v>
      </c>
      <c r="L37" s="1" t="s">
        <v>30</v>
      </c>
      <c r="M37" s="4">
        <v>0.5979166666666667</v>
      </c>
      <c r="N37" s="1" t="s">
        <v>185</v>
      </c>
      <c r="O37" s="1" t="s">
        <v>28</v>
      </c>
      <c r="P37" s="4">
        <v>0.8527777777777777</v>
      </c>
      <c r="Q37" s="1" t="s">
        <v>195</v>
      </c>
      <c r="R37" s="1">
        <f t="shared" si="1"/>
        <v>122</v>
      </c>
      <c r="S37" s="1">
        <f t="shared" si="2"/>
        <v>123</v>
      </c>
      <c r="T37" s="5">
        <f t="shared" si="3"/>
        <v>123</v>
      </c>
      <c r="U37" s="5" t="s">
        <v>90</v>
      </c>
    </row>
    <row r="38">
      <c r="A38" s="1" t="s">
        <v>258</v>
      </c>
      <c r="B38" s="2">
        <v>6.0</v>
      </c>
      <c r="C38" s="1" t="s">
        <v>34</v>
      </c>
      <c r="D38" s="6"/>
      <c r="E38" s="3"/>
      <c r="F38" s="1" t="s">
        <v>30</v>
      </c>
      <c r="G38" s="4">
        <v>0.11944444444444445</v>
      </c>
      <c r="H38" s="1" t="s">
        <v>219</v>
      </c>
      <c r="I38" s="1" t="s">
        <v>28</v>
      </c>
      <c r="J38" s="4">
        <v>0.3715277777777778</v>
      </c>
      <c r="K38" s="1" t="s">
        <v>218</v>
      </c>
      <c r="L38" s="1" t="s">
        <v>30</v>
      </c>
      <c r="M38" s="4">
        <v>0.6236111111111111</v>
      </c>
      <c r="N38" s="1" t="s">
        <v>182</v>
      </c>
      <c r="O38" s="1" t="s">
        <v>28</v>
      </c>
      <c r="P38" s="4">
        <v>0.8763888888888889</v>
      </c>
      <c r="Q38" s="1" t="s">
        <v>220</v>
      </c>
      <c r="R38" s="1">
        <f t="shared" si="1"/>
        <v>111</v>
      </c>
      <c r="S38" s="1">
        <f t="shared" si="2"/>
        <v>103</v>
      </c>
      <c r="T38" s="5">
        <f t="shared" si="3"/>
        <v>111</v>
      </c>
      <c r="U38" s="5" t="s">
        <v>90</v>
      </c>
    </row>
    <row r="39">
      <c r="A39" s="1" t="s">
        <v>258</v>
      </c>
      <c r="B39" s="2">
        <v>7.0</v>
      </c>
      <c r="C39" s="1" t="s">
        <v>41</v>
      </c>
      <c r="D39" s="1" t="s">
        <v>42</v>
      </c>
      <c r="E39" s="3"/>
      <c r="F39" s="1" t="s">
        <v>30</v>
      </c>
      <c r="G39" s="4">
        <v>0.13680555555555557</v>
      </c>
      <c r="H39" s="1" t="s">
        <v>182</v>
      </c>
      <c r="I39" s="1" t="s">
        <v>28</v>
      </c>
      <c r="J39" s="4">
        <v>0.3923611111111111</v>
      </c>
      <c r="K39" s="1" t="s">
        <v>183</v>
      </c>
      <c r="L39" s="1" t="s">
        <v>30</v>
      </c>
      <c r="M39" s="4">
        <v>0.6513888888888889</v>
      </c>
      <c r="N39" s="1" t="s">
        <v>45</v>
      </c>
      <c r="O39" s="1" t="s">
        <v>28</v>
      </c>
      <c r="P39" s="4">
        <v>0.9</v>
      </c>
      <c r="Q39" s="1" t="s">
        <v>173</v>
      </c>
      <c r="R39" s="1">
        <f t="shared" si="1"/>
        <v>98</v>
      </c>
      <c r="S39" s="1">
        <f t="shared" si="2"/>
        <v>80</v>
      </c>
      <c r="T39" s="5">
        <f t="shared" si="3"/>
        <v>98</v>
      </c>
      <c r="U39" s="5" t="s">
        <v>90</v>
      </c>
      <c r="Z39" s="8" t="s">
        <v>221</v>
      </c>
    </row>
    <row r="40">
      <c r="A40" s="1" t="s">
        <v>258</v>
      </c>
      <c r="B40" s="2">
        <v>8.0</v>
      </c>
      <c r="C40" s="1" t="s">
        <v>55</v>
      </c>
      <c r="D40" s="1" t="s">
        <v>42</v>
      </c>
      <c r="E40" s="3"/>
      <c r="F40" s="1" t="s">
        <v>30</v>
      </c>
      <c r="G40" s="4">
        <v>0.15347222222222223</v>
      </c>
      <c r="H40" s="1" t="s">
        <v>146</v>
      </c>
      <c r="I40" s="1" t="s">
        <v>28</v>
      </c>
      <c r="J40" s="4">
        <v>0.41458333333333336</v>
      </c>
      <c r="K40" s="1" t="s">
        <v>214</v>
      </c>
      <c r="L40" s="1" t="s">
        <v>30</v>
      </c>
      <c r="M40" s="4">
        <v>0.6840277777777778</v>
      </c>
      <c r="N40" s="1" t="s">
        <v>134</v>
      </c>
      <c r="O40" s="1" t="s">
        <v>28</v>
      </c>
      <c r="P40" s="4">
        <v>0.9256944444444445</v>
      </c>
      <c r="Q40" s="1" t="s">
        <v>222</v>
      </c>
      <c r="R40" s="1">
        <f t="shared" si="1"/>
        <v>85</v>
      </c>
      <c r="S40" s="1">
        <f t="shared" si="2"/>
        <v>56</v>
      </c>
      <c r="T40" s="5">
        <f t="shared" si="3"/>
        <v>85</v>
      </c>
      <c r="U40" s="5" t="s">
        <v>39</v>
      </c>
      <c r="Z40" s="9" t="s">
        <v>48</v>
      </c>
      <c r="AA40" s="9" t="s">
        <v>49</v>
      </c>
      <c r="AB40" s="9" t="s">
        <v>50</v>
      </c>
      <c r="AC40" s="9" t="s">
        <v>51</v>
      </c>
      <c r="AD40" s="9" t="s">
        <v>52</v>
      </c>
      <c r="AE40" s="9" t="s">
        <v>53</v>
      </c>
      <c r="AF40" s="9" t="s">
        <v>54</v>
      </c>
    </row>
    <row r="41">
      <c r="A41" s="1" t="s">
        <v>258</v>
      </c>
      <c r="B41" s="2">
        <v>9.0</v>
      </c>
      <c r="C41" s="1" t="s">
        <v>25</v>
      </c>
      <c r="D41" s="6"/>
      <c r="E41" s="7" t="s">
        <v>107</v>
      </c>
      <c r="F41" s="1" t="s">
        <v>30</v>
      </c>
      <c r="G41" s="4">
        <v>0.17222222222222222</v>
      </c>
      <c r="H41" s="1" t="s">
        <v>223</v>
      </c>
      <c r="I41" s="1" t="s">
        <v>28</v>
      </c>
      <c r="J41" s="4">
        <v>0.44166666666666665</v>
      </c>
      <c r="K41" s="1" t="s">
        <v>176</v>
      </c>
      <c r="L41" s="1" t="s">
        <v>30</v>
      </c>
      <c r="M41" s="4">
        <v>0.7277777777777777</v>
      </c>
      <c r="N41" s="1" t="s">
        <v>224</v>
      </c>
      <c r="O41" s="1" t="s">
        <v>28</v>
      </c>
      <c r="P41" s="4">
        <v>0.9631944444444445</v>
      </c>
      <c r="Q41" s="1" t="s">
        <v>225</v>
      </c>
      <c r="R41" s="1">
        <f t="shared" si="1"/>
        <v>70</v>
      </c>
      <c r="S41" s="1">
        <f t="shared" si="2"/>
        <v>34</v>
      </c>
      <c r="T41" s="5">
        <f t="shared" si="3"/>
        <v>70</v>
      </c>
      <c r="U41" s="5" t="s">
        <v>39</v>
      </c>
      <c r="Z41" s="10" t="s">
        <v>60</v>
      </c>
      <c r="AA41" s="10" t="s">
        <v>60</v>
      </c>
      <c r="AB41" s="10" t="s">
        <v>226</v>
      </c>
      <c r="AC41" s="10" t="s">
        <v>875</v>
      </c>
      <c r="AD41" s="10" t="s">
        <v>227</v>
      </c>
      <c r="AE41" s="11" t="s">
        <v>228</v>
      </c>
      <c r="AF41" s="11" t="s">
        <v>229</v>
      </c>
    </row>
    <row r="42">
      <c r="A42" s="1" t="s">
        <v>258</v>
      </c>
      <c r="B42" s="2">
        <v>10.0</v>
      </c>
      <c r="C42" s="1" t="s">
        <v>75</v>
      </c>
      <c r="D42" s="6"/>
      <c r="E42" s="3"/>
      <c r="F42" s="1" t="s">
        <v>30</v>
      </c>
      <c r="G42" s="4">
        <v>0.19652777777777777</v>
      </c>
      <c r="H42" s="1" t="s">
        <v>191</v>
      </c>
      <c r="I42" s="1" t="s">
        <v>28</v>
      </c>
      <c r="J42" s="4">
        <v>0.4798611111111111</v>
      </c>
      <c r="K42" s="1" t="s">
        <v>230</v>
      </c>
      <c r="L42" s="1" t="s">
        <v>30</v>
      </c>
      <c r="M42" s="4">
        <v>0.8</v>
      </c>
      <c r="N42" s="1" t="s">
        <v>120</v>
      </c>
      <c r="R42" s="1">
        <f t="shared" si="1"/>
        <v>55</v>
      </c>
      <c r="S42" s="1">
        <f t="shared" si="2"/>
        <v>39</v>
      </c>
      <c r="T42" s="5">
        <f t="shared" si="3"/>
        <v>55</v>
      </c>
      <c r="U42" s="5" t="s">
        <v>39</v>
      </c>
      <c r="Z42" s="10" t="s">
        <v>231</v>
      </c>
      <c r="AA42" s="10" t="s">
        <v>70</v>
      </c>
      <c r="AB42" s="10" t="s">
        <v>232</v>
      </c>
      <c r="AC42" s="10" t="s">
        <v>72</v>
      </c>
      <c r="AD42" s="10" t="s">
        <v>149</v>
      </c>
      <c r="AE42" s="11" t="s">
        <v>74</v>
      </c>
      <c r="AF42" s="11" t="s">
        <v>234</v>
      </c>
    </row>
    <row r="43">
      <c r="A43" s="1" t="s">
        <v>258</v>
      </c>
      <c r="B43" s="2">
        <v>11.0</v>
      </c>
      <c r="C43" s="1" t="s">
        <v>86</v>
      </c>
      <c r="D43" s="6"/>
      <c r="E43" s="3"/>
      <c r="F43" s="1" t="s">
        <v>28</v>
      </c>
      <c r="G43" s="4">
        <v>0.059027777777777776</v>
      </c>
      <c r="H43" s="1" t="s">
        <v>235</v>
      </c>
      <c r="I43" s="1" t="s">
        <v>30</v>
      </c>
      <c r="J43" s="4">
        <v>0.24027777777777778</v>
      </c>
      <c r="K43" s="1" t="s">
        <v>236</v>
      </c>
      <c r="L43" s="1" t="s">
        <v>28</v>
      </c>
      <c r="M43" s="4">
        <v>0.5395833333333333</v>
      </c>
      <c r="N43" s="1" t="s">
        <v>77</v>
      </c>
      <c r="O43" s="1" t="s">
        <v>30</v>
      </c>
      <c r="P43" s="4">
        <v>0.8868055555555555</v>
      </c>
      <c r="Q43" s="1" t="s">
        <v>115</v>
      </c>
      <c r="R43" s="1">
        <f t="shared" si="1"/>
        <v>9</v>
      </c>
      <c r="S43" s="1">
        <f t="shared" si="2"/>
        <v>61</v>
      </c>
      <c r="T43" s="5">
        <f t="shared" si="3"/>
        <v>61</v>
      </c>
      <c r="U43" s="5" t="s">
        <v>39</v>
      </c>
      <c r="Z43" s="10" t="s">
        <v>151</v>
      </c>
      <c r="AA43" s="10" t="s">
        <v>81</v>
      </c>
      <c r="AB43" s="10" t="s">
        <v>237</v>
      </c>
      <c r="AC43" s="10" t="s">
        <v>83</v>
      </c>
      <c r="AD43" s="10" t="s">
        <v>201</v>
      </c>
      <c r="AE43" s="11" t="s">
        <v>239</v>
      </c>
      <c r="AF43" s="11" t="s">
        <v>240</v>
      </c>
    </row>
    <row r="44">
      <c r="A44" s="1" t="s">
        <v>258</v>
      </c>
      <c r="B44" s="2">
        <v>12.0</v>
      </c>
      <c r="C44" s="1" t="s">
        <v>26</v>
      </c>
      <c r="D44" s="6"/>
      <c r="E44" s="3"/>
      <c r="F44" s="1" t="s">
        <v>28</v>
      </c>
      <c r="G44" s="4">
        <v>0.15763888888888888</v>
      </c>
      <c r="H44" s="1" t="s">
        <v>121</v>
      </c>
      <c r="I44" s="1" t="s">
        <v>30</v>
      </c>
      <c r="J44" s="4">
        <v>0.31875</v>
      </c>
      <c r="K44" s="1" t="s">
        <v>241</v>
      </c>
      <c r="L44" s="1" t="s">
        <v>28</v>
      </c>
      <c r="M44" s="4">
        <v>0.6083333333333333</v>
      </c>
      <c r="N44" s="1" t="s">
        <v>173</v>
      </c>
      <c r="O44" s="1" t="s">
        <v>30</v>
      </c>
      <c r="P44" s="4">
        <v>0.9319444444444445</v>
      </c>
      <c r="Q44" s="1" t="s">
        <v>37</v>
      </c>
      <c r="R44" s="1">
        <f t="shared" si="1"/>
        <v>9</v>
      </c>
      <c r="S44" s="1">
        <f t="shared" si="2"/>
        <v>76</v>
      </c>
      <c r="T44" s="5">
        <f t="shared" si="3"/>
        <v>76</v>
      </c>
      <c r="U44" s="5" t="s">
        <v>39</v>
      </c>
      <c r="Z44" s="10" t="s">
        <v>92</v>
      </c>
      <c r="AA44" s="10" t="s">
        <v>93</v>
      </c>
      <c r="AB44" s="10" t="s">
        <v>242</v>
      </c>
      <c r="AC44" s="10" t="s">
        <v>243</v>
      </c>
      <c r="AD44" s="10" t="s">
        <v>207</v>
      </c>
      <c r="AE44" s="11" t="s">
        <v>245</v>
      </c>
      <c r="AF44" s="11" t="s">
        <v>246</v>
      </c>
    </row>
    <row r="45">
      <c r="A45" s="1" t="s">
        <v>258</v>
      </c>
      <c r="B45" s="2">
        <v>13.0</v>
      </c>
      <c r="C45" s="1" t="s">
        <v>34</v>
      </c>
      <c r="D45" s="6"/>
      <c r="E45" s="3"/>
      <c r="F45" s="1" t="s">
        <v>28</v>
      </c>
      <c r="G45" s="4">
        <v>0.19652777777777777</v>
      </c>
      <c r="H45" s="1" t="s">
        <v>247</v>
      </c>
      <c r="I45" s="1" t="s">
        <v>30</v>
      </c>
      <c r="J45" s="4">
        <v>0.38333333333333336</v>
      </c>
      <c r="K45" s="1" t="s">
        <v>248</v>
      </c>
      <c r="L45" s="1" t="s">
        <v>28</v>
      </c>
      <c r="M45" s="4">
        <v>0.6555555555555556</v>
      </c>
      <c r="N45" s="1" t="s">
        <v>128</v>
      </c>
      <c r="O45" s="1" t="s">
        <v>30</v>
      </c>
      <c r="P45" s="4">
        <v>0.9604166666666667</v>
      </c>
      <c r="Q45" s="1" t="s">
        <v>66</v>
      </c>
      <c r="R45" s="1">
        <f t="shared" si="1"/>
        <v>21</v>
      </c>
      <c r="S45" s="1">
        <f t="shared" si="2"/>
        <v>96</v>
      </c>
      <c r="T45" s="5">
        <f t="shared" si="3"/>
        <v>96</v>
      </c>
      <c r="U45" s="5" t="s">
        <v>90</v>
      </c>
      <c r="Z45" s="10" t="s">
        <v>208</v>
      </c>
      <c r="AA45" s="10" t="s">
        <v>103</v>
      </c>
      <c r="AB45" s="10" t="s">
        <v>104</v>
      </c>
      <c r="AC45" s="10" t="s">
        <v>105</v>
      </c>
      <c r="AD45" s="10" t="s">
        <v>60</v>
      </c>
      <c r="AE45" s="10" t="s">
        <v>60</v>
      </c>
      <c r="AF45" s="10" t="s">
        <v>60</v>
      </c>
    </row>
    <row r="46">
      <c r="A46" s="1" t="s">
        <v>258</v>
      </c>
      <c r="B46" s="2">
        <v>14.0</v>
      </c>
      <c r="C46" s="1" t="s">
        <v>41</v>
      </c>
      <c r="D46" s="1" t="s">
        <v>42</v>
      </c>
      <c r="E46" s="3"/>
      <c r="F46" s="1" t="s">
        <v>28</v>
      </c>
      <c r="G46" s="4">
        <v>0.21944444444444444</v>
      </c>
      <c r="H46" s="1" t="s">
        <v>249</v>
      </c>
      <c r="I46" s="1" t="s">
        <v>30</v>
      </c>
      <c r="J46" s="4">
        <v>0.425</v>
      </c>
      <c r="K46" s="1" t="s">
        <v>250</v>
      </c>
      <c r="L46" s="1" t="s">
        <v>28</v>
      </c>
      <c r="M46" s="4">
        <v>0.6881944444444444</v>
      </c>
      <c r="N46" s="1" t="s">
        <v>251</v>
      </c>
      <c r="O46" s="1" t="s">
        <v>30</v>
      </c>
      <c r="P46" s="4">
        <v>0.9833333333333333</v>
      </c>
      <c r="Q46" s="1" t="s">
        <v>252</v>
      </c>
      <c r="R46" s="1">
        <f t="shared" si="1"/>
        <v>37</v>
      </c>
      <c r="S46" s="1">
        <f t="shared" si="2"/>
        <v>117</v>
      </c>
      <c r="T46" s="5">
        <f t="shared" si="3"/>
        <v>117</v>
      </c>
      <c r="U46" s="5" t="s">
        <v>90</v>
      </c>
      <c r="Z46" s="10" t="s">
        <v>60</v>
      </c>
      <c r="AA46" s="10" t="s">
        <v>60</v>
      </c>
      <c r="AB46" s="10" t="s">
        <v>60</v>
      </c>
      <c r="AC46" s="10" t="s">
        <v>60</v>
      </c>
      <c r="AD46" s="10" t="s">
        <v>60</v>
      </c>
      <c r="AE46" s="10" t="s">
        <v>60</v>
      </c>
      <c r="AF46" s="10" t="s">
        <v>60</v>
      </c>
    </row>
    <row r="47">
      <c r="A47" s="1" t="s">
        <v>258</v>
      </c>
      <c r="B47" s="2">
        <v>15.0</v>
      </c>
      <c r="C47" s="1" t="s">
        <v>55</v>
      </c>
      <c r="D47" s="1" t="s">
        <v>253</v>
      </c>
      <c r="E47" s="3"/>
      <c r="F47" s="1" t="s">
        <v>28</v>
      </c>
      <c r="G47" s="4">
        <v>0.23819444444444443</v>
      </c>
      <c r="H47" s="1" t="s">
        <v>57</v>
      </c>
      <c r="I47" s="1" t="s">
        <v>30</v>
      </c>
      <c r="J47" s="4">
        <v>0.45625</v>
      </c>
      <c r="K47" s="1" t="s">
        <v>224</v>
      </c>
      <c r="L47" s="1" t="s">
        <v>28</v>
      </c>
      <c r="M47" s="4">
        <v>0.7152777777777778</v>
      </c>
      <c r="N47" s="1" t="s">
        <v>32</v>
      </c>
      <c r="R47" s="1">
        <f t="shared" si="1"/>
        <v>56</v>
      </c>
      <c r="S47" s="1">
        <f t="shared" si="2"/>
        <v>54</v>
      </c>
      <c r="T47" s="5">
        <f t="shared" si="3"/>
        <v>56</v>
      </c>
      <c r="U47" s="5" t="s">
        <v>39</v>
      </c>
    </row>
    <row r="48">
      <c r="A48" s="1" t="s">
        <v>258</v>
      </c>
      <c r="B48" s="2">
        <v>16.0</v>
      </c>
      <c r="C48" s="1" t="s">
        <v>25</v>
      </c>
      <c r="D48" s="1" t="s">
        <v>254</v>
      </c>
      <c r="E48" s="3"/>
      <c r="F48" s="1" t="s">
        <v>30</v>
      </c>
      <c r="G48" s="4">
        <v>0.003472222222222222</v>
      </c>
      <c r="H48" s="1" t="s">
        <v>255</v>
      </c>
      <c r="I48" s="1" t="s">
        <v>28</v>
      </c>
      <c r="J48" s="4">
        <v>0.2569444444444444</v>
      </c>
      <c r="K48" s="1" t="s">
        <v>256</v>
      </c>
      <c r="L48" s="1" t="s">
        <v>30</v>
      </c>
      <c r="M48" s="4">
        <v>0.4826388888888889</v>
      </c>
      <c r="N48" s="1" t="s">
        <v>257</v>
      </c>
      <c r="O48" s="1" t="s">
        <v>28</v>
      </c>
      <c r="P48" s="4">
        <v>0.7395833333333334</v>
      </c>
      <c r="Q48" s="1" t="s">
        <v>216</v>
      </c>
      <c r="R48" s="1">
        <f t="shared" si="1"/>
        <v>104</v>
      </c>
      <c r="S48" s="1">
        <f t="shared" si="2"/>
        <v>117</v>
      </c>
      <c r="T48" s="5">
        <f t="shared" si="3"/>
        <v>117</v>
      </c>
      <c r="U48" s="5" t="s">
        <v>90</v>
      </c>
    </row>
    <row r="49">
      <c r="A49" s="1" t="s">
        <v>258</v>
      </c>
      <c r="B49" s="2">
        <v>17.0</v>
      </c>
      <c r="C49" s="1" t="s">
        <v>75</v>
      </c>
      <c r="D49" s="1" t="s">
        <v>259</v>
      </c>
      <c r="E49" s="7" t="s">
        <v>143</v>
      </c>
      <c r="F49" s="1" t="s">
        <v>30</v>
      </c>
      <c r="G49" s="4">
        <v>0.02361111111111111</v>
      </c>
      <c r="H49" s="1" t="s">
        <v>260</v>
      </c>
      <c r="I49" s="1" t="s">
        <v>28</v>
      </c>
      <c r="J49" s="4">
        <v>0.275</v>
      </c>
      <c r="K49" s="1" t="s">
        <v>128</v>
      </c>
      <c r="L49" s="1" t="s">
        <v>30</v>
      </c>
      <c r="M49" s="4">
        <v>0.5076388888888889</v>
      </c>
      <c r="N49" s="1" t="s">
        <v>58</v>
      </c>
      <c r="O49" s="1" t="s">
        <v>28</v>
      </c>
      <c r="P49" s="4">
        <v>0.7638888888888888</v>
      </c>
      <c r="Q49" s="1" t="s">
        <v>67</v>
      </c>
      <c r="R49" s="1">
        <f t="shared" si="1"/>
        <v>118</v>
      </c>
      <c r="S49" s="1">
        <f t="shared" si="2"/>
        <v>134</v>
      </c>
      <c r="T49" s="5">
        <f t="shared" si="3"/>
        <v>134</v>
      </c>
      <c r="U49" s="5" t="s">
        <v>47</v>
      </c>
    </row>
    <row r="50">
      <c r="A50" s="1" t="s">
        <v>258</v>
      </c>
      <c r="B50" s="2">
        <v>18.0</v>
      </c>
      <c r="C50" s="1" t="s">
        <v>86</v>
      </c>
      <c r="D50" s="1" t="s">
        <v>259</v>
      </c>
      <c r="E50" s="3"/>
      <c r="F50" s="1" t="s">
        <v>30</v>
      </c>
      <c r="G50" s="4">
        <v>0.04236111111111111</v>
      </c>
      <c r="H50" s="1" t="s">
        <v>261</v>
      </c>
      <c r="I50" s="1" t="s">
        <v>28</v>
      </c>
      <c r="J50" s="4">
        <v>0.29375</v>
      </c>
      <c r="K50" s="1" t="s">
        <v>262</v>
      </c>
      <c r="L50" s="1" t="s">
        <v>30</v>
      </c>
      <c r="M50" s="4">
        <v>0.5333333333333333</v>
      </c>
      <c r="N50" s="1" t="s">
        <v>185</v>
      </c>
      <c r="O50" s="1" t="s">
        <v>28</v>
      </c>
      <c r="P50" s="4">
        <v>0.7875</v>
      </c>
      <c r="Q50" s="1" t="s">
        <v>59</v>
      </c>
      <c r="R50" s="1">
        <f t="shared" si="1"/>
        <v>128</v>
      </c>
      <c r="S50" s="1">
        <f t="shared" si="2"/>
        <v>145</v>
      </c>
      <c r="T50" s="5">
        <f t="shared" si="3"/>
        <v>145</v>
      </c>
      <c r="U50" s="5" t="s">
        <v>47</v>
      </c>
    </row>
    <row r="51">
      <c r="A51" s="1" t="s">
        <v>258</v>
      </c>
      <c r="B51" s="2">
        <v>19.0</v>
      </c>
      <c r="C51" s="1" t="s">
        <v>26</v>
      </c>
      <c r="D51" s="1" t="s">
        <v>259</v>
      </c>
      <c r="E51" s="3"/>
      <c r="F51" s="1" t="s">
        <v>30</v>
      </c>
      <c r="G51" s="4">
        <v>0.06180555555555556</v>
      </c>
      <c r="H51" s="1" t="s">
        <v>261</v>
      </c>
      <c r="I51" s="1" t="s">
        <v>28</v>
      </c>
      <c r="J51" s="4">
        <v>0.3125</v>
      </c>
      <c r="K51" s="1" t="s">
        <v>179</v>
      </c>
      <c r="L51" s="1" t="s">
        <v>30</v>
      </c>
      <c r="M51" s="4">
        <v>0.5583333333333333</v>
      </c>
      <c r="N51" s="1" t="s">
        <v>219</v>
      </c>
      <c r="O51" s="1" t="s">
        <v>28</v>
      </c>
      <c r="P51" s="4">
        <v>0.8118055555555556</v>
      </c>
      <c r="Q51" s="1" t="s">
        <v>67</v>
      </c>
      <c r="R51" s="1">
        <f t="shared" si="1"/>
        <v>135</v>
      </c>
      <c r="S51" s="1">
        <f t="shared" si="2"/>
        <v>148</v>
      </c>
      <c r="T51" s="5">
        <f t="shared" si="3"/>
        <v>148</v>
      </c>
      <c r="U51" s="5" t="s">
        <v>47</v>
      </c>
      <c r="Z51" s="8" t="s">
        <v>263</v>
      </c>
    </row>
    <row r="52">
      <c r="A52" s="1" t="s">
        <v>258</v>
      </c>
      <c r="B52" s="2">
        <v>20.0</v>
      </c>
      <c r="C52" s="1" t="s">
        <v>34</v>
      </c>
      <c r="D52" s="1" t="s">
        <v>264</v>
      </c>
      <c r="E52" s="3"/>
      <c r="F52" s="1" t="s">
        <v>30</v>
      </c>
      <c r="G52" s="4">
        <v>0.08055555555555556</v>
      </c>
      <c r="H52" s="1" t="s">
        <v>260</v>
      </c>
      <c r="I52" s="1" t="s">
        <v>28</v>
      </c>
      <c r="J52" s="4">
        <v>0.33194444444444443</v>
      </c>
      <c r="K52" s="1" t="s">
        <v>265</v>
      </c>
      <c r="L52" s="1" t="s">
        <v>30</v>
      </c>
      <c r="M52" s="4">
        <v>0.5847222222222223</v>
      </c>
      <c r="N52" s="1" t="s">
        <v>180</v>
      </c>
      <c r="O52" s="1" t="s">
        <v>28</v>
      </c>
      <c r="P52" s="4">
        <v>0.8368055555555556</v>
      </c>
      <c r="Q52" s="1" t="s">
        <v>167</v>
      </c>
      <c r="R52" s="1">
        <f t="shared" si="1"/>
        <v>137</v>
      </c>
      <c r="S52" s="1">
        <f t="shared" si="2"/>
        <v>144</v>
      </c>
      <c r="T52" s="5">
        <f t="shared" si="3"/>
        <v>144</v>
      </c>
      <c r="U52" s="5" t="s">
        <v>47</v>
      </c>
      <c r="Z52" s="9" t="s">
        <v>48</v>
      </c>
      <c r="AA52" s="9" t="s">
        <v>49</v>
      </c>
      <c r="AB52" s="9" t="s">
        <v>50</v>
      </c>
      <c r="AC52" s="9" t="s">
        <v>51</v>
      </c>
      <c r="AD52" s="9" t="s">
        <v>52</v>
      </c>
      <c r="AE52" s="9" t="s">
        <v>53</v>
      </c>
      <c r="AF52" s="9" t="s">
        <v>54</v>
      </c>
    </row>
    <row r="53">
      <c r="A53" s="1" t="s">
        <v>258</v>
      </c>
      <c r="B53" s="2">
        <v>21.0</v>
      </c>
      <c r="C53" s="1" t="s">
        <v>41</v>
      </c>
      <c r="D53" s="1" t="s">
        <v>42</v>
      </c>
      <c r="E53" s="3"/>
      <c r="F53" s="1" t="s">
        <v>30</v>
      </c>
      <c r="G53" s="4">
        <v>0.09930555555555555</v>
      </c>
      <c r="H53" s="1" t="s">
        <v>266</v>
      </c>
      <c r="I53" s="1" t="s">
        <v>28</v>
      </c>
      <c r="J53" s="4">
        <v>0.3527777777777778</v>
      </c>
      <c r="K53" s="1" t="s">
        <v>267</v>
      </c>
      <c r="L53" s="1" t="s">
        <v>30</v>
      </c>
      <c r="M53" s="4">
        <v>0.6125</v>
      </c>
      <c r="N53" s="1" t="s">
        <v>266</v>
      </c>
      <c r="O53" s="1" t="s">
        <v>28</v>
      </c>
      <c r="P53" s="4">
        <v>0.8631944444444445</v>
      </c>
      <c r="Q53" s="1" t="s">
        <v>265</v>
      </c>
      <c r="R53" s="1">
        <f t="shared" si="1"/>
        <v>133</v>
      </c>
      <c r="S53" s="1">
        <f t="shared" si="2"/>
        <v>130</v>
      </c>
      <c r="T53" s="5">
        <f t="shared" si="3"/>
        <v>133</v>
      </c>
      <c r="U53" s="5" t="s">
        <v>47</v>
      </c>
      <c r="Z53" s="10" t="s">
        <v>60</v>
      </c>
      <c r="AA53" s="10" t="s">
        <v>60</v>
      </c>
      <c r="AB53" s="10" t="s">
        <v>60</v>
      </c>
      <c r="AC53" s="10" t="s">
        <v>60</v>
      </c>
      <c r="AD53" s="10" t="s">
        <v>268</v>
      </c>
      <c r="AE53" s="11" t="s">
        <v>877</v>
      </c>
      <c r="AF53" s="11" t="s">
        <v>270</v>
      </c>
    </row>
    <row r="54">
      <c r="A54" s="1" t="s">
        <v>258</v>
      </c>
      <c r="B54" s="2">
        <v>22.0</v>
      </c>
      <c r="C54" s="1" t="s">
        <v>55</v>
      </c>
      <c r="D54" s="1" t="s">
        <v>42</v>
      </c>
      <c r="E54" s="3"/>
      <c r="F54" s="1" t="s">
        <v>30</v>
      </c>
      <c r="G54" s="4">
        <v>0.11875</v>
      </c>
      <c r="H54" s="1" t="s">
        <v>185</v>
      </c>
      <c r="I54" s="1" t="s">
        <v>28</v>
      </c>
      <c r="J54" s="4">
        <v>0.3763888888888889</v>
      </c>
      <c r="K54" s="1" t="s">
        <v>195</v>
      </c>
      <c r="L54" s="1" t="s">
        <v>30</v>
      </c>
      <c r="M54" s="4">
        <v>0.6430555555555556</v>
      </c>
      <c r="N54" s="1" t="s">
        <v>252</v>
      </c>
      <c r="O54" s="1" t="s">
        <v>28</v>
      </c>
      <c r="P54" s="4">
        <v>0.8923611111111112</v>
      </c>
      <c r="Q54" s="1" t="s">
        <v>218</v>
      </c>
      <c r="R54" s="1">
        <f t="shared" si="1"/>
        <v>123</v>
      </c>
      <c r="S54" s="1">
        <f t="shared" si="2"/>
        <v>109</v>
      </c>
      <c r="T54" s="5">
        <f t="shared" si="3"/>
        <v>123</v>
      </c>
      <c r="U54" s="5" t="s">
        <v>90</v>
      </c>
      <c r="Z54" s="10" t="s">
        <v>271</v>
      </c>
      <c r="AA54" s="10" t="s">
        <v>139</v>
      </c>
      <c r="AB54" s="10" t="s">
        <v>140</v>
      </c>
      <c r="AC54" s="10" t="s">
        <v>272</v>
      </c>
      <c r="AD54" s="10" t="s">
        <v>232</v>
      </c>
      <c r="AE54" s="11" t="s">
        <v>273</v>
      </c>
      <c r="AF54" s="11" t="s">
        <v>873</v>
      </c>
    </row>
    <row r="55">
      <c r="A55" s="1" t="s">
        <v>258</v>
      </c>
      <c r="B55" s="2">
        <v>23.0</v>
      </c>
      <c r="C55" s="1" t="s">
        <v>25</v>
      </c>
      <c r="D55" s="6"/>
      <c r="E55" s="3"/>
      <c r="F55" s="1" t="s">
        <v>30</v>
      </c>
      <c r="G55" s="4">
        <v>0.13958333333333334</v>
      </c>
      <c r="H55" s="1" t="s">
        <v>186</v>
      </c>
      <c r="I55" s="1" t="s">
        <v>28</v>
      </c>
      <c r="J55" s="4">
        <v>0.40208333333333335</v>
      </c>
      <c r="K55" s="1" t="s">
        <v>135</v>
      </c>
      <c r="L55" s="1" t="s">
        <v>30</v>
      </c>
      <c r="M55" s="4">
        <v>0.6798611111111111</v>
      </c>
      <c r="N55" s="1" t="s">
        <v>274</v>
      </c>
      <c r="O55" s="1" t="s">
        <v>28</v>
      </c>
      <c r="P55" s="4">
        <v>0.9256944444444445</v>
      </c>
      <c r="Q55" s="1" t="s">
        <v>65</v>
      </c>
      <c r="R55" s="1">
        <f t="shared" si="1"/>
        <v>108</v>
      </c>
      <c r="S55" s="1">
        <f t="shared" si="2"/>
        <v>82</v>
      </c>
      <c r="T55" s="5">
        <f t="shared" si="3"/>
        <v>108</v>
      </c>
      <c r="U55" s="5" t="s">
        <v>90</v>
      </c>
      <c r="Z55" s="10" t="s">
        <v>150</v>
      </c>
      <c r="AA55" s="10" t="s">
        <v>79</v>
      </c>
      <c r="AB55" s="10" t="s">
        <v>151</v>
      </c>
      <c r="AC55" s="10" t="s">
        <v>81</v>
      </c>
      <c r="AD55" s="10" t="s">
        <v>237</v>
      </c>
      <c r="AE55" s="11" t="s">
        <v>275</v>
      </c>
      <c r="AF55" s="11" t="s">
        <v>878</v>
      </c>
    </row>
    <row r="56">
      <c r="A56" s="1" t="s">
        <v>258</v>
      </c>
      <c r="B56" s="2">
        <v>24.0</v>
      </c>
      <c r="C56" s="1" t="s">
        <v>75</v>
      </c>
      <c r="D56" s="6"/>
      <c r="E56" s="7" t="s">
        <v>184</v>
      </c>
      <c r="F56" s="1" t="s">
        <v>30</v>
      </c>
      <c r="G56" s="4">
        <v>0.16180555555555556</v>
      </c>
      <c r="H56" s="1" t="s">
        <v>200</v>
      </c>
      <c r="I56" s="1" t="s">
        <v>28</v>
      </c>
      <c r="J56" s="4">
        <v>0.43472222222222223</v>
      </c>
      <c r="K56" s="1" t="s">
        <v>251</v>
      </c>
      <c r="L56" s="1" t="s">
        <v>30</v>
      </c>
      <c r="M56" s="4">
        <v>0.7298611111111111</v>
      </c>
      <c r="N56" s="1" t="s">
        <v>277</v>
      </c>
      <c r="O56" s="1" t="s">
        <v>28</v>
      </c>
      <c r="P56" s="4">
        <v>0.975</v>
      </c>
      <c r="Q56" s="1" t="s">
        <v>278</v>
      </c>
      <c r="R56" s="1">
        <f t="shared" si="1"/>
        <v>90</v>
      </c>
      <c r="S56" s="1">
        <f t="shared" si="2"/>
        <v>53</v>
      </c>
      <c r="T56" s="5">
        <f t="shared" si="3"/>
        <v>90</v>
      </c>
      <c r="U56" s="5" t="s">
        <v>39</v>
      </c>
      <c r="Z56" s="10" t="s">
        <v>279</v>
      </c>
      <c r="AA56" s="10" t="s">
        <v>280</v>
      </c>
      <c r="AB56" s="10" t="s">
        <v>281</v>
      </c>
      <c r="AC56" s="10" t="s">
        <v>282</v>
      </c>
      <c r="AD56" s="10" t="s">
        <v>283</v>
      </c>
      <c r="AE56" s="11" t="s">
        <v>377</v>
      </c>
      <c r="AF56" s="11" t="s">
        <v>285</v>
      </c>
    </row>
    <row r="57">
      <c r="A57" s="1" t="s">
        <v>258</v>
      </c>
      <c r="B57" s="2">
        <v>25.0</v>
      </c>
      <c r="C57" s="1" t="s">
        <v>86</v>
      </c>
      <c r="D57" s="6"/>
      <c r="E57" s="3"/>
      <c r="F57" s="1" t="s">
        <v>30</v>
      </c>
      <c r="G57" s="4">
        <v>0.1909722222222222</v>
      </c>
      <c r="H57" s="1" t="s">
        <v>286</v>
      </c>
      <c r="I57" s="1" t="s">
        <v>28</v>
      </c>
      <c r="J57" s="4">
        <v>0.48194444444444445</v>
      </c>
      <c r="K57" s="1" t="s">
        <v>218</v>
      </c>
      <c r="L57" s="1" t="s">
        <v>30</v>
      </c>
      <c r="M57" s="4">
        <v>0.8104166666666667</v>
      </c>
      <c r="N57" s="1" t="s">
        <v>257</v>
      </c>
      <c r="R57" s="1">
        <f t="shared" si="1"/>
        <v>69</v>
      </c>
      <c r="S57" s="1">
        <f t="shared" si="2"/>
        <v>53</v>
      </c>
      <c r="T57" s="5">
        <f t="shared" si="3"/>
        <v>69</v>
      </c>
      <c r="U57" s="5" t="s">
        <v>39</v>
      </c>
      <c r="Z57" s="10" t="s">
        <v>169</v>
      </c>
      <c r="AA57" s="10" t="s">
        <v>287</v>
      </c>
      <c r="AB57" s="10" t="s">
        <v>102</v>
      </c>
      <c r="AC57" s="10" t="s">
        <v>103</v>
      </c>
      <c r="AD57" s="10" t="s">
        <v>104</v>
      </c>
      <c r="AE57" s="11" t="s">
        <v>288</v>
      </c>
      <c r="AF57" s="11" t="s">
        <v>879</v>
      </c>
    </row>
    <row r="58">
      <c r="A58" s="1" t="s">
        <v>258</v>
      </c>
      <c r="B58" s="2">
        <v>26.0</v>
      </c>
      <c r="C58" s="1" t="s">
        <v>26</v>
      </c>
      <c r="D58" s="6"/>
      <c r="E58" s="3"/>
      <c r="F58" s="1" t="s">
        <v>28</v>
      </c>
      <c r="G58" s="4">
        <v>0.08263888888888889</v>
      </c>
      <c r="H58" s="1" t="s">
        <v>290</v>
      </c>
      <c r="I58" s="1" t="s">
        <v>30</v>
      </c>
      <c r="J58" s="4">
        <v>0.24930555555555556</v>
      </c>
      <c r="K58" s="1" t="s">
        <v>241</v>
      </c>
      <c r="L58" s="1" t="s">
        <v>28</v>
      </c>
      <c r="M58" s="4">
        <v>0.5576388888888889</v>
      </c>
      <c r="N58" s="1" t="s">
        <v>183</v>
      </c>
      <c r="O58" s="1" t="s">
        <v>30</v>
      </c>
      <c r="P58" s="4">
        <v>0.8923611111111112</v>
      </c>
      <c r="Q58" s="1" t="s">
        <v>88</v>
      </c>
      <c r="R58" s="1">
        <f t="shared" si="1"/>
        <v>10</v>
      </c>
      <c r="S58" s="1">
        <f t="shared" si="2"/>
        <v>94</v>
      </c>
      <c r="T58" s="5">
        <f t="shared" si="3"/>
        <v>94</v>
      </c>
      <c r="U58" s="5" t="s">
        <v>90</v>
      </c>
      <c r="Z58" s="10" t="s">
        <v>60</v>
      </c>
      <c r="AA58" s="10" t="s">
        <v>60</v>
      </c>
      <c r="AB58" s="10" t="s">
        <v>60</v>
      </c>
      <c r="AC58" s="10" t="s">
        <v>60</v>
      </c>
      <c r="AD58" s="10" t="s">
        <v>60</v>
      </c>
      <c r="AE58" s="10" t="s">
        <v>60</v>
      </c>
      <c r="AF58" s="10" t="s">
        <v>60</v>
      </c>
    </row>
    <row r="59">
      <c r="A59" s="1" t="s">
        <v>258</v>
      </c>
      <c r="B59" s="2">
        <v>27.0</v>
      </c>
      <c r="C59" s="1" t="s">
        <v>34</v>
      </c>
      <c r="D59" s="1" t="s">
        <v>264</v>
      </c>
      <c r="E59" s="3"/>
      <c r="F59" s="1" t="s">
        <v>28</v>
      </c>
      <c r="G59" s="4">
        <v>0.16597222222222222</v>
      </c>
      <c r="H59" s="1" t="s">
        <v>278</v>
      </c>
      <c r="I59" s="1" t="s">
        <v>30</v>
      </c>
      <c r="J59" s="4">
        <v>0.34930555555555554</v>
      </c>
      <c r="K59" s="1" t="s">
        <v>291</v>
      </c>
      <c r="L59" s="1" t="s">
        <v>28</v>
      </c>
      <c r="M59" s="4">
        <v>0.6291666666666667</v>
      </c>
      <c r="N59" s="1" t="s">
        <v>292</v>
      </c>
      <c r="O59" s="1" t="s">
        <v>30</v>
      </c>
      <c r="P59" s="4">
        <v>0.9395833333333333</v>
      </c>
      <c r="Q59" s="1" t="s">
        <v>293</v>
      </c>
      <c r="R59" s="1">
        <f t="shared" si="1"/>
        <v>18</v>
      </c>
      <c r="S59" s="1">
        <f t="shared" si="2"/>
        <v>115</v>
      </c>
      <c r="T59" s="5">
        <f t="shared" si="3"/>
        <v>115</v>
      </c>
      <c r="U59" s="5" t="s">
        <v>90</v>
      </c>
    </row>
    <row r="60">
      <c r="A60" s="1" t="s">
        <v>258</v>
      </c>
      <c r="B60" s="2">
        <v>28.0</v>
      </c>
      <c r="C60" s="1" t="s">
        <v>41</v>
      </c>
      <c r="D60" s="1" t="s">
        <v>294</v>
      </c>
      <c r="E60" s="3"/>
      <c r="F60" s="1" t="s">
        <v>28</v>
      </c>
      <c r="G60" s="4">
        <v>0.2013888888888889</v>
      </c>
      <c r="H60" s="1" t="s">
        <v>145</v>
      </c>
      <c r="I60" s="1" t="s">
        <v>30</v>
      </c>
      <c r="J60" s="4">
        <v>0.41458333333333336</v>
      </c>
      <c r="K60" s="1" t="s">
        <v>295</v>
      </c>
      <c r="L60" s="1" t="s">
        <v>28</v>
      </c>
      <c r="M60" s="4">
        <v>0.6763888888888889</v>
      </c>
      <c r="N60" s="1" t="s">
        <v>147</v>
      </c>
      <c r="O60" s="1" t="s">
        <v>30</v>
      </c>
      <c r="P60" s="4">
        <v>0.9715277777777778</v>
      </c>
      <c r="Q60" s="1" t="s">
        <v>98</v>
      </c>
      <c r="R60" s="1">
        <f t="shared" si="1"/>
        <v>40</v>
      </c>
      <c r="S60" s="1">
        <f t="shared" si="2"/>
        <v>139</v>
      </c>
      <c r="T60" s="5">
        <f t="shared" si="3"/>
        <v>139</v>
      </c>
      <c r="U60" s="5" t="s">
        <v>47</v>
      </c>
    </row>
    <row r="61">
      <c r="A61" s="1" t="s">
        <v>345</v>
      </c>
      <c r="B61" s="2">
        <v>1.0</v>
      </c>
      <c r="C61" s="1" t="s">
        <v>55</v>
      </c>
      <c r="D61" s="1" t="s">
        <v>42</v>
      </c>
      <c r="E61" s="3"/>
      <c r="F61" s="1" t="s">
        <v>28</v>
      </c>
      <c r="G61" s="4">
        <v>0.22569444444444445</v>
      </c>
      <c r="H61" s="1" t="s">
        <v>296</v>
      </c>
      <c r="I61" s="1" t="s">
        <v>30</v>
      </c>
      <c r="J61" s="4">
        <v>0.45416666666666666</v>
      </c>
      <c r="K61" s="1" t="s">
        <v>223</v>
      </c>
      <c r="L61" s="1" t="s">
        <v>28</v>
      </c>
      <c r="M61" s="4">
        <v>0.7111111111111111</v>
      </c>
      <c r="N61" s="1" t="s">
        <v>297</v>
      </c>
      <c r="O61" s="1" t="s">
        <v>30</v>
      </c>
      <c r="P61" s="4">
        <v>0.9979166666666667</v>
      </c>
      <c r="Q61" s="1" t="s">
        <v>177</v>
      </c>
      <c r="R61" s="1">
        <f t="shared" si="1"/>
        <v>66</v>
      </c>
      <c r="S61" s="1">
        <f t="shared" si="2"/>
        <v>156</v>
      </c>
      <c r="T61" s="5">
        <f t="shared" si="3"/>
        <v>156</v>
      </c>
      <c r="U61" s="5" t="s">
        <v>47</v>
      </c>
    </row>
    <row r="62">
      <c r="A62" s="1" t="s">
        <v>345</v>
      </c>
      <c r="B62" s="2">
        <v>2.0</v>
      </c>
      <c r="C62" s="1" t="s">
        <v>25</v>
      </c>
      <c r="D62" s="6"/>
      <c r="E62" s="3"/>
      <c r="F62" s="1" t="s">
        <v>28</v>
      </c>
      <c r="G62" s="4">
        <v>0.2465277777777778</v>
      </c>
      <c r="H62" s="1" t="s">
        <v>128</v>
      </c>
      <c r="I62" s="1" t="s">
        <v>30</v>
      </c>
      <c r="J62" s="4">
        <v>0.4840277777777778</v>
      </c>
      <c r="K62" s="1" t="s">
        <v>45</v>
      </c>
      <c r="L62" s="1" t="s">
        <v>28</v>
      </c>
      <c r="M62" s="4">
        <v>0.7402777777777778</v>
      </c>
      <c r="N62" s="1" t="s">
        <v>59</v>
      </c>
      <c r="R62" s="1">
        <f t="shared" si="1"/>
        <v>90</v>
      </c>
      <c r="S62" s="1">
        <f t="shared" si="2"/>
        <v>74</v>
      </c>
      <c r="T62" s="5">
        <f t="shared" si="3"/>
        <v>90</v>
      </c>
      <c r="U62" s="5" t="s">
        <v>39</v>
      </c>
    </row>
    <row r="63">
      <c r="A63" s="1" t="s">
        <v>345</v>
      </c>
      <c r="B63" s="2">
        <v>3.0</v>
      </c>
      <c r="C63" s="1" t="s">
        <v>75</v>
      </c>
      <c r="D63" s="6"/>
      <c r="E63" s="7" t="s">
        <v>35</v>
      </c>
      <c r="F63" s="1" t="s">
        <v>30</v>
      </c>
      <c r="G63" s="4">
        <v>0.02013888888888889</v>
      </c>
      <c r="H63" s="1" t="s">
        <v>177</v>
      </c>
      <c r="I63" s="1" t="s">
        <v>28</v>
      </c>
      <c r="J63" s="4">
        <v>0.26666666666666666</v>
      </c>
      <c r="K63" s="1" t="s">
        <v>292</v>
      </c>
      <c r="L63" s="1" t="s">
        <v>30</v>
      </c>
      <c r="M63" s="4">
        <v>0.5104166666666666</v>
      </c>
      <c r="N63" s="1" t="s">
        <v>124</v>
      </c>
      <c r="O63" s="1" t="s">
        <v>28</v>
      </c>
      <c r="P63" s="4">
        <v>0.7666666666666667</v>
      </c>
      <c r="Q63" s="1" t="s">
        <v>298</v>
      </c>
      <c r="R63" s="1">
        <f t="shared" si="1"/>
        <v>130</v>
      </c>
      <c r="S63" s="1">
        <f t="shared" si="2"/>
        <v>144</v>
      </c>
      <c r="T63" s="5">
        <f t="shared" si="3"/>
        <v>144</v>
      </c>
      <c r="U63" s="5" t="s">
        <v>47</v>
      </c>
      <c r="Z63" s="8" t="s">
        <v>299</v>
      </c>
    </row>
    <row r="64">
      <c r="A64" s="1" t="s">
        <v>345</v>
      </c>
      <c r="B64" s="2">
        <v>4.0</v>
      </c>
      <c r="C64" s="1" t="s">
        <v>86</v>
      </c>
      <c r="D64" s="6"/>
      <c r="E64" s="3"/>
      <c r="F64" s="1" t="s">
        <v>30</v>
      </c>
      <c r="G64" s="4">
        <v>0.03958333333333333</v>
      </c>
      <c r="H64" s="1" t="s">
        <v>300</v>
      </c>
      <c r="I64" s="1" t="s">
        <v>28</v>
      </c>
      <c r="J64" s="4">
        <v>0.28541666666666665</v>
      </c>
      <c r="K64" s="1" t="s">
        <v>301</v>
      </c>
      <c r="L64" s="1" t="s">
        <v>30</v>
      </c>
      <c r="M64" s="4">
        <v>0.5347222222222222</v>
      </c>
      <c r="N64" s="1" t="s">
        <v>252</v>
      </c>
      <c r="O64" s="1" t="s">
        <v>28</v>
      </c>
      <c r="P64" s="4">
        <v>0.7909722222222222</v>
      </c>
      <c r="Q64" s="1" t="s">
        <v>67</v>
      </c>
      <c r="R64" s="1">
        <f t="shared" si="1"/>
        <v>132</v>
      </c>
      <c r="S64" s="1">
        <f t="shared" si="2"/>
        <v>146</v>
      </c>
      <c r="T64" s="5">
        <f t="shared" si="3"/>
        <v>146</v>
      </c>
      <c r="U64" s="5" t="s">
        <v>47</v>
      </c>
      <c r="Z64" s="9" t="s">
        <v>48</v>
      </c>
      <c r="AA64" s="9" t="s">
        <v>49</v>
      </c>
      <c r="AB64" s="9" t="s">
        <v>50</v>
      </c>
      <c r="AC64" s="9" t="s">
        <v>51</v>
      </c>
      <c r="AD64" s="9" t="s">
        <v>52</v>
      </c>
      <c r="AE64" s="9" t="s">
        <v>53</v>
      </c>
      <c r="AF64" s="9" t="s">
        <v>54</v>
      </c>
    </row>
    <row r="65">
      <c r="A65" s="1" t="s">
        <v>345</v>
      </c>
      <c r="B65" s="2">
        <v>5.0</v>
      </c>
      <c r="C65" s="1" t="s">
        <v>26</v>
      </c>
      <c r="D65" s="6"/>
      <c r="E65" s="3"/>
      <c r="F65" s="1" t="s">
        <v>30</v>
      </c>
      <c r="G65" s="4">
        <v>0.05625</v>
      </c>
      <c r="H65" s="1" t="s">
        <v>302</v>
      </c>
      <c r="I65" s="1" t="s">
        <v>28</v>
      </c>
      <c r="J65" s="4">
        <v>0.30416666666666664</v>
      </c>
      <c r="K65" s="1" t="s">
        <v>195</v>
      </c>
      <c r="L65" s="1" t="s">
        <v>30</v>
      </c>
      <c r="M65" s="4">
        <v>0.5583333333333333</v>
      </c>
      <c r="N65" s="1" t="s">
        <v>219</v>
      </c>
      <c r="O65" s="1" t="s">
        <v>28</v>
      </c>
      <c r="P65" s="4">
        <v>0.8138888888888889</v>
      </c>
      <c r="Q65" s="1" t="s">
        <v>78</v>
      </c>
      <c r="R65" s="1">
        <f t="shared" si="1"/>
        <v>131</v>
      </c>
      <c r="S65" s="1">
        <f t="shared" si="2"/>
        <v>139</v>
      </c>
      <c r="T65" s="5">
        <f t="shared" si="3"/>
        <v>139</v>
      </c>
      <c r="U65" s="5" t="s">
        <v>47</v>
      </c>
      <c r="Z65" s="10" t="s">
        <v>226</v>
      </c>
      <c r="AA65" s="10" t="s">
        <v>303</v>
      </c>
      <c r="AB65" s="10" t="s">
        <v>304</v>
      </c>
      <c r="AC65" s="10" t="s">
        <v>271</v>
      </c>
      <c r="AD65" s="10" t="s">
        <v>139</v>
      </c>
      <c r="AE65" s="11" t="s">
        <v>305</v>
      </c>
      <c r="AF65" s="11" t="s">
        <v>306</v>
      </c>
    </row>
    <row r="66">
      <c r="A66" s="1" t="s">
        <v>345</v>
      </c>
      <c r="B66" s="2">
        <v>6.0</v>
      </c>
      <c r="C66" s="1" t="s">
        <v>34</v>
      </c>
      <c r="D66" s="6"/>
      <c r="E66" s="3"/>
      <c r="F66" s="1" t="s">
        <v>30</v>
      </c>
      <c r="G66" s="4">
        <v>0.07222222222222222</v>
      </c>
      <c r="H66" s="1" t="s">
        <v>108</v>
      </c>
      <c r="I66" s="1" t="s">
        <v>28</v>
      </c>
      <c r="J66" s="4">
        <v>0.3215277777777778</v>
      </c>
      <c r="K66" s="1" t="s">
        <v>267</v>
      </c>
      <c r="L66" s="1" t="s">
        <v>30</v>
      </c>
      <c r="M66" s="4">
        <v>0.5805555555555556</v>
      </c>
      <c r="N66" s="1" t="s">
        <v>252</v>
      </c>
      <c r="O66" s="1" t="s">
        <v>28</v>
      </c>
      <c r="P66" s="4">
        <v>0.8354166666666667</v>
      </c>
      <c r="Q66" s="1" t="s">
        <v>307</v>
      </c>
      <c r="R66" s="1">
        <f t="shared" si="1"/>
        <v>125</v>
      </c>
      <c r="S66" s="1">
        <f t="shared" si="2"/>
        <v>126</v>
      </c>
      <c r="T66" s="5">
        <f t="shared" si="3"/>
        <v>126</v>
      </c>
      <c r="U66" s="5" t="s">
        <v>47</v>
      </c>
      <c r="Z66" s="10" t="s">
        <v>232</v>
      </c>
      <c r="AA66" s="10" t="s">
        <v>72</v>
      </c>
      <c r="AB66" s="10" t="s">
        <v>149</v>
      </c>
      <c r="AC66" s="10" t="s">
        <v>309</v>
      </c>
      <c r="AD66" s="10" t="s">
        <v>310</v>
      </c>
      <c r="AE66" s="11" t="s">
        <v>311</v>
      </c>
      <c r="AF66" s="11" t="s">
        <v>312</v>
      </c>
    </row>
    <row r="67">
      <c r="A67" s="1" t="s">
        <v>345</v>
      </c>
      <c r="B67" s="2">
        <v>7.0</v>
      </c>
      <c r="C67" s="1" t="s">
        <v>41</v>
      </c>
      <c r="D67" s="1" t="s">
        <v>42</v>
      </c>
      <c r="E67" s="3"/>
      <c r="F67" s="1" t="s">
        <v>30</v>
      </c>
      <c r="G67" s="4">
        <v>0.0875</v>
      </c>
      <c r="H67" s="1" t="s">
        <v>313</v>
      </c>
      <c r="I67" s="1" t="s">
        <v>28</v>
      </c>
      <c r="J67" s="4">
        <v>0.33958333333333335</v>
      </c>
      <c r="K67" s="1" t="s">
        <v>267</v>
      </c>
      <c r="L67" s="1" t="s">
        <v>30</v>
      </c>
      <c r="M67" s="4">
        <v>0.6034722222222222</v>
      </c>
      <c r="N67" s="1" t="s">
        <v>314</v>
      </c>
      <c r="O67" s="1" t="s">
        <v>28</v>
      </c>
      <c r="P67" s="4">
        <v>0.85625</v>
      </c>
      <c r="Q67" s="1" t="s">
        <v>262</v>
      </c>
      <c r="R67" s="1">
        <f t="shared" si="1"/>
        <v>117</v>
      </c>
      <c r="S67" s="1">
        <f t="shared" si="2"/>
        <v>108</v>
      </c>
      <c r="T67" s="5">
        <f t="shared" si="3"/>
        <v>117</v>
      </c>
      <c r="U67" s="5" t="s">
        <v>90</v>
      </c>
      <c r="Z67" s="10" t="s">
        <v>237</v>
      </c>
      <c r="AA67" s="10" t="s">
        <v>83</v>
      </c>
      <c r="AB67" s="10" t="s">
        <v>201</v>
      </c>
      <c r="AC67" s="10" t="s">
        <v>279</v>
      </c>
      <c r="AD67" s="10" t="s">
        <v>316</v>
      </c>
      <c r="AE67" s="11" t="s">
        <v>317</v>
      </c>
      <c r="AF67" s="11" t="s">
        <v>318</v>
      </c>
    </row>
    <row r="68">
      <c r="A68" s="1" t="s">
        <v>345</v>
      </c>
      <c r="B68" s="2">
        <v>8.0</v>
      </c>
      <c r="C68" s="1" t="s">
        <v>55</v>
      </c>
      <c r="D68" s="1" t="s">
        <v>42</v>
      </c>
      <c r="E68" s="3"/>
      <c r="F68" s="1" t="s">
        <v>30</v>
      </c>
      <c r="G68" s="4">
        <v>0.10277777777777777</v>
      </c>
      <c r="H68" s="1" t="s">
        <v>146</v>
      </c>
      <c r="I68" s="1" t="s">
        <v>28</v>
      </c>
      <c r="J68" s="4">
        <v>0.3576388888888889</v>
      </c>
      <c r="K68" s="1" t="s">
        <v>265</v>
      </c>
      <c r="L68" s="1" t="s">
        <v>30</v>
      </c>
      <c r="M68" s="4">
        <v>0.6270833333333333</v>
      </c>
      <c r="N68" s="1" t="s">
        <v>58</v>
      </c>
      <c r="O68" s="1" t="s">
        <v>28</v>
      </c>
      <c r="P68" s="4">
        <v>0.8770833333333333</v>
      </c>
      <c r="Q68" s="1" t="s">
        <v>176</v>
      </c>
      <c r="R68" s="1">
        <f t="shared" si="1"/>
        <v>106</v>
      </c>
      <c r="S68" s="1">
        <f t="shared" si="2"/>
        <v>87</v>
      </c>
      <c r="T68" s="5">
        <f t="shared" si="3"/>
        <v>106</v>
      </c>
      <c r="U68" s="5" t="s">
        <v>90</v>
      </c>
      <c r="Z68" s="10" t="s">
        <v>283</v>
      </c>
      <c r="AA68" s="10" t="s">
        <v>243</v>
      </c>
      <c r="AB68" s="10" t="s">
        <v>320</v>
      </c>
      <c r="AC68" s="10" t="s">
        <v>169</v>
      </c>
      <c r="AD68" s="10" t="s">
        <v>170</v>
      </c>
      <c r="AE68" s="11" t="s">
        <v>321</v>
      </c>
      <c r="AF68" s="11" t="s">
        <v>322</v>
      </c>
    </row>
    <row r="69">
      <c r="A69" s="1" t="s">
        <v>345</v>
      </c>
      <c r="B69" s="2">
        <v>9.0</v>
      </c>
      <c r="C69" s="1" t="s">
        <v>25</v>
      </c>
      <c r="D69" s="6"/>
      <c r="E69" s="3"/>
      <c r="F69" s="1" t="s">
        <v>30</v>
      </c>
      <c r="G69" s="4">
        <v>0.11805555555555555</v>
      </c>
      <c r="H69" s="1" t="s">
        <v>112</v>
      </c>
      <c r="I69" s="1" t="s">
        <v>28</v>
      </c>
      <c r="J69" s="4">
        <v>0.3770833333333333</v>
      </c>
      <c r="K69" s="1" t="s">
        <v>179</v>
      </c>
      <c r="L69" s="1" t="s">
        <v>30</v>
      </c>
      <c r="M69" s="4">
        <v>0.6541666666666667</v>
      </c>
      <c r="N69" s="1" t="s">
        <v>257</v>
      </c>
      <c r="O69" s="1" t="s">
        <v>28</v>
      </c>
      <c r="P69" s="4">
        <v>0.9</v>
      </c>
      <c r="Q69" s="1" t="s">
        <v>323</v>
      </c>
      <c r="R69" s="1">
        <f t="shared" si="1"/>
        <v>92</v>
      </c>
      <c r="S69" s="1">
        <f t="shared" si="2"/>
        <v>64</v>
      </c>
      <c r="T69" s="5">
        <f t="shared" si="3"/>
        <v>92</v>
      </c>
      <c r="U69" s="5" t="s">
        <v>90</v>
      </c>
      <c r="Z69" s="10" t="s">
        <v>324</v>
      </c>
      <c r="AA69" s="10" t="s">
        <v>105</v>
      </c>
      <c r="AB69" s="10" t="s">
        <v>60</v>
      </c>
      <c r="AC69" s="10" t="s">
        <v>60</v>
      </c>
      <c r="AD69" s="10" t="s">
        <v>60</v>
      </c>
      <c r="AE69" s="10" t="s">
        <v>60</v>
      </c>
      <c r="AF69" s="10" t="s">
        <v>60</v>
      </c>
    </row>
    <row r="70">
      <c r="A70" s="1" t="s">
        <v>345</v>
      </c>
      <c r="B70" s="2">
        <v>10.0</v>
      </c>
      <c r="C70" s="1" t="s">
        <v>75</v>
      </c>
      <c r="D70" s="6"/>
      <c r="E70" s="3"/>
      <c r="F70" s="1" t="s">
        <v>30</v>
      </c>
      <c r="G70" s="4">
        <v>0.13402777777777777</v>
      </c>
      <c r="H70" s="1" t="s">
        <v>326</v>
      </c>
      <c r="I70" s="1" t="s">
        <v>28</v>
      </c>
      <c r="J70" s="4">
        <v>0.4</v>
      </c>
      <c r="K70" s="1" t="s">
        <v>262</v>
      </c>
      <c r="L70" s="1" t="s">
        <v>30</v>
      </c>
      <c r="M70" s="4">
        <v>0.6881944444444444</v>
      </c>
      <c r="N70" s="1" t="s">
        <v>224</v>
      </c>
      <c r="O70" s="1" t="s">
        <v>28</v>
      </c>
      <c r="P70" s="4">
        <v>0.9298611111111111</v>
      </c>
      <c r="Q70" s="1" t="s">
        <v>130</v>
      </c>
      <c r="R70" s="1">
        <f t="shared" si="1"/>
        <v>76</v>
      </c>
      <c r="S70" s="1">
        <f t="shared" si="2"/>
        <v>41</v>
      </c>
      <c r="T70" s="5">
        <f t="shared" si="3"/>
        <v>76</v>
      </c>
      <c r="U70" s="5" t="s">
        <v>39</v>
      </c>
      <c r="Z70" s="10" t="s">
        <v>60</v>
      </c>
      <c r="AA70" s="10" t="s">
        <v>60</v>
      </c>
      <c r="AB70" s="10" t="s">
        <v>60</v>
      </c>
      <c r="AC70" s="10" t="s">
        <v>60</v>
      </c>
      <c r="AD70" s="10" t="s">
        <v>60</v>
      </c>
      <c r="AE70" s="10" t="s">
        <v>60</v>
      </c>
      <c r="AF70" s="10" t="s">
        <v>60</v>
      </c>
    </row>
    <row r="71">
      <c r="A71" s="1" t="s">
        <v>345</v>
      </c>
      <c r="B71" s="2">
        <v>11.0</v>
      </c>
      <c r="C71" s="1" t="s">
        <v>86</v>
      </c>
      <c r="D71" s="6"/>
      <c r="E71" s="7" t="s">
        <v>107</v>
      </c>
      <c r="F71" s="1" t="s">
        <v>30</v>
      </c>
      <c r="G71" s="4">
        <v>0.15138888888888888</v>
      </c>
      <c r="H71" s="1" t="s">
        <v>327</v>
      </c>
      <c r="I71" s="1" t="s">
        <v>28</v>
      </c>
      <c r="J71" s="4">
        <v>0.42916666666666664</v>
      </c>
      <c r="K71" s="1" t="s">
        <v>190</v>
      </c>
      <c r="L71" s="1" t="s">
        <v>30</v>
      </c>
      <c r="M71" s="4">
        <v>0.7430555555555556</v>
      </c>
      <c r="N71" s="1" t="s">
        <v>328</v>
      </c>
      <c r="R71" s="1">
        <f t="shared" si="1"/>
        <v>58</v>
      </c>
      <c r="S71" s="1">
        <f t="shared" si="2"/>
        <v>34</v>
      </c>
      <c r="T71" s="5">
        <f t="shared" si="3"/>
        <v>58</v>
      </c>
      <c r="U71" s="5" t="s">
        <v>39</v>
      </c>
    </row>
    <row r="72">
      <c r="A72" s="1" t="s">
        <v>345</v>
      </c>
      <c r="B72" s="2">
        <v>12.0</v>
      </c>
      <c r="C72" s="1" t="s">
        <v>26</v>
      </c>
      <c r="D72" s="6"/>
      <c r="E72" s="3"/>
      <c r="F72" s="1" t="s">
        <v>28</v>
      </c>
      <c r="G72" s="4">
        <v>0.017361111111111112</v>
      </c>
      <c r="H72" s="1" t="s">
        <v>329</v>
      </c>
      <c r="I72" s="1" t="s">
        <v>30</v>
      </c>
      <c r="J72" s="4">
        <v>0.17569444444444443</v>
      </c>
      <c r="K72" s="1" t="s">
        <v>235</v>
      </c>
      <c r="L72" s="1" t="s">
        <v>28</v>
      </c>
      <c r="M72" s="4">
        <v>0.4791666666666667</v>
      </c>
      <c r="N72" s="1" t="s">
        <v>123</v>
      </c>
      <c r="O72" s="1" t="s">
        <v>30</v>
      </c>
      <c r="P72" s="4">
        <v>0.8486111111111111</v>
      </c>
      <c r="Q72" s="1" t="s">
        <v>250</v>
      </c>
      <c r="R72" s="1">
        <f t="shared" si="1"/>
        <v>6</v>
      </c>
      <c r="S72" s="1">
        <f t="shared" si="2"/>
        <v>56</v>
      </c>
      <c r="T72" s="5">
        <f t="shared" si="3"/>
        <v>56</v>
      </c>
      <c r="U72" s="5" t="s">
        <v>39</v>
      </c>
    </row>
    <row r="73">
      <c r="A73" s="1" t="s">
        <v>345</v>
      </c>
      <c r="B73" s="2">
        <v>13.0</v>
      </c>
      <c r="C73" s="1" t="s">
        <v>34</v>
      </c>
      <c r="D73" s="6"/>
      <c r="E73" s="3"/>
      <c r="F73" s="1" t="s">
        <v>330</v>
      </c>
      <c r="G73" s="4">
        <v>0.14375</v>
      </c>
      <c r="H73" s="1" t="s">
        <v>331</v>
      </c>
      <c r="I73" s="1" t="s">
        <v>330</v>
      </c>
      <c r="J73" s="4">
        <v>0.27569444444444446</v>
      </c>
      <c r="K73" s="1" t="s">
        <v>332</v>
      </c>
      <c r="L73" s="1" t="s">
        <v>28</v>
      </c>
      <c r="M73" s="4">
        <v>0.5708333333333333</v>
      </c>
      <c r="N73" s="1" t="s">
        <v>123</v>
      </c>
      <c r="O73" s="1" t="s">
        <v>30</v>
      </c>
      <c r="P73" s="4">
        <v>0.9083333333333333</v>
      </c>
      <c r="Q73" s="1" t="s">
        <v>333</v>
      </c>
      <c r="R73" s="1">
        <f t="shared" si="1"/>
        <v>3</v>
      </c>
      <c r="S73" s="1">
        <f t="shared" si="2"/>
        <v>65</v>
      </c>
      <c r="T73" s="5">
        <f t="shared" si="3"/>
        <v>65</v>
      </c>
      <c r="U73" s="5" t="s">
        <v>39</v>
      </c>
    </row>
    <row r="74">
      <c r="A74" s="1" t="s">
        <v>345</v>
      </c>
      <c r="B74" s="2">
        <v>14.0</v>
      </c>
      <c r="C74" s="1" t="s">
        <v>41</v>
      </c>
      <c r="D74" s="1" t="s">
        <v>42</v>
      </c>
      <c r="E74" s="3"/>
      <c r="F74" s="1" t="s">
        <v>28</v>
      </c>
      <c r="G74" s="4">
        <v>0.17708333333333334</v>
      </c>
      <c r="H74" s="1" t="s">
        <v>249</v>
      </c>
      <c r="I74" s="1" t="s">
        <v>30</v>
      </c>
      <c r="J74" s="4">
        <v>0.3659722222222222</v>
      </c>
      <c r="K74" s="1" t="s">
        <v>121</v>
      </c>
      <c r="L74" s="1" t="s">
        <v>28</v>
      </c>
      <c r="M74" s="4">
        <v>0.6326388888888889</v>
      </c>
      <c r="N74" s="1" t="s">
        <v>100</v>
      </c>
      <c r="O74" s="1" t="s">
        <v>30</v>
      </c>
      <c r="P74" s="4">
        <v>0.9375</v>
      </c>
      <c r="Q74" s="1" t="s">
        <v>31</v>
      </c>
      <c r="R74" s="1">
        <f t="shared" si="1"/>
        <v>18</v>
      </c>
      <c r="S74" s="1">
        <f t="shared" si="2"/>
        <v>85</v>
      </c>
      <c r="T74" s="5">
        <f t="shared" si="3"/>
        <v>85</v>
      </c>
      <c r="U74" s="5" t="s">
        <v>39</v>
      </c>
    </row>
    <row r="75">
      <c r="A75" s="1" t="s">
        <v>345</v>
      </c>
      <c r="B75" s="2">
        <v>15.0</v>
      </c>
      <c r="C75" s="1" t="s">
        <v>55</v>
      </c>
      <c r="D75" s="1" t="s">
        <v>42</v>
      </c>
      <c r="E75" s="3"/>
      <c r="F75" s="1" t="s">
        <v>28</v>
      </c>
      <c r="G75" s="4">
        <v>0.19583333333333333</v>
      </c>
      <c r="H75" s="1" t="s">
        <v>65</v>
      </c>
      <c r="I75" s="1" t="s">
        <v>30</v>
      </c>
      <c r="J75" s="4">
        <v>0.4125</v>
      </c>
      <c r="K75" s="1" t="s">
        <v>334</v>
      </c>
      <c r="L75" s="1" t="s">
        <v>28</v>
      </c>
      <c r="M75" s="4">
        <v>0.66875</v>
      </c>
      <c r="N75" s="1" t="s">
        <v>335</v>
      </c>
      <c r="O75" s="1" t="s">
        <v>30</v>
      </c>
      <c r="P75" s="4">
        <v>0.9597222222222223</v>
      </c>
      <c r="Q75" s="1" t="s">
        <v>110</v>
      </c>
      <c r="R75" s="1">
        <f t="shared" si="1"/>
        <v>40</v>
      </c>
      <c r="S75" s="1">
        <f t="shared" si="2"/>
        <v>107</v>
      </c>
      <c r="T75" s="5">
        <f t="shared" si="3"/>
        <v>107</v>
      </c>
      <c r="U75" s="5" t="s">
        <v>90</v>
      </c>
      <c r="Z75" s="8" t="s">
        <v>336</v>
      </c>
    </row>
    <row r="76">
      <c r="A76" s="1" t="s">
        <v>345</v>
      </c>
      <c r="B76" s="2">
        <v>16.0</v>
      </c>
      <c r="C76" s="1" t="s">
        <v>25</v>
      </c>
      <c r="D76" s="6"/>
      <c r="E76" s="3"/>
      <c r="F76" s="1" t="s">
        <v>28</v>
      </c>
      <c r="G76" s="4">
        <v>0.21319444444444444</v>
      </c>
      <c r="H76" s="1" t="s">
        <v>189</v>
      </c>
      <c r="I76" s="1" t="s">
        <v>30</v>
      </c>
      <c r="J76" s="4">
        <v>0.44375</v>
      </c>
      <c r="K76" s="1" t="s">
        <v>326</v>
      </c>
      <c r="L76" s="1" t="s">
        <v>28</v>
      </c>
      <c r="M76" s="4">
        <v>0.6979166666666666</v>
      </c>
      <c r="N76" s="1" t="s">
        <v>337</v>
      </c>
      <c r="O76" s="1" t="s">
        <v>30</v>
      </c>
      <c r="P76" s="4">
        <v>0.9791666666666666</v>
      </c>
      <c r="Q76" s="1" t="s">
        <v>124</v>
      </c>
      <c r="R76" s="1">
        <f t="shared" si="1"/>
        <v>65</v>
      </c>
      <c r="S76" s="1">
        <f t="shared" si="2"/>
        <v>128</v>
      </c>
      <c r="T76" s="5">
        <f t="shared" si="3"/>
        <v>128</v>
      </c>
      <c r="U76" s="5" t="s">
        <v>47</v>
      </c>
      <c r="Z76" s="9" t="s">
        <v>48</v>
      </c>
      <c r="AA76" s="9" t="s">
        <v>49</v>
      </c>
      <c r="AB76" s="9" t="s">
        <v>50</v>
      </c>
      <c r="AC76" s="9" t="s">
        <v>51</v>
      </c>
      <c r="AD76" s="9" t="s">
        <v>52</v>
      </c>
      <c r="AE76" s="9" t="s">
        <v>53</v>
      </c>
      <c r="AF76" s="9" t="s">
        <v>54</v>
      </c>
    </row>
    <row r="77">
      <c r="A77" s="1" t="s">
        <v>345</v>
      </c>
      <c r="B77" s="2">
        <v>17.0</v>
      </c>
      <c r="C77" s="1" t="s">
        <v>75</v>
      </c>
      <c r="D77" s="6"/>
      <c r="E77" s="3"/>
      <c r="F77" s="1" t="s">
        <v>28</v>
      </c>
      <c r="G77" s="4">
        <v>0.23055555555555557</v>
      </c>
      <c r="H77" s="1" t="s">
        <v>192</v>
      </c>
      <c r="I77" s="1" t="s">
        <v>30</v>
      </c>
      <c r="J77" s="4">
        <v>0.4701388888888889</v>
      </c>
      <c r="K77" s="1" t="s">
        <v>257</v>
      </c>
      <c r="L77" s="1" t="s">
        <v>28</v>
      </c>
      <c r="M77" s="4">
        <v>0.7236111111111111</v>
      </c>
      <c r="N77" s="1" t="s">
        <v>338</v>
      </c>
      <c r="O77" s="1" t="s">
        <v>30</v>
      </c>
      <c r="P77" s="4">
        <v>0.9979166666666667</v>
      </c>
      <c r="Q77" s="1" t="s">
        <v>252</v>
      </c>
      <c r="R77" s="1">
        <f t="shared" si="1"/>
        <v>92</v>
      </c>
      <c r="S77" s="1">
        <f t="shared" si="2"/>
        <v>144</v>
      </c>
      <c r="T77" s="5">
        <f t="shared" si="3"/>
        <v>144</v>
      </c>
      <c r="U77" s="5" t="s">
        <v>47</v>
      </c>
      <c r="Z77" s="10" t="s">
        <v>60</v>
      </c>
      <c r="AA77" s="10" t="s">
        <v>60</v>
      </c>
      <c r="AB77" s="10" t="s">
        <v>226</v>
      </c>
      <c r="AC77" s="10" t="s">
        <v>303</v>
      </c>
      <c r="AD77" s="10" t="s">
        <v>304</v>
      </c>
      <c r="AE77" s="11" t="s">
        <v>339</v>
      </c>
      <c r="AF77" s="11" t="s">
        <v>340</v>
      </c>
    </row>
    <row r="78">
      <c r="A78" s="1" t="s">
        <v>345</v>
      </c>
      <c r="B78" s="2">
        <v>18.0</v>
      </c>
      <c r="C78" s="1" t="s">
        <v>86</v>
      </c>
      <c r="D78" s="6"/>
      <c r="E78" s="3"/>
      <c r="F78" s="1" t="s">
        <v>28</v>
      </c>
      <c r="G78" s="4">
        <v>0.24861111111111112</v>
      </c>
      <c r="H78" s="1" t="s">
        <v>307</v>
      </c>
      <c r="I78" s="1" t="s">
        <v>30</v>
      </c>
      <c r="J78" s="4">
        <v>0.4951388888888889</v>
      </c>
      <c r="K78" s="1" t="s">
        <v>182</v>
      </c>
      <c r="L78" s="1" t="s">
        <v>28</v>
      </c>
      <c r="M78" s="4">
        <v>0.7486111111111111</v>
      </c>
      <c r="N78" s="1" t="s">
        <v>211</v>
      </c>
      <c r="R78" s="1">
        <f t="shared" si="1"/>
        <v>117</v>
      </c>
      <c r="S78" s="1">
        <f t="shared" si="2"/>
        <v>76</v>
      </c>
      <c r="T78" s="5">
        <f t="shared" si="3"/>
        <v>117</v>
      </c>
      <c r="U78" s="5" t="s">
        <v>90</v>
      </c>
      <c r="Z78" s="10" t="s">
        <v>341</v>
      </c>
      <c r="AA78" s="10" t="s">
        <v>272</v>
      </c>
      <c r="AB78" s="10" t="s">
        <v>232</v>
      </c>
      <c r="AC78" s="10" t="s">
        <v>72</v>
      </c>
      <c r="AD78" s="10" t="s">
        <v>342</v>
      </c>
      <c r="AE78" s="11" t="s">
        <v>343</v>
      </c>
      <c r="AF78" s="11" t="s">
        <v>344</v>
      </c>
    </row>
    <row r="79">
      <c r="A79" s="1" t="s">
        <v>345</v>
      </c>
      <c r="B79" s="2">
        <v>19.0</v>
      </c>
      <c r="C79" s="1" t="s">
        <v>26</v>
      </c>
      <c r="D79" s="6"/>
      <c r="E79" s="7" t="s">
        <v>143</v>
      </c>
      <c r="F79" s="1" t="s">
        <v>30</v>
      </c>
      <c r="G79" s="4">
        <v>0.017361111111111112</v>
      </c>
      <c r="H79" s="1" t="s">
        <v>219</v>
      </c>
      <c r="I79" s="1" t="s">
        <v>28</v>
      </c>
      <c r="J79" s="4">
        <v>0.26666666666666666</v>
      </c>
      <c r="K79" s="1" t="s">
        <v>158</v>
      </c>
      <c r="L79" s="1" t="s">
        <v>30</v>
      </c>
      <c r="M79" s="4">
        <v>0.5201388888888889</v>
      </c>
      <c r="N79" s="1" t="s">
        <v>129</v>
      </c>
      <c r="O79" s="1" t="s">
        <v>28</v>
      </c>
      <c r="P79" s="4">
        <v>0.7736111111111111</v>
      </c>
      <c r="Q79" s="1" t="s">
        <v>346</v>
      </c>
      <c r="R79" s="1">
        <f t="shared" si="1"/>
        <v>138</v>
      </c>
      <c r="S79" s="1">
        <f t="shared" si="2"/>
        <v>155</v>
      </c>
      <c r="T79" s="5">
        <f t="shared" si="3"/>
        <v>155</v>
      </c>
      <c r="U79" s="5" t="s">
        <v>47</v>
      </c>
      <c r="Z79" s="10" t="s">
        <v>347</v>
      </c>
      <c r="AA79" s="10" t="s">
        <v>369</v>
      </c>
      <c r="AB79" s="10" t="s">
        <v>237</v>
      </c>
      <c r="AC79" s="10" t="s">
        <v>83</v>
      </c>
      <c r="AD79" s="10" t="s">
        <v>201</v>
      </c>
      <c r="AE79" s="11" t="s">
        <v>239</v>
      </c>
      <c r="AF79" s="11" t="s">
        <v>349</v>
      </c>
    </row>
    <row r="80">
      <c r="A80" s="1" t="s">
        <v>345</v>
      </c>
      <c r="B80" s="2">
        <v>20.0</v>
      </c>
      <c r="C80" s="1" t="s">
        <v>34</v>
      </c>
      <c r="D80" s="6"/>
      <c r="E80" s="3"/>
      <c r="F80" s="1" t="s">
        <v>30</v>
      </c>
      <c r="G80" s="4">
        <v>0.03611111111111111</v>
      </c>
      <c r="H80" s="1" t="s">
        <v>219</v>
      </c>
      <c r="I80" s="1" t="s">
        <v>28</v>
      </c>
      <c r="J80" s="4">
        <v>0.2861111111111111</v>
      </c>
      <c r="K80" s="1" t="s">
        <v>338</v>
      </c>
      <c r="L80" s="1" t="s">
        <v>30</v>
      </c>
      <c r="M80" s="4">
        <v>0.5465277777777777</v>
      </c>
      <c r="N80" s="1" t="s">
        <v>132</v>
      </c>
      <c r="O80" s="1" t="s">
        <v>28</v>
      </c>
      <c r="P80" s="4">
        <v>0.7993055555555556</v>
      </c>
      <c r="Q80" s="1" t="s">
        <v>46</v>
      </c>
      <c r="R80" s="1">
        <f t="shared" si="1"/>
        <v>146</v>
      </c>
      <c r="S80" s="1">
        <f t="shared" si="2"/>
        <v>158</v>
      </c>
      <c r="T80" s="5">
        <f t="shared" si="3"/>
        <v>158</v>
      </c>
      <c r="U80" s="5" t="s">
        <v>47</v>
      </c>
      <c r="Z80" s="10" t="s">
        <v>350</v>
      </c>
      <c r="AA80" s="10" t="s">
        <v>375</v>
      </c>
      <c r="AB80" s="10" t="s">
        <v>283</v>
      </c>
      <c r="AC80" s="10" t="s">
        <v>243</v>
      </c>
      <c r="AD80" s="10" t="s">
        <v>320</v>
      </c>
      <c r="AE80" s="11" t="s">
        <v>245</v>
      </c>
      <c r="AF80" s="11" t="s">
        <v>246</v>
      </c>
    </row>
    <row r="81">
      <c r="A81" s="1" t="s">
        <v>345</v>
      </c>
      <c r="B81" s="2">
        <v>21.0</v>
      </c>
      <c r="C81" s="1" t="s">
        <v>41</v>
      </c>
      <c r="D81" s="1" t="s">
        <v>42</v>
      </c>
      <c r="E81" s="3"/>
      <c r="F81" s="1" t="s">
        <v>30</v>
      </c>
      <c r="G81" s="4">
        <v>0.05555555555555555</v>
      </c>
      <c r="H81" s="1" t="s">
        <v>215</v>
      </c>
      <c r="I81" s="1" t="s">
        <v>28</v>
      </c>
      <c r="J81" s="4">
        <v>0.30694444444444446</v>
      </c>
      <c r="K81" s="1" t="s">
        <v>59</v>
      </c>
      <c r="L81" s="1" t="s">
        <v>30</v>
      </c>
      <c r="M81" s="4">
        <v>0.5729166666666666</v>
      </c>
      <c r="N81" s="1" t="s">
        <v>177</v>
      </c>
      <c r="O81" s="1" t="s">
        <v>28</v>
      </c>
      <c r="P81" s="4">
        <v>0.8256944444444444</v>
      </c>
      <c r="Q81" s="1" t="s">
        <v>78</v>
      </c>
      <c r="R81" s="1">
        <f t="shared" si="1"/>
        <v>147</v>
      </c>
      <c r="S81" s="1">
        <f t="shared" si="2"/>
        <v>151</v>
      </c>
      <c r="T81" s="5">
        <f t="shared" si="3"/>
        <v>151</v>
      </c>
      <c r="U81" s="5" t="s">
        <v>47</v>
      </c>
      <c r="Z81" s="10" t="s">
        <v>208</v>
      </c>
      <c r="AA81" s="10" t="s">
        <v>352</v>
      </c>
      <c r="AB81" s="10" t="s">
        <v>324</v>
      </c>
      <c r="AC81" s="10" t="s">
        <v>354</v>
      </c>
      <c r="AD81" s="10" t="s">
        <v>212</v>
      </c>
      <c r="AE81" s="10" t="s">
        <v>60</v>
      </c>
      <c r="AF81" s="10" t="s">
        <v>60</v>
      </c>
    </row>
    <row r="82">
      <c r="A82" s="1" t="s">
        <v>345</v>
      </c>
      <c r="B82" s="2">
        <v>22.0</v>
      </c>
      <c r="C82" s="1" t="s">
        <v>55</v>
      </c>
      <c r="D82" s="1" t="s">
        <v>42</v>
      </c>
      <c r="E82" s="3"/>
      <c r="F82" s="1" t="s">
        <v>30</v>
      </c>
      <c r="G82" s="4">
        <v>0.075</v>
      </c>
      <c r="H82" s="1" t="s">
        <v>182</v>
      </c>
      <c r="I82" s="1" t="s">
        <v>28</v>
      </c>
      <c r="J82" s="4">
        <v>0.3298611111111111</v>
      </c>
      <c r="K82" s="1" t="s">
        <v>298</v>
      </c>
      <c r="L82" s="1" t="s">
        <v>30</v>
      </c>
      <c r="M82" s="4">
        <v>0.6020833333333333</v>
      </c>
      <c r="N82" s="1" t="s">
        <v>260</v>
      </c>
      <c r="O82" s="1" t="s">
        <v>28</v>
      </c>
      <c r="P82" s="4">
        <v>0.8541666666666666</v>
      </c>
      <c r="Q82" s="1" t="s">
        <v>301</v>
      </c>
      <c r="R82" s="1">
        <f t="shared" si="1"/>
        <v>141</v>
      </c>
      <c r="S82" s="1">
        <f t="shared" si="2"/>
        <v>134</v>
      </c>
      <c r="T82" s="5">
        <f t="shared" si="3"/>
        <v>141</v>
      </c>
      <c r="U82" s="5" t="s">
        <v>47</v>
      </c>
      <c r="Z82" s="10" t="s">
        <v>60</v>
      </c>
      <c r="AA82" s="10" t="s">
        <v>60</v>
      </c>
      <c r="AB82" s="10" t="s">
        <v>60</v>
      </c>
      <c r="AC82" s="10" t="s">
        <v>60</v>
      </c>
      <c r="AD82" s="10" t="s">
        <v>60</v>
      </c>
      <c r="AE82" s="10" t="s">
        <v>60</v>
      </c>
      <c r="AF82" s="10" t="s">
        <v>60</v>
      </c>
    </row>
    <row r="83">
      <c r="A83" s="1" t="s">
        <v>345</v>
      </c>
      <c r="B83" s="2">
        <v>23.0</v>
      </c>
      <c r="C83" s="1" t="s">
        <v>25</v>
      </c>
      <c r="D83" s="6"/>
      <c r="E83" s="3"/>
      <c r="F83" s="1" t="s">
        <v>30</v>
      </c>
      <c r="G83" s="4">
        <v>0.09513888888888888</v>
      </c>
      <c r="H83" s="1" t="s">
        <v>146</v>
      </c>
      <c r="I83" s="1" t="s">
        <v>28</v>
      </c>
      <c r="J83" s="4">
        <v>0.3541666666666667</v>
      </c>
      <c r="K83" s="1" t="s">
        <v>67</v>
      </c>
      <c r="L83" s="1" t="s">
        <v>30</v>
      </c>
      <c r="M83" s="4">
        <v>0.6340277777777777</v>
      </c>
      <c r="N83" s="1" t="s">
        <v>129</v>
      </c>
      <c r="O83" s="1" t="s">
        <v>28</v>
      </c>
      <c r="P83" s="4">
        <v>0.8847222222222222</v>
      </c>
      <c r="Q83" s="1" t="s">
        <v>214</v>
      </c>
      <c r="R83" s="1">
        <f t="shared" si="1"/>
        <v>127</v>
      </c>
      <c r="S83" s="1">
        <f t="shared" si="2"/>
        <v>107</v>
      </c>
      <c r="T83" s="5">
        <f t="shared" si="3"/>
        <v>127</v>
      </c>
      <c r="U83" s="5" t="s">
        <v>47</v>
      </c>
    </row>
    <row r="84">
      <c r="A84" s="1" t="s">
        <v>345</v>
      </c>
      <c r="B84" s="2">
        <v>24.0</v>
      </c>
      <c r="C84" s="1" t="s">
        <v>75</v>
      </c>
      <c r="D84" s="6"/>
      <c r="E84" s="3"/>
      <c r="F84" s="1" t="s">
        <v>30</v>
      </c>
      <c r="G84" s="4">
        <v>0.11597222222222223</v>
      </c>
      <c r="H84" s="1" t="s">
        <v>115</v>
      </c>
      <c r="I84" s="1" t="s">
        <v>28</v>
      </c>
      <c r="J84" s="4">
        <v>0.38263888888888886</v>
      </c>
      <c r="K84" s="1" t="s">
        <v>167</v>
      </c>
      <c r="L84" s="1" t="s">
        <v>30</v>
      </c>
      <c r="M84" s="4">
        <v>0.6729166666666667</v>
      </c>
      <c r="N84" s="1" t="s">
        <v>66</v>
      </c>
      <c r="O84" s="1" t="s">
        <v>28</v>
      </c>
      <c r="P84" s="4">
        <v>0.9229166666666667</v>
      </c>
      <c r="Q84" s="1" t="s">
        <v>44</v>
      </c>
      <c r="R84" s="1">
        <f t="shared" si="1"/>
        <v>108</v>
      </c>
      <c r="S84" s="1">
        <f t="shared" si="2"/>
        <v>75</v>
      </c>
      <c r="T84" s="5">
        <f t="shared" si="3"/>
        <v>108</v>
      </c>
      <c r="U84" s="5" t="s">
        <v>90</v>
      </c>
    </row>
    <row r="85">
      <c r="A85" s="1" t="s">
        <v>345</v>
      </c>
      <c r="B85" s="2">
        <v>25.0</v>
      </c>
      <c r="C85" s="1" t="s">
        <v>86</v>
      </c>
      <c r="D85" s="6"/>
      <c r="E85" s="3"/>
      <c r="F85" s="1" t="s">
        <v>30</v>
      </c>
      <c r="G85" s="4">
        <v>0.14027777777777778</v>
      </c>
      <c r="H85" s="1" t="s">
        <v>250</v>
      </c>
      <c r="I85" s="1" t="s">
        <v>28</v>
      </c>
      <c r="J85" s="4">
        <v>0.41875</v>
      </c>
      <c r="K85" s="1" t="s">
        <v>307</v>
      </c>
      <c r="L85" s="1" t="s">
        <v>30</v>
      </c>
      <c r="M85" s="4">
        <v>0.7291666666666666</v>
      </c>
      <c r="N85" s="1" t="s">
        <v>257</v>
      </c>
      <c r="O85" s="1" t="s">
        <v>28</v>
      </c>
      <c r="P85" s="4">
        <v>0.9909722222222223</v>
      </c>
      <c r="Q85" s="1" t="s">
        <v>278</v>
      </c>
      <c r="R85" s="1">
        <f t="shared" si="1"/>
        <v>84</v>
      </c>
      <c r="S85" s="1">
        <f t="shared" si="2"/>
        <v>49</v>
      </c>
      <c r="T85" s="5">
        <f t="shared" si="3"/>
        <v>84</v>
      </c>
      <c r="U85" s="5" t="s">
        <v>39</v>
      </c>
    </row>
    <row r="86">
      <c r="A86" s="1" t="s">
        <v>345</v>
      </c>
      <c r="B86" s="2">
        <v>26.0</v>
      </c>
      <c r="C86" s="1" t="s">
        <v>26</v>
      </c>
      <c r="D86" s="6"/>
      <c r="E86" s="7" t="s">
        <v>184</v>
      </c>
      <c r="F86" s="1" t="s">
        <v>30</v>
      </c>
      <c r="G86" s="4">
        <v>0.17569444444444443</v>
      </c>
      <c r="H86" s="1" t="s">
        <v>355</v>
      </c>
      <c r="I86" s="1" t="s">
        <v>28</v>
      </c>
      <c r="J86" s="4">
        <v>0.4736111111111111</v>
      </c>
      <c r="K86" s="1" t="s">
        <v>131</v>
      </c>
      <c r="L86" s="1" t="s">
        <v>30</v>
      </c>
      <c r="M86" s="4">
        <v>0.8173611111111111</v>
      </c>
      <c r="N86" s="1" t="s">
        <v>200</v>
      </c>
      <c r="R86" s="1">
        <f t="shared" si="1"/>
        <v>61</v>
      </c>
      <c r="S86" s="1">
        <f t="shared" si="2"/>
        <v>48</v>
      </c>
      <c r="T86" s="5">
        <f t="shared" si="3"/>
        <v>61</v>
      </c>
      <c r="U86" s="5" t="s">
        <v>39</v>
      </c>
    </row>
    <row r="87">
      <c r="A87" s="1" t="s">
        <v>345</v>
      </c>
      <c r="B87" s="2">
        <v>27.0</v>
      </c>
      <c r="C87" s="1" t="s">
        <v>34</v>
      </c>
      <c r="D87" s="6"/>
      <c r="E87" s="3"/>
      <c r="F87" s="1" t="s">
        <v>28</v>
      </c>
      <c r="G87" s="4">
        <v>0.10208333333333333</v>
      </c>
      <c r="H87" s="1" t="s">
        <v>356</v>
      </c>
      <c r="I87" s="1" t="s">
        <v>30</v>
      </c>
      <c r="J87" s="4">
        <v>0.26180555555555557</v>
      </c>
      <c r="K87" s="1" t="s">
        <v>329</v>
      </c>
      <c r="L87" s="1" t="s">
        <v>28</v>
      </c>
      <c r="M87" s="4">
        <v>0.5590277777777778</v>
      </c>
      <c r="N87" s="1" t="s">
        <v>357</v>
      </c>
      <c r="O87" s="1" t="s">
        <v>30</v>
      </c>
      <c r="P87" s="4">
        <v>0.8861111111111111</v>
      </c>
      <c r="Q87" s="1" t="s">
        <v>37</v>
      </c>
      <c r="R87" s="1">
        <f t="shared" si="1"/>
        <v>9</v>
      </c>
      <c r="S87" s="1">
        <f t="shared" si="2"/>
        <v>91</v>
      </c>
      <c r="T87" s="5">
        <f t="shared" si="3"/>
        <v>91</v>
      </c>
      <c r="U87" s="5" t="s">
        <v>90</v>
      </c>
      <c r="Z87" s="8" t="s">
        <v>358</v>
      </c>
    </row>
    <row r="88">
      <c r="A88" s="1" t="s">
        <v>345</v>
      </c>
      <c r="B88" s="2">
        <v>28.0</v>
      </c>
      <c r="C88" s="1" t="s">
        <v>41</v>
      </c>
      <c r="D88" s="1" t="s">
        <v>42</v>
      </c>
      <c r="E88" s="3"/>
      <c r="F88" s="1" t="s">
        <v>28</v>
      </c>
      <c r="G88" s="4">
        <v>0.15555555555555556</v>
      </c>
      <c r="H88" s="1" t="s">
        <v>359</v>
      </c>
      <c r="I88" s="1" t="s">
        <v>30</v>
      </c>
      <c r="J88" s="4">
        <v>0.3659722222222222</v>
      </c>
      <c r="K88" s="1" t="s">
        <v>235</v>
      </c>
      <c r="L88" s="1" t="s">
        <v>28</v>
      </c>
      <c r="M88" s="4">
        <v>0.6256944444444444</v>
      </c>
      <c r="N88" s="1" t="s">
        <v>360</v>
      </c>
      <c r="O88" s="1" t="s">
        <v>30</v>
      </c>
      <c r="P88" s="4">
        <v>0.925</v>
      </c>
      <c r="Q88" s="1" t="s">
        <v>88</v>
      </c>
      <c r="R88" s="1">
        <f t="shared" si="1"/>
        <v>27</v>
      </c>
      <c r="S88" s="1">
        <f t="shared" si="2"/>
        <v>106</v>
      </c>
      <c r="T88" s="5">
        <f t="shared" si="3"/>
        <v>106</v>
      </c>
      <c r="U88" s="5" t="s">
        <v>90</v>
      </c>
      <c r="Z88" s="9" t="s">
        <v>48</v>
      </c>
      <c r="AA88" s="9" t="s">
        <v>49</v>
      </c>
      <c r="AB88" s="9" t="s">
        <v>50</v>
      </c>
      <c r="AC88" s="9" t="s">
        <v>51</v>
      </c>
      <c r="AD88" s="9" t="s">
        <v>52</v>
      </c>
      <c r="AE88" s="9" t="s">
        <v>53</v>
      </c>
      <c r="AF88" s="9" t="s">
        <v>54</v>
      </c>
    </row>
    <row r="89">
      <c r="A89" s="1" t="s">
        <v>345</v>
      </c>
      <c r="B89" s="2">
        <v>29.0</v>
      </c>
      <c r="C89" s="1" t="s">
        <v>55</v>
      </c>
      <c r="D89" s="1" t="s">
        <v>42</v>
      </c>
      <c r="E89" s="3"/>
      <c r="F89" s="1" t="s">
        <v>28</v>
      </c>
      <c r="G89" s="4">
        <v>0.18194444444444444</v>
      </c>
      <c r="H89" s="1" t="s">
        <v>256</v>
      </c>
      <c r="I89" s="1" t="s">
        <v>30</v>
      </c>
      <c r="J89" s="4">
        <v>0.4166666666666667</v>
      </c>
      <c r="K89" s="1" t="s">
        <v>250</v>
      </c>
      <c r="L89" s="1" t="s">
        <v>28</v>
      </c>
      <c r="M89" s="4">
        <v>0.66875</v>
      </c>
      <c r="N89" s="1" t="s">
        <v>147</v>
      </c>
      <c r="O89" s="1" t="s">
        <v>30</v>
      </c>
      <c r="P89" s="4">
        <v>0.9534722222222223</v>
      </c>
      <c r="Q89" s="1" t="s">
        <v>274</v>
      </c>
      <c r="R89" s="1">
        <f t="shared" si="1"/>
        <v>55</v>
      </c>
      <c r="S89" s="1">
        <f t="shared" si="2"/>
        <v>122</v>
      </c>
      <c r="T89" s="5">
        <f t="shared" si="3"/>
        <v>122</v>
      </c>
      <c r="U89" s="5" t="s">
        <v>90</v>
      </c>
      <c r="Z89" s="10" t="s">
        <v>60</v>
      </c>
      <c r="AA89" s="10" t="s">
        <v>60</v>
      </c>
      <c r="AB89" s="10" t="s">
        <v>60</v>
      </c>
      <c r="AC89" s="10" t="s">
        <v>60</v>
      </c>
      <c r="AD89" s="10" t="s">
        <v>60</v>
      </c>
      <c r="AE89" s="11" t="s">
        <v>133</v>
      </c>
      <c r="AF89" s="11" t="s">
        <v>361</v>
      </c>
    </row>
    <row r="90">
      <c r="A90" s="1" t="s">
        <v>345</v>
      </c>
      <c r="B90" s="2">
        <v>30.0</v>
      </c>
      <c r="C90" s="1" t="s">
        <v>25</v>
      </c>
      <c r="D90" s="6"/>
      <c r="E90" s="3"/>
      <c r="F90" s="1" t="s">
        <v>28</v>
      </c>
      <c r="G90" s="4">
        <v>0.20347222222222222</v>
      </c>
      <c r="H90" s="1" t="s">
        <v>218</v>
      </c>
      <c r="I90" s="1" t="s">
        <v>30</v>
      </c>
      <c r="J90" s="4">
        <v>0.44930555555555557</v>
      </c>
      <c r="K90" s="1" t="s">
        <v>112</v>
      </c>
      <c r="L90" s="1" t="s">
        <v>28</v>
      </c>
      <c r="M90" s="4">
        <v>0.7013888888888888</v>
      </c>
      <c r="N90" s="1" t="s">
        <v>78</v>
      </c>
      <c r="O90" s="1" t="s">
        <v>30</v>
      </c>
      <c r="P90" s="4">
        <v>0.9756944444444444</v>
      </c>
      <c r="Q90" s="1" t="s">
        <v>124</v>
      </c>
      <c r="R90" s="1">
        <f t="shared" si="1"/>
        <v>81</v>
      </c>
      <c r="S90" s="1">
        <f t="shared" si="2"/>
        <v>131</v>
      </c>
      <c r="T90" s="5">
        <f t="shared" si="3"/>
        <v>131</v>
      </c>
      <c r="U90" s="5" t="s">
        <v>47</v>
      </c>
      <c r="Z90" s="10" t="s">
        <v>304</v>
      </c>
      <c r="AA90" s="10" t="s">
        <v>271</v>
      </c>
      <c r="AB90" s="10" t="s">
        <v>362</v>
      </c>
      <c r="AC90" s="10" t="s">
        <v>341</v>
      </c>
      <c r="AD90" s="10" t="s">
        <v>272</v>
      </c>
      <c r="AE90" s="11" t="s">
        <v>194</v>
      </c>
      <c r="AF90" s="11" t="s">
        <v>364</v>
      </c>
    </row>
    <row r="91">
      <c r="A91" s="1" t="s">
        <v>345</v>
      </c>
      <c r="B91" s="2">
        <v>31.0</v>
      </c>
      <c r="C91" s="1" t="s">
        <v>75</v>
      </c>
      <c r="D91" s="6"/>
      <c r="E91" s="3"/>
      <c r="F91" s="1" t="s">
        <v>28</v>
      </c>
      <c r="G91" s="4">
        <v>0.2222222222222222</v>
      </c>
      <c r="H91" s="1" t="s">
        <v>179</v>
      </c>
      <c r="I91" s="1" t="s">
        <v>30</v>
      </c>
      <c r="J91" s="4">
        <v>0.4756944444444444</v>
      </c>
      <c r="K91" s="1" t="s">
        <v>186</v>
      </c>
      <c r="L91" s="1" t="s">
        <v>28</v>
      </c>
      <c r="M91" s="4">
        <v>0.7291666666666666</v>
      </c>
      <c r="N91" s="1" t="s">
        <v>38</v>
      </c>
      <c r="O91" s="1" t="s">
        <v>30</v>
      </c>
      <c r="P91" s="4">
        <v>0.9951388888888889</v>
      </c>
      <c r="Q91" s="1" t="s">
        <v>174</v>
      </c>
      <c r="R91" s="1">
        <f t="shared" si="1"/>
        <v>105</v>
      </c>
      <c r="S91" s="1">
        <f t="shared" si="2"/>
        <v>133</v>
      </c>
      <c r="T91" s="5">
        <f t="shared" si="3"/>
        <v>133</v>
      </c>
      <c r="U91" s="5" t="s">
        <v>47</v>
      </c>
      <c r="Z91" s="10" t="s">
        <v>365</v>
      </c>
      <c r="AA91" s="10" t="s">
        <v>366</v>
      </c>
      <c r="AB91" s="10" t="s">
        <v>367</v>
      </c>
      <c r="AC91" s="10" t="s">
        <v>347</v>
      </c>
      <c r="AD91" s="10" t="s">
        <v>369</v>
      </c>
      <c r="AE91" s="11" t="s">
        <v>370</v>
      </c>
      <c r="AF91" s="11" t="s">
        <v>275</v>
      </c>
    </row>
    <row r="92">
      <c r="A92" s="1" t="s">
        <v>413</v>
      </c>
      <c r="B92" s="2">
        <v>1.0</v>
      </c>
      <c r="C92" s="1" t="s">
        <v>86</v>
      </c>
      <c r="D92" s="6"/>
      <c r="E92" s="3"/>
      <c r="F92" s="1" t="s">
        <v>28</v>
      </c>
      <c r="G92" s="4">
        <v>0.24097222222222223</v>
      </c>
      <c r="H92" s="1" t="s">
        <v>267</v>
      </c>
      <c r="I92" s="1" t="s">
        <v>30</v>
      </c>
      <c r="J92" s="4">
        <v>0.5</v>
      </c>
      <c r="K92" s="1" t="s">
        <v>124</v>
      </c>
      <c r="L92" s="1" t="s">
        <v>28</v>
      </c>
      <c r="M92" s="4">
        <v>0.7541666666666667</v>
      </c>
      <c r="N92" s="1" t="s">
        <v>38</v>
      </c>
      <c r="R92" s="1">
        <f t="shared" si="1"/>
        <v>122</v>
      </c>
      <c r="S92" s="1">
        <f t="shared" si="2"/>
        <v>65</v>
      </c>
      <c r="T92" s="5">
        <f t="shared" si="3"/>
        <v>122</v>
      </c>
      <c r="U92" s="5" t="s">
        <v>90</v>
      </c>
      <c r="Z92" s="10" t="s">
        <v>371</v>
      </c>
      <c r="AA92" s="10" t="s">
        <v>372</v>
      </c>
      <c r="AB92" s="10" t="s">
        <v>373</v>
      </c>
      <c r="AC92" s="10" t="s">
        <v>350</v>
      </c>
      <c r="AD92" s="10" t="s">
        <v>375</v>
      </c>
      <c r="AE92" s="11" t="s">
        <v>376</v>
      </c>
      <c r="AF92" s="11" t="s">
        <v>377</v>
      </c>
    </row>
    <row r="93">
      <c r="A93" s="1" t="s">
        <v>413</v>
      </c>
      <c r="B93" s="2">
        <v>2.0</v>
      </c>
      <c r="C93" s="1" t="s">
        <v>26</v>
      </c>
      <c r="D93" s="6"/>
      <c r="E93" s="7" t="s">
        <v>35</v>
      </c>
      <c r="F93" s="1" t="s">
        <v>30</v>
      </c>
      <c r="G93" s="4">
        <v>0.011805555555555555</v>
      </c>
      <c r="H93" s="1" t="s">
        <v>66</v>
      </c>
      <c r="I93" s="1" t="s">
        <v>28</v>
      </c>
      <c r="J93" s="4">
        <v>0.2590277777777778</v>
      </c>
      <c r="K93" s="1" t="s">
        <v>378</v>
      </c>
      <c r="L93" s="1" t="s">
        <v>30</v>
      </c>
      <c r="M93" s="4">
        <v>0.5215277777777778</v>
      </c>
      <c r="N93" s="1" t="s">
        <v>252</v>
      </c>
      <c r="O93" s="1" t="s">
        <v>28</v>
      </c>
      <c r="P93" s="4">
        <v>0.7770833333333333</v>
      </c>
      <c r="Q93" s="1" t="s">
        <v>378</v>
      </c>
      <c r="R93" s="1">
        <f t="shared" si="1"/>
        <v>125</v>
      </c>
      <c r="S93" s="1">
        <f t="shared" si="2"/>
        <v>135</v>
      </c>
      <c r="T93" s="5">
        <f t="shared" si="3"/>
        <v>135</v>
      </c>
      <c r="U93" s="5" t="s">
        <v>47</v>
      </c>
      <c r="Z93" s="10" t="s">
        <v>207</v>
      </c>
      <c r="AA93" s="10" t="s">
        <v>379</v>
      </c>
      <c r="AB93" s="10" t="s">
        <v>380</v>
      </c>
      <c r="AC93" s="10" t="s">
        <v>381</v>
      </c>
      <c r="AD93" s="10" t="s">
        <v>352</v>
      </c>
      <c r="AE93" s="11" t="s">
        <v>383</v>
      </c>
      <c r="AF93" s="11" t="s">
        <v>288</v>
      </c>
    </row>
    <row r="94">
      <c r="A94" s="1" t="s">
        <v>413</v>
      </c>
      <c r="B94" s="2">
        <v>3.0</v>
      </c>
      <c r="C94" s="1" t="s">
        <v>34</v>
      </c>
      <c r="D94" s="1" t="s">
        <v>264</v>
      </c>
      <c r="E94" s="3"/>
      <c r="F94" s="1" t="s">
        <v>30</v>
      </c>
      <c r="G94" s="4">
        <v>0.027777777777777776</v>
      </c>
      <c r="H94" s="1" t="s">
        <v>110</v>
      </c>
      <c r="I94" s="1" t="s">
        <v>28</v>
      </c>
      <c r="J94" s="4">
        <v>0.27708333333333335</v>
      </c>
      <c r="K94" s="1" t="s">
        <v>216</v>
      </c>
      <c r="L94" s="1" t="s">
        <v>30</v>
      </c>
      <c r="M94" s="4">
        <v>0.5430555555555555</v>
      </c>
      <c r="N94" s="1" t="s">
        <v>219</v>
      </c>
      <c r="O94" s="1" t="s">
        <v>28</v>
      </c>
      <c r="P94" s="4">
        <v>0.7993055555555556</v>
      </c>
      <c r="Q94" s="1" t="s">
        <v>267</v>
      </c>
      <c r="R94" s="1">
        <f t="shared" si="1"/>
        <v>125</v>
      </c>
      <c r="S94" s="1">
        <f t="shared" si="2"/>
        <v>130</v>
      </c>
      <c r="T94" s="5">
        <f t="shared" si="3"/>
        <v>130</v>
      </c>
      <c r="U94" s="5" t="s">
        <v>47</v>
      </c>
      <c r="Z94" s="10" t="s">
        <v>212</v>
      </c>
      <c r="AA94" s="10" t="s">
        <v>60</v>
      </c>
      <c r="AB94" s="10" t="s">
        <v>60</v>
      </c>
      <c r="AC94" s="10" t="s">
        <v>60</v>
      </c>
      <c r="AD94" s="10" t="s">
        <v>60</v>
      </c>
      <c r="AE94" s="10" t="s">
        <v>60</v>
      </c>
      <c r="AF94" s="10" t="s">
        <v>60</v>
      </c>
    </row>
    <row r="95">
      <c r="A95" s="1" t="s">
        <v>413</v>
      </c>
      <c r="B95" s="2">
        <v>4.0</v>
      </c>
      <c r="C95" s="1" t="s">
        <v>41</v>
      </c>
      <c r="D95" s="1" t="s">
        <v>384</v>
      </c>
      <c r="E95" s="3"/>
      <c r="F95" s="1" t="s">
        <v>30</v>
      </c>
      <c r="G95" s="4">
        <v>0.04375</v>
      </c>
      <c r="H95" s="1" t="s">
        <v>146</v>
      </c>
      <c r="I95" s="1" t="s">
        <v>28</v>
      </c>
      <c r="J95" s="4">
        <v>0.29444444444444445</v>
      </c>
      <c r="K95" s="1" t="s">
        <v>385</v>
      </c>
      <c r="L95" s="1" t="s">
        <v>30</v>
      </c>
      <c r="M95" s="4">
        <v>0.5645833333333333</v>
      </c>
      <c r="N95" s="1" t="s">
        <v>386</v>
      </c>
      <c r="O95" s="1" t="s">
        <v>28</v>
      </c>
      <c r="P95" s="4">
        <v>0.8208333333333333</v>
      </c>
      <c r="Q95" s="1" t="s">
        <v>360</v>
      </c>
      <c r="R95" s="1">
        <f t="shared" si="1"/>
        <v>122</v>
      </c>
      <c r="S95" s="1">
        <f t="shared" si="2"/>
        <v>120</v>
      </c>
      <c r="T95" s="5">
        <f t="shared" si="3"/>
        <v>122</v>
      </c>
      <c r="U95" s="5" t="s">
        <v>90</v>
      </c>
    </row>
    <row r="96">
      <c r="A96" s="1" t="s">
        <v>413</v>
      </c>
      <c r="B96" s="2">
        <v>5.0</v>
      </c>
      <c r="C96" s="1" t="s">
        <v>55</v>
      </c>
      <c r="D96" s="1" t="s">
        <v>387</v>
      </c>
      <c r="E96" s="3"/>
      <c r="F96" s="1" t="s">
        <v>30</v>
      </c>
      <c r="G96" s="4">
        <v>0.059722222222222225</v>
      </c>
      <c r="H96" s="1" t="s">
        <v>114</v>
      </c>
      <c r="I96" s="1" t="s">
        <v>28</v>
      </c>
      <c r="J96" s="4">
        <v>0.3125</v>
      </c>
      <c r="K96" s="1" t="s">
        <v>38</v>
      </c>
      <c r="L96" s="1" t="s">
        <v>30</v>
      </c>
      <c r="M96" s="4">
        <v>0.5868055555555556</v>
      </c>
      <c r="N96" s="1" t="s">
        <v>108</v>
      </c>
      <c r="O96" s="1" t="s">
        <v>28</v>
      </c>
      <c r="P96" s="4">
        <v>0.8423611111111111</v>
      </c>
      <c r="Q96" s="1" t="s">
        <v>218</v>
      </c>
      <c r="R96" s="1">
        <f t="shared" si="1"/>
        <v>116</v>
      </c>
      <c r="S96" s="1">
        <f t="shared" si="2"/>
        <v>106</v>
      </c>
      <c r="T96" s="5">
        <f t="shared" si="3"/>
        <v>116</v>
      </c>
      <c r="U96" s="5" t="s">
        <v>90</v>
      </c>
    </row>
    <row r="97">
      <c r="A97" s="1" t="s">
        <v>413</v>
      </c>
      <c r="B97" s="2">
        <v>6.0</v>
      </c>
      <c r="C97" s="1" t="s">
        <v>25</v>
      </c>
      <c r="D97" s="1" t="s">
        <v>264</v>
      </c>
      <c r="E97" s="3"/>
      <c r="F97" s="1" t="s">
        <v>30</v>
      </c>
      <c r="G97" s="4">
        <v>0.07569444444444444</v>
      </c>
      <c r="H97" s="1" t="s">
        <v>115</v>
      </c>
      <c r="I97" s="1" t="s">
        <v>28</v>
      </c>
      <c r="J97" s="4">
        <v>0.33125</v>
      </c>
      <c r="K97" s="1" t="s">
        <v>158</v>
      </c>
      <c r="L97" s="1" t="s">
        <v>30</v>
      </c>
      <c r="M97" s="4">
        <v>0.6097222222222223</v>
      </c>
      <c r="N97" s="1" t="s">
        <v>182</v>
      </c>
      <c r="O97" s="1" t="s">
        <v>28</v>
      </c>
      <c r="P97" s="4">
        <v>0.8638888888888889</v>
      </c>
      <c r="Q97" s="1" t="s">
        <v>123</v>
      </c>
      <c r="R97" s="1">
        <f t="shared" si="1"/>
        <v>106</v>
      </c>
      <c r="S97" s="1">
        <f t="shared" si="2"/>
        <v>89</v>
      </c>
      <c r="T97" s="5">
        <f t="shared" si="3"/>
        <v>106</v>
      </c>
      <c r="U97" s="5" t="s">
        <v>90</v>
      </c>
    </row>
    <row r="98">
      <c r="A98" s="1" t="s">
        <v>413</v>
      </c>
      <c r="B98" s="2">
        <v>7.0</v>
      </c>
      <c r="C98" s="1" t="s">
        <v>75</v>
      </c>
      <c r="D98" s="6"/>
      <c r="E98" s="3"/>
      <c r="F98" s="1" t="s">
        <v>30</v>
      </c>
      <c r="G98" s="4">
        <v>0.09305555555555556</v>
      </c>
      <c r="H98" s="1" t="s">
        <v>120</v>
      </c>
      <c r="I98" s="1" t="s">
        <v>28</v>
      </c>
      <c r="J98" s="4">
        <v>0.35208333333333336</v>
      </c>
      <c r="K98" s="1" t="s">
        <v>388</v>
      </c>
      <c r="L98" s="1" t="s">
        <v>30</v>
      </c>
      <c r="M98" s="4">
        <v>0.6347222222222222</v>
      </c>
      <c r="N98" s="1" t="s">
        <v>146</v>
      </c>
      <c r="O98" s="1" t="s">
        <v>28</v>
      </c>
      <c r="P98" s="4">
        <v>0.8875</v>
      </c>
      <c r="Q98" s="1" t="s">
        <v>57</v>
      </c>
      <c r="R98" s="1">
        <f t="shared" si="1"/>
        <v>95</v>
      </c>
      <c r="S98" s="1">
        <f t="shared" si="2"/>
        <v>69</v>
      </c>
      <c r="T98" s="5">
        <f t="shared" si="3"/>
        <v>95</v>
      </c>
      <c r="U98" s="5" t="s">
        <v>90</v>
      </c>
    </row>
    <row r="99">
      <c r="A99" s="1" t="s">
        <v>413</v>
      </c>
      <c r="B99" s="2">
        <v>8.0</v>
      </c>
      <c r="C99" s="1" t="s">
        <v>86</v>
      </c>
      <c r="D99" s="6"/>
      <c r="E99" s="3"/>
      <c r="F99" s="1" t="s">
        <v>30</v>
      </c>
      <c r="G99" s="4">
        <v>0.11041666666666666</v>
      </c>
      <c r="H99" s="1" t="s">
        <v>389</v>
      </c>
      <c r="I99" s="1" t="s">
        <v>28</v>
      </c>
      <c r="J99" s="4">
        <v>0.375</v>
      </c>
      <c r="K99" s="1" t="s">
        <v>89</v>
      </c>
      <c r="L99" s="1" t="s">
        <v>30</v>
      </c>
      <c r="M99" s="4">
        <v>0.6645833333333333</v>
      </c>
      <c r="N99" s="1" t="s">
        <v>223</v>
      </c>
      <c r="O99" s="1" t="s">
        <v>28</v>
      </c>
      <c r="P99" s="4">
        <v>0.91875</v>
      </c>
      <c r="Q99" s="1" t="s">
        <v>249</v>
      </c>
      <c r="R99" s="1">
        <f t="shared" si="1"/>
        <v>80</v>
      </c>
      <c r="S99" s="1">
        <f t="shared" si="2"/>
        <v>50</v>
      </c>
      <c r="T99" s="5">
        <f t="shared" si="3"/>
        <v>80</v>
      </c>
      <c r="U99" s="5" t="s">
        <v>39</v>
      </c>
      <c r="Z99" s="8" t="s">
        <v>390</v>
      </c>
    </row>
    <row r="100">
      <c r="A100" s="1" t="s">
        <v>413</v>
      </c>
      <c r="B100" s="2">
        <v>9.0</v>
      </c>
      <c r="C100" s="1" t="s">
        <v>26</v>
      </c>
      <c r="D100" s="6"/>
      <c r="E100" s="3"/>
      <c r="F100" s="1" t="s">
        <v>30</v>
      </c>
      <c r="G100" s="4">
        <v>0.13125</v>
      </c>
      <c r="H100" s="1" t="s">
        <v>291</v>
      </c>
      <c r="I100" s="1" t="s">
        <v>28</v>
      </c>
      <c r="J100" s="4">
        <v>0.4041666666666667</v>
      </c>
      <c r="K100" s="1" t="s">
        <v>131</v>
      </c>
      <c r="L100" s="1" t="s">
        <v>30</v>
      </c>
      <c r="M100" s="4">
        <v>0.7090277777777778</v>
      </c>
      <c r="N100" s="1" t="s">
        <v>191</v>
      </c>
      <c r="O100" s="1" t="s">
        <v>28</v>
      </c>
      <c r="P100" s="4">
        <v>0.9895833333333334</v>
      </c>
      <c r="Q100" s="1" t="s">
        <v>356</v>
      </c>
      <c r="R100" s="1">
        <f t="shared" si="1"/>
        <v>62</v>
      </c>
      <c r="S100" s="1">
        <f t="shared" si="2"/>
        <v>33</v>
      </c>
      <c r="T100" s="5">
        <f t="shared" si="3"/>
        <v>62</v>
      </c>
      <c r="U100" s="5" t="s">
        <v>39</v>
      </c>
      <c r="Z100" s="9" t="s">
        <v>48</v>
      </c>
      <c r="AA100" s="9" t="s">
        <v>49</v>
      </c>
      <c r="AB100" s="9" t="s">
        <v>50</v>
      </c>
      <c r="AC100" s="9" t="s">
        <v>51</v>
      </c>
      <c r="AD100" s="9" t="s">
        <v>52</v>
      </c>
      <c r="AE100" s="9" t="s">
        <v>53</v>
      </c>
      <c r="AF100" s="9" t="s">
        <v>54</v>
      </c>
    </row>
    <row r="101">
      <c r="A101" s="1" t="s">
        <v>413</v>
      </c>
      <c r="B101" s="2">
        <v>10.0</v>
      </c>
      <c r="C101" s="1" t="s">
        <v>34</v>
      </c>
      <c r="D101" s="6"/>
      <c r="E101" s="7" t="s">
        <v>107</v>
      </c>
      <c r="F101" s="1" t="s">
        <v>30</v>
      </c>
      <c r="G101" s="4">
        <v>0.16319444444444445</v>
      </c>
      <c r="H101" s="1" t="s">
        <v>290</v>
      </c>
      <c r="I101" s="1" t="s">
        <v>28</v>
      </c>
      <c r="J101" s="4">
        <v>0.4479166666666667</v>
      </c>
      <c r="K101" s="1" t="s">
        <v>183</v>
      </c>
      <c r="L101" s="1" t="s">
        <v>30</v>
      </c>
      <c r="M101" s="4">
        <v>0.7881944444444444</v>
      </c>
      <c r="N101" s="1" t="s">
        <v>391</v>
      </c>
      <c r="R101" s="1">
        <f t="shared" si="1"/>
        <v>45</v>
      </c>
      <c r="S101" s="1">
        <f t="shared" si="2"/>
        <v>30</v>
      </c>
      <c r="T101" s="5">
        <f t="shared" si="3"/>
        <v>45</v>
      </c>
      <c r="U101" s="5" t="s">
        <v>39</v>
      </c>
      <c r="Z101" s="10" t="s">
        <v>60</v>
      </c>
      <c r="AA101" s="10" t="s">
        <v>392</v>
      </c>
      <c r="AB101" s="10" t="s">
        <v>303</v>
      </c>
      <c r="AC101" s="10" t="s">
        <v>393</v>
      </c>
      <c r="AD101" s="10" t="s">
        <v>880</v>
      </c>
      <c r="AE101" s="11" t="s">
        <v>395</v>
      </c>
      <c r="AF101" s="11" t="s">
        <v>396</v>
      </c>
    </row>
    <row r="102">
      <c r="A102" s="1" t="s">
        <v>413</v>
      </c>
      <c r="B102" s="2">
        <v>11.0</v>
      </c>
      <c r="C102" s="1" t="s">
        <v>41</v>
      </c>
      <c r="D102" s="1" t="s">
        <v>42</v>
      </c>
      <c r="E102" s="3"/>
      <c r="F102" s="1" t="s">
        <v>28</v>
      </c>
      <c r="G102" s="4">
        <v>0.08958333333333333</v>
      </c>
      <c r="H102" s="1" t="s">
        <v>397</v>
      </c>
      <c r="I102" s="1" t="s">
        <v>30</v>
      </c>
      <c r="J102" s="4">
        <v>0.24722222222222223</v>
      </c>
      <c r="K102" s="1" t="s">
        <v>398</v>
      </c>
      <c r="L102" s="1" t="s">
        <v>28</v>
      </c>
      <c r="M102" s="4">
        <v>0.5243055555555556</v>
      </c>
      <c r="N102" s="1" t="s">
        <v>181</v>
      </c>
      <c r="O102" s="1" t="s">
        <v>30</v>
      </c>
      <c r="P102" s="4">
        <v>0.8604166666666667</v>
      </c>
      <c r="Q102" s="1" t="s">
        <v>286</v>
      </c>
      <c r="R102" s="1">
        <f t="shared" si="1"/>
        <v>7</v>
      </c>
      <c r="S102" s="1">
        <f t="shared" si="2"/>
        <v>63</v>
      </c>
      <c r="T102" s="5">
        <f t="shared" si="3"/>
        <v>63</v>
      </c>
      <c r="U102" s="5" t="s">
        <v>39</v>
      </c>
      <c r="Z102" s="10" t="s">
        <v>70</v>
      </c>
      <c r="AA102" s="10" t="s">
        <v>399</v>
      </c>
      <c r="AB102" s="10" t="s">
        <v>400</v>
      </c>
      <c r="AC102" s="10" t="s">
        <v>365</v>
      </c>
      <c r="AD102" s="10" t="s">
        <v>366</v>
      </c>
      <c r="AE102" s="11" t="s">
        <v>344</v>
      </c>
      <c r="AF102" s="11" t="s">
        <v>311</v>
      </c>
    </row>
    <row r="103">
      <c r="A103" s="1" t="s">
        <v>413</v>
      </c>
      <c r="B103" s="2">
        <v>12.0</v>
      </c>
      <c r="C103" s="1" t="s">
        <v>55</v>
      </c>
      <c r="D103" s="1" t="s">
        <v>42</v>
      </c>
      <c r="E103" s="3"/>
      <c r="F103" s="1" t="s">
        <v>28</v>
      </c>
      <c r="G103" s="4">
        <v>0.13402777777777777</v>
      </c>
      <c r="H103" s="1" t="s">
        <v>157</v>
      </c>
      <c r="I103" s="1" t="s">
        <v>30</v>
      </c>
      <c r="J103" s="4">
        <v>0.3375</v>
      </c>
      <c r="K103" s="1" t="s">
        <v>332</v>
      </c>
      <c r="L103" s="1" t="s">
        <v>28</v>
      </c>
      <c r="M103" s="4">
        <v>0.5958333333333333</v>
      </c>
      <c r="N103" s="1" t="s">
        <v>402</v>
      </c>
      <c r="O103" s="1" t="s">
        <v>30</v>
      </c>
      <c r="P103" s="4">
        <v>0.8972222222222223</v>
      </c>
      <c r="Q103" s="1" t="s">
        <v>333</v>
      </c>
      <c r="R103" s="1">
        <f t="shared" si="1"/>
        <v>22</v>
      </c>
      <c r="S103" s="1">
        <f t="shared" si="2"/>
        <v>77</v>
      </c>
      <c r="T103" s="5">
        <f t="shared" si="3"/>
        <v>77</v>
      </c>
      <c r="U103" s="5" t="s">
        <v>39</v>
      </c>
      <c r="Z103" s="10" t="s">
        <v>369</v>
      </c>
      <c r="AA103" s="10" t="s">
        <v>82</v>
      </c>
      <c r="AB103" s="10" t="s">
        <v>403</v>
      </c>
      <c r="AC103" s="10" t="s">
        <v>404</v>
      </c>
      <c r="AD103" s="10" t="s">
        <v>372</v>
      </c>
      <c r="AE103" s="11" t="s">
        <v>463</v>
      </c>
      <c r="AF103" s="11" t="s">
        <v>406</v>
      </c>
    </row>
    <row r="104">
      <c r="A104" s="1" t="s">
        <v>413</v>
      </c>
      <c r="B104" s="2">
        <v>13.0</v>
      </c>
      <c r="C104" s="1" t="s">
        <v>25</v>
      </c>
      <c r="D104" s="6"/>
      <c r="E104" s="3"/>
      <c r="F104" s="1" t="s">
        <v>28</v>
      </c>
      <c r="G104" s="4">
        <v>0.15833333333333333</v>
      </c>
      <c r="H104" s="1" t="s">
        <v>176</v>
      </c>
      <c r="I104" s="1" t="s">
        <v>30</v>
      </c>
      <c r="J104" s="4">
        <v>0.38819444444444445</v>
      </c>
      <c r="K104" s="1" t="s">
        <v>241</v>
      </c>
      <c r="L104" s="1" t="s">
        <v>28</v>
      </c>
      <c r="M104" s="4">
        <v>0.6402777777777777</v>
      </c>
      <c r="N104" s="1" t="s">
        <v>335</v>
      </c>
      <c r="O104" s="1" t="s">
        <v>30</v>
      </c>
      <c r="P104" s="4">
        <v>0.9229166666666667</v>
      </c>
      <c r="Q104" s="1" t="s">
        <v>134</v>
      </c>
      <c r="R104" s="1">
        <f t="shared" si="1"/>
        <v>47</v>
      </c>
      <c r="S104" s="1">
        <f t="shared" si="2"/>
        <v>96</v>
      </c>
      <c r="T104" s="5">
        <f t="shared" si="3"/>
        <v>96</v>
      </c>
      <c r="U104" s="5" t="s">
        <v>90</v>
      </c>
      <c r="Z104" s="10" t="s">
        <v>375</v>
      </c>
      <c r="AA104" s="10" t="s">
        <v>283</v>
      </c>
      <c r="AB104" s="10" t="s">
        <v>95</v>
      </c>
      <c r="AC104" s="10" t="s">
        <v>207</v>
      </c>
      <c r="AD104" s="10" t="s">
        <v>407</v>
      </c>
      <c r="AE104" s="11" t="s">
        <v>408</v>
      </c>
      <c r="AF104" s="11" t="s">
        <v>467</v>
      </c>
    </row>
    <row r="105">
      <c r="A105" s="1" t="s">
        <v>413</v>
      </c>
      <c r="B105" s="2">
        <v>14.0</v>
      </c>
      <c r="C105" s="1" t="s">
        <v>75</v>
      </c>
      <c r="D105" s="6"/>
      <c r="E105" s="3"/>
      <c r="F105" s="1" t="s">
        <v>28</v>
      </c>
      <c r="G105" s="4">
        <v>0.17847222222222223</v>
      </c>
      <c r="H105" s="1" t="s">
        <v>262</v>
      </c>
      <c r="I105" s="1" t="s">
        <v>30</v>
      </c>
      <c r="J105" s="4">
        <v>0.4222222222222222</v>
      </c>
      <c r="K105" s="1" t="s">
        <v>120</v>
      </c>
      <c r="L105" s="1" t="s">
        <v>28</v>
      </c>
      <c r="M105" s="4">
        <v>0.6736111111111112</v>
      </c>
      <c r="N105" s="1" t="s">
        <v>410</v>
      </c>
      <c r="O105" s="1" t="s">
        <v>30</v>
      </c>
      <c r="P105" s="4">
        <v>0.9451388888888889</v>
      </c>
      <c r="Q105" s="1" t="s">
        <v>277</v>
      </c>
      <c r="R105" s="1">
        <f t="shared" si="1"/>
        <v>77</v>
      </c>
      <c r="S105" s="1">
        <f t="shared" si="2"/>
        <v>114</v>
      </c>
      <c r="T105" s="5">
        <f t="shared" si="3"/>
        <v>114</v>
      </c>
      <c r="U105" s="5" t="s">
        <v>90</v>
      </c>
      <c r="Z105" s="10" t="s">
        <v>411</v>
      </c>
      <c r="AA105" s="10" t="s">
        <v>324</v>
      </c>
      <c r="AB105" s="10" t="s">
        <v>105</v>
      </c>
      <c r="AC105" s="10" t="s">
        <v>60</v>
      </c>
      <c r="AD105" s="10" t="s">
        <v>60</v>
      </c>
      <c r="AE105" s="10" t="s">
        <v>60</v>
      </c>
      <c r="AF105" s="10" t="s">
        <v>60</v>
      </c>
    </row>
    <row r="106">
      <c r="A106" s="1" t="s">
        <v>413</v>
      </c>
      <c r="B106" s="2">
        <v>15.0</v>
      </c>
      <c r="C106" s="1" t="s">
        <v>86</v>
      </c>
      <c r="D106" s="6"/>
      <c r="E106" s="3"/>
      <c r="F106" s="1" t="s">
        <v>28</v>
      </c>
      <c r="G106" s="4">
        <v>0.19791666666666666</v>
      </c>
      <c r="H106" s="1" t="s">
        <v>195</v>
      </c>
      <c r="I106" s="1" t="s">
        <v>30</v>
      </c>
      <c r="J106" s="4">
        <v>0.45069444444444445</v>
      </c>
      <c r="K106" s="1" t="s">
        <v>146</v>
      </c>
      <c r="L106" s="1" t="s">
        <v>28</v>
      </c>
      <c r="M106" s="4">
        <v>0.7034722222222223</v>
      </c>
      <c r="N106" s="1" t="s">
        <v>38</v>
      </c>
      <c r="O106" s="1" t="s">
        <v>30</v>
      </c>
      <c r="P106" s="4">
        <v>0.9666666666666667</v>
      </c>
      <c r="Q106" s="1" t="s">
        <v>110</v>
      </c>
      <c r="R106" s="1">
        <f t="shared" si="1"/>
        <v>108</v>
      </c>
      <c r="S106" s="1">
        <f t="shared" si="2"/>
        <v>126</v>
      </c>
      <c r="T106" s="5">
        <f t="shared" si="3"/>
        <v>126</v>
      </c>
      <c r="U106" s="5" t="s">
        <v>47</v>
      </c>
      <c r="Z106" s="10" t="s">
        <v>60</v>
      </c>
      <c r="AA106" s="10" t="s">
        <v>60</v>
      </c>
      <c r="AB106" s="10" t="s">
        <v>60</v>
      </c>
      <c r="AC106" s="10" t="s">
        <v>60</v>
      </c>
      <c r="AD106" s="10" t="s">
        <v>60</v>
      </c>
      <c r="AE106" s="10" t="s">
        <v>60</v>
      </c>
      <c r="AF106" s="10" t="s">
        <v>60</v>
      </c>
    </row>
    <row r="107">
      <c r="A107" s="1" t="s">
        <v>413</v>
      </c>
      <c r="B107" s="2">
        <v>16.0</v>
      </c>
      <c r="C107" s="1" t="s">
        <v>26</v>
      </c>
      <c r="D107" s="6"/>
      <c r="E107" s="3"/>
      <c r="F107" s="1" t="s">
        <v>28</v>
      </c>
      <c r="G107" s="4">
        <v>0.21805555555555556</v>
      </c>
      <c r="H107" s="1" t="s">
        <v>38</v>
      </c>
      <c r="I107" s="1" t="s">
        <v>30</v>
      </c>
      <c r="J107" s="4">
        <v>0.4777777777777778</v>
      </c>
      <c r="K107" s="1" t="s">
        <v>108</v>
      </c>
      <c r="L107" s="1" t="s">
        <v>28</v>
      </c>
      <c r="M107" s="4">
        <v>0.7319444444444444</v>
      </c>
      <c r="N107" s="1" t="s">
        <v>412</v>
      </c>
      <c r="O107" s="1" t="s">
        <v>30</v>
      </c>
      <c r="P107" s="4">
        <v>0.9875</v>
      </c>
      <c r="Q107" s="1" t="s">
        <v>58</v>
      </c>
      <c r="R107" s="1">
        <f t="shared" si="1"/>
        <v>137</v>
      </c>
      <c r="S107" s="1">
        <f t="shared" si="2"/>
        <v>133</v>
      </c>
      <c r="T107" s="5">
        <f t="shared" si="3"/>
        <v>137</v>
      </c>
      <c r="U107" s="5" t="s">
        <v>47</v>
      </c>
    </row>
    <row r="108">
      <c r="A108" s="1" t="s">
        <v>413</v>
      </c>
      <c r="B108" s="2">
        <v>17.0</v>
      </c>
      <c r="C108" s="1" t="s">
        <v>34</v>
      </c>
      <c r="D108" s="6"/>
      <c r="E108" s="7" t="s">
        <v>143</v>
      </c>
      <c r="F108" s="1" t="s">
        <v>28</v>
      </c>
      <c r="G108" s="4">
        <v>0.2388888888888889</v>
      </c>
      <c r="H108" s="1" t="s">
        <v>211</v>
      </c>
      <c r="I108" s="1" t="s">
        <v>30</v>
      </c>
      <c r="J108" s="4">
        <v>0.5055555555555555</v>
      </c>
      <c r="K108" s="1" t="s">
        <v>300</v>
      </c>
      <c r="L108" s="1" t="s">
        <v>28</v>
      </c>
      <c r="M108" s="4">
        <v>0.7597222222222222</v>
      </c>
      <c r="N108" s="1" t="s">
        <v>338</v>
      </c>
      <c r="R108" s="1">
        <f t="shared" si="1"/>
        <v>161</v>
      </c>
      <c r="S108" s="1">
        <f t="shared" si="2"/>
        <v>69</v>
      </c>
      <c r="T108" s="5">
        <f t="shared" si="3"/>
        <v>161</v>
      </c>
      <c r="U108" s="5" t="s">
        <v>47</v>
      </c>
    </row>
    <row r="109">
      <c r="A109" s="1" t="s">
        <v>413</v>
      </c>
      <c r="B109" s="2">
        <v>18.0</v>
      </c>
      <c r="C109" s="1" t="s">
        <v>41</v>
      </c>
      <c r="D109" s="1" t="s">
        <v>42</v>
      </c>
      <c r="E109" s="3"/>
      <c r="F109" s="1" t="s">
        <v>30</v>
      </c>
      <c r="G109" s="4">
        <v>0.009027777777777777</v>
      </c>
      <c r="H109" s="1" t="s">
        <v>88</v>
      </c>
      <c r="I109" s="1" t="s">
        <v>28</v>
      </c>
      <c r="J109" s="4">
        <v>0.26180555555555557</v>
      </c>
      <c r="K109" s="1" t="s">
        <v>414</v>
      </c>
      <c r="L109" s="1" t="s">
        <v>30</v>
      </c>
      <c r="M109" s="4">
        <v>0.5333333333333333</v>
      </c>
      <c r="N109" s="1" t="s">
        <v>415</v>
      </c>
      <c r="O109" s="1" t="s">
        <v>28</v>
      </c>
      <c r="P109" s="4">
        <v>0.7888888888888889</v>
      </c>
      <c r="Q109" s="1" t="s">
        <v>167</v>
      </c>
      <c r="R109" s="1">
        <f t="shared" si="1"/>
        <v>147</v>
      </c>
      <c r="S109" s="1">
        <f t="shared" si="2"/>
        <v>156</v>
      </c>
      <c r="T109" s="5">
        <f t="shared" si="3"/>
        <v>156</v>
      </c>
      <c r="U109" s="5" t="s">
        <v>47</v>
      </c>
    </row>
    <row r="110">
      <c r="A110" s="1" t="s">
        <v>413</v>
      </c>
      <c r="B110" s="2">
        <v>19.0</v>
      </c>
      <c r="C110" s="1" t="s">
        <v>55</v>
      </c>
      <c r="D110" s="1" t="s">
        <v>42</v>
      </c>
      <c r="E110" s="3"/>
      <c r="F110" s="1" t="s">
        <v>30</v>
      </c>
      <c r="G110" s="4">
        <v>0.03125</v>
      </c>
      <c r="H110" s="1" t="s">
        <v>99</v>
      </c>
      <c r="I110" s="1" t="s">
        <v>28</v>
      </c>
      <c r="J110" s="4">
        <v>0.2861111111111111</v>
      </c>
      <c r="K110" s="1" t="s">
        <v>416</v>
      </c>
      <c r="L110" s="1" t="s">
        <v>30</v>
      </c>
      <c r="M110" s="4">
        <v>0.5638888888888889</v>
      </c>
      <c r="N110" s="1" t="s">
        <v>175</v>
      </c>
      <c r="O110" s="1" t="s">
        <v>28</v>
      </c>
      <c r="P110" s="4">
        <v>0.81875</v>
      </c>
      <c r="Q110" s="1" t="s">
        <v>195</v>
      </c>
      <c r="R110" s="1">
        <f t="shared" si="1"/>
        <v>147</v>
      </c>
      <c r="S110" s="1">
        <f t="shared" si="2"/>
        <v>146</v>
      </c>
      <c r="T110" s="5">
        <f t="shared" si="3"/>
        <v>147</v>
      </c>
      <c r="U110" s="5" t="s">
        <v>47</v>
      </c>
    </row>
    <row r="111">
      <c r="A111" s="1" t="s">
        <v>413</v>
      </c>
      <c r="B111" s="2">
        <v>20.0</v>
      </c>
      <c r="C111" s="1" t="s">
        <v>25</v>
      </c>
      <c r="D111" s="6"/>
      <c r="E111" s="3"/>
      <c r="F111" s="1" t="s">
        <v>30</v>
      </c>
      <c r="G111" s="4">
        <v>0.05416666666666667</v>
      </c>
      <c r="H111" s="1" t="s">
        <v>31</v>
      </c>
      <c r="I111" s="1" t="s">
        <v>28</v>
      </c>
      <c r="J111" s="4">
        <v>0.31319444444444444</v>
      </c>
      <c r="K111" s="1" t="s">
        <v>417</v>
      </c>
      <c r="L111" s="1" t="s">
        <v>30</v>
      </c>
      <c r="M111" s="4">
        <v>0.5958333333333333</v>
      </c>
      <c r="N111" s="1" t="s">
        <v>177</v>
      </c>
      <c r="O111" s="1" t="s">
        <v>28</v>
      </c>
      <c r="P111" s="4">
        <v>0.8513888888888889</v>
      </c>
      <c r="Q111" s="1" t="s">
        <v>262</v>
      </c>
      <c r="R111" s="1">
        <f t="shared" si="1"/>
        <v>139</v>
      </c>
      <c r="S111" s="1">
        <f t="shared" si="2"/>
        <v>127</v>
      </c>
      <c r="T111" s="5">
        <f t="shared" si="3"/>
        <v>139</v>
      </c>
      <c r="U111" s="5" t="s">
        <v>47</v>
      </c>
      <c r="Z111" s="8" t="s">
        <v>418</v>
      </c>
    </row>
    <row r="112">
      <c r="A112" s="1" t="s">
        <v>413</v>
      </c>
      <c r="B112" s="2">
        <v>21.0</v>
      </c>
      <c r="C112" s="1" t="s">
        <v>75</v>
      </c>
      <c r="D112" s="6"/>
      <c r="E112" s="3"/>
      <c r="F112" s="1" t="s">
        <v>30</v>
      </c>
      <c r="G112" s="4">
        <v>0.07847222222222222</v>
      </c>
      <c r="H112" s="1" t="s">
        <v>117</v>
      </c>
      <c r="I112" s="1" t="s">
        <v>28</v>
      </c>
      <c r="J112" s="4">
        <v>0.3423611111111111</v>
      </c>
      <c r="K112" s="1" t="s">
        <v>419</v>
      </c>
      <c r="L112" s="1" t="s">
        <v>30</v>
      </c>
      <c r="M112" s="4">
        <v>0.6319444444444444</v>
      </c>
      <c r="N112" s="1" t="s">
        <v>129</v>
      </c>
      <c r="O112" s="1" t="s">
        <v>28</v>
      </c>
      <c r="P112" s="4">
        <v>0.8875</v>
      </c>
      <c r="Q112" s="1" t="s">
        <v>123</v>
      </c>
      <c r="R112" s="1">
        <f t="shared" si="1"/>
        <v>124</v>
      </c>
      <c r="S112" s="1">
        <f t="shared" si="2"/>
        <v>101</v>
      </c>
      <c r="T112" s="5">
        <f t="shared" si="3"/>
        <v>124</v>
      </c>
      <c r="U112" s="5" t="s">
        <v>47</v>
      </c>
      <c r="Z112" s="9" t="s">
        <v>48</v>
      </c>
      <c r="AA112" s="9" t="s">
        <v>49</v>
      </c>
      <c r="AB112" s="9" t="s">
        <v>50</v>
      </c>
      <c r="AC112" s="9" t="s">
        <v>51</v>
      </c>
      <c r="AD112" s="9" t="s">
        <v>52</v>
      </c>
      <c r="AE112" s="9" t="s">
        <v>53</v>
      </c>
      <c r="AF112" s="9" t="s">
        <v>54</v>
      </c>
    </row>
    <row r="113">
      <c r="A113" s="1" t="s">
        <v>413</v>
      </c>
      <c r="B113" s="2">
        <v>22.0</v>
      </c>
      <c r="C113" s="1" t="s">
        <v>86</v>
      </c>
      <c r="D113" s="6"/>
      <c r="E113" s="3"/>
      <c r="F113" s="1" t="s">
        <v>30</v>
      </c>
      <c r="G113" s="4">
        <v>0.10555555555555556</v>
      </c>
      <c r="H113" s="1" t="s">
        <v>328</v>
      </c>
      <c r="I113" s="1" t="s">
        <v>28</v>
      </c>
      <c r="J113" s="4">
        <v>0.37569444444444444</v>
      </c>
      <c r="K113" s="1" t="s">
        <v>338</v>
      </c>
      <c r="L113" s="1" t="s">
        <v>30</v>
      </c>
      <c r="M113" s="4">
        <v>0.6756944444444445</v>
      </c>
      <c r="N113" s="1" t="s">
        <v>313</v>
      </c>
      <c r="O113" s="1" t="s">
        <v>28</v>
      </c>
      <c r="P113" s="4">
        <v>0.9354166666666667</v>
      </c>
      <c r="Q113" s="1" t="s">
        <v>44</v>
      </c>
      <c r="R113" s="1">
        <f t="shared" si="1"/>
        <v>103</v>
      </c>
      <c r="S113" s="1">
        <f t="shared" si="2"/>
        <v>74</v>
      </c>
      <c r="T113" s="5">
        <f t="shared" si="3"/>
        <v>103</v>
      </c>
      <c r="U113" s="5" t="s">
        <v>90</v>
      </c>
      <c r="Z113" s="10" t="s">
        <v>60</v>
      </c>
      <c r="AA113" s="10" t="s">
        <v>60</v>
      </c>
      <c r="AB113" s="10" t="s">
        <v>60</v>
      </c>
      <c r="AC113" s="10" t="s">
        <v>226</v>
      </c>
      <c r="AD113" s="10" t="s">
        <v>62</v>
      </c>
      <c r="AE113" s="11" t="s">
        <v>881</v>
      </c>
      <c r="AF113" s="11" t="s">
        <v>421</v>
      </c>
    </row>
    <row r="114">
      <c r="A114" s="1" t="s">
        <v>413</v>
      </c>
      <c r="B114" s="2">
        <v>23.0</v>
      </c>
      <c r="C114" s="1" t="s">
        <v>26</v>
      </c>
      <c r="D114" s="6"/>
      <c r="E114" s="3"/>
      <c r="F114" s="1" t="s">
        <v>30</v>
      </c>
      <c r="G114" s="4">
        <v>0.13958333333333334</v>
      </c>
      <c r="H114" s="1" t="s">
        <v>422</v>
      </c>
      <c r="I114" s="1" t="s">
        <v>28</v>
      </c>
      <c r="J114" s="4">
        <v>0.4173611111111111</v>
      </c>
      <c r="K114" s="1" t="s">
        <v>388</v>
      </c>
      <c r="L114" s="1" t="s">
        <v>30</v>
      </c>
      <c r="M114" s="4">
        <v>0.7333333333333333</v>
      </c>
      <c r="N114" s="1" t="s">
        <v>31</v>
      </c>
      <c r="R114" s="1">
        <f t="shared" si="1"/>
        <v>80</v>
      </c>
      <c r="S114" s="1">
        <f t="shared" si="2"/>
        <v>52</v>
      </c>
      <c r="T114" s="5">
        <f t="shared" si="3"/>
        <v>80</v>
      </c>
      <c r="U114" s="5" t="s">
        <v>39</v>
      </c>
      <c r="Z114" s="10" t="s">
        <v>139</v>
      </c>
      <c r="AA114" s="10" t="s">
        <v>140</v>
      </c>
      <c r="AB114" s="10" t="s">
        <v>70</v>
      </c>
      <c r="AC114" s="10" t="s">
        <v>399</v>
      </c>
      <c r="AD114" s="10" t="s">
        <v>423</v>
      </c>
      <c r="AE114" s="11" t="s">
        <v>882</v>
      </c>
      <c r="AF114" s="11" t="s">
        <v>425</v>
      </c>
    </row>
    <row r="115">
      <c r="A115" s="1" t="s">
        <v>413</v>
      </c>
      <c r="B115" s="2">
        <v>24.0</v>
      </c>
      <c r="C115" s="1" t="s">
        <v>34</v>
      </c>
      <c r="D115" s="6"/>
      <c r="E115" s="7" t="s">
        <v>184</v>
      </c>
      <c r="F115" s="1" t="s">
        <v>28</v>
      </c>
      <c r="G115" s="4">
        <v>0.003472222222222222</v>
      </c>
      <c r="H115" s="1" t="s">
        <v>426</v>
      </c>
      <c r="I115" s="1" t="s">
        <v>30</v>
      </c>
      <c r="J115" s="4">
        <v>0.19375</v>
      </c>
      <c r="K115" s="1" t="s">
        <v>427</v>
      </c>
      <c r="L115" s="1" t="s">
        <v>28</v>
      </c>
      <c r="M115" s="4">
        <v>0.4756944444444444</v>
      </c>
      <c r="N115" s="1" t="s">
        <v>360</v>
      </c>
      <c r="O115" s="1" t="s">
        <v>30</v>
      </c>
      <c r="P115" s="4">
        <v>0.8034722222222223</v>
      </c>
      <c r="Q115" s="1" t="s">
        <v>112</v>
      </c>
      <c r="R115" s="1">
        <f t="shared" si="1"/>
        <v>20</v>
      </c>
      <c r="S115" s="1">
        <f t="shared" si="2"/>
        <v>91</v>
      </c>
      <c r="T115" s="5">
        <f t="shared" si="3"/>
        <v>91</v>
      </c>
      <c r="U115" s="5" t="s">
        <v>90</v>
      </c>
      <c r="Z115" s="10" t="s">
        <v>367</v>
      </c>
      <c r="AA115" s="10" t="s">
        <v>151</v>
      </c>
      <c r="AB115" s="10" t="s">
        <v>81</v>
      </c>
      <c r="AC115" s="10" t="s">
        <v>428</v>
      </c>
      <c r="AD115" s="10" t="s">
        <v>403</v>
      </c>
      <c r="AE115" s="11" t="s">
        <v>84</v>
      </c>
      <c r="AF115" s="11" t="s">
        <v>429</v>
      </c>
    </row>
    <row r="116">
      <c r="A116" s="1" t="s">
        <v>413</v>
      </c>
      <c r="B116" s="2">
        <v>25.0</v>
      </c>
      <c r="C116" s="1" t="s">
        <v>41</v>
      </c>
      <c r="D116" s="1" t="s">
        <v>42</v>
      </c>
      <c r="E116" s="3"/>
      <c r="F116" s="1" t="s">
        <v>28</v>
      </c>
      <c r="G116" s="4">
        <v>0.07430555555555556</v>
      </c>
      <c r="H116" s="1" t="s">
        <v>359</v>
      </c>
      <c r="I116" s="1" t="s">
        <v>30</v>
      </c>
      <c r="J116" s="4">
        <v>0.27847222222222223</v>
      </c>
      <c r="K116" s="1" t="s">
        <v>290</v>
      </c>
      <c r="L116" s="1" t="s">
        <v>28</v>
      </c>
      <c r="M116" s="4">
        <v>0.55</v>
      </c>
      <c r="N116" s="1" t="s">
        <v>131</v>
      </c>
      <c r="O116" s="1" t="s">
        <v>30</v>
      </c>
      <c r="P116" s="4">
        <v>0.8576388888888888</v>
      </c>
      <c r="Q116" s="1" t="s">
        <v>112</v>
      </c>
      <c r="R116" s="1">
        <f t="shared" si="1"/>
        <v>22</v>
      </c>
      <c r="S116" s="1">
        <f t="shared" si="2"/>
        <v>87</v>
      </c>
      <c r="T116" s="5">
        <f t="shared" si="3"/>
        <v>87</v>
      </c>
      <c r="U116" s="5" t="s">
        <v>39</v>
      </c>
      <c r="Z116" s="10" t="s">
        <v>373</v>
      </c>
      <c r="AA116" s="10" t="s">
        <v>350</v>
      </c>
      <c r="AB116" s="10" t="s">
        <v>375</v>
      </c>
      <c r="AC116" s="10" t="s">
        <v>283</v>
      </c>
      <c r="AD116" s="10" t="s">
        <v>95</v>
      </c>
      <c r="AE116" s="11" t="s">
        <v>431</v>
      </c>
      <c r="AF116" s="11" t="s">
        <v>432</v>
      </c>
    </row>
    <row r="117">
      <c r="A117" s="1" t="s">
        <v>413</v>
      </c>
      <c r="B117" s="2">
        <v>26.0</v>
      </c>
      <c r="C117" s="1" t="s">
        <v>55</v>
      </c>
      <c r="D117" s="1" t="s">
        <v>42</v>
      </c>
      <c r="E117" s="3"/>
      <c r="F117" s="1" t="s">
        <v>28</v>
      </c>
      <c r="G117" s="4">
        <v>0.11944444444444445</v>
      </c>
      <c r="H117" s="1" t="s">
        <v>296</v>
      </c>
      <c r="I117" s="1" t="s">
        <v>30</v>
      </c>
      <c r="J117" s="4">
        <v>0.35694444444444445</v>
      </c>
      <c r="K117" s="1" t="s">
        <v>291</v>
      </c>
      <c r="L117" s="1" t="s">
        <v>28</v>
      </c>
      <c r="M117" s="4">
        <v>0.6090277777777777</v>
      </c>
      <c r="N117" s="1" t="s">
        <v>251</v>
      </c>
      <c r="O117" s="1" t="s">
        <v>30</v>
      </c>
      <c r="P117" s="4">
        <v>0.8951388888888889</v>
      </c>
      <c r="Q117" s="1" t="s">
        <v>118</v>
      </c>
      <c r="R117" s="1">
        <f t="shared" si="1"/>
        <v>42</v>
      </c>
      <c r="S117" s="1">
        <f t="shared" si="2"/>
        <v>91</v>
      </c>
      <c r="T117" s="5">
        <f t="shared" si="3"/>
        <v>91</v>
      </c>
      <c r="U117" s="5" t="s">
        <v>90</v>
      </c>
      <c r="Z117" s="10" t="s">
        <v>883</v>
      </c>
      <c r="AA117" s="10" t="s">
        <v>381</v>
      </c>
      <c r="AB117" s="10" t="s">
        <v>352</v>
      </c>
      <c r="AC117" s="10" t="s">
        <v>324</v>
      </c>
      <c r="AD117" s="10" t="s">
        <v>354</v>
      </c>
      <c r="AE117" s="11" t="s">
        <v>106</v>
      </c>
      <c r="AF117" s="10" t="s">
        <v>60</v>
      </c>
    </row>
    <row r="118">
      <c r="A118" s="1" t="s">
        <v>413</v>
      </c>
      <c r="B118" s="2">
        <v>27.0</v>
      </c>
      <c r="C118" s="1" t="s">
        <v>25</v>
      </c>
      <c r="D118" s="6"/>
      <c r="E118" s="3"/>
      <c r="F118" s="1" t="s">
        <v>28</v>
      </c>
      <c r="G118" s="4">
        <v>0.1486111111111111</v>
      </c>
      <c r="H118" s="1" t="s">
        <v>128</v>
      </c>
      <c r="I118" s="1" t="s">
        <v>30</v>
      </c>
      <c r="J118" s="4">
        <v>0.4027777777777778</v>
      </c>
      <c r="K118" s="1" t="s">
        <v>191</v>
      </c>
      <c r="L118" s="1" t="s">
        <v>28</v>
      </c>
      <c r="M118" s="4">
        <v>0.6520833333333333</v>
      </c>
      <c r="N118" s="1" t="s">
        <v>335</v>
      </c>
      <c r="O118" s="1" t="s">
        <v>30</v>
      </c>
      <c r="P118" s="4">
        <v>0.9229166666666667</v>
      </c>
      <c r="Q118" s="1" t="s">
        <v>118</v>
      </c>
      <c r="R118" s="1">
        <f t="shared" si="1"/>
        <v>67</v>
      </c>
      <c r="S118" s="1">
        <f t="shared" si="2"/>
        <v>95</v>
      </c>
      <c r="T118" s="5">
        <f t="shared" si="3"/>
        <v>95</v>
      </c>
      <c r="U118" s="5" t="s">
        <v>90</v>
      </c>
      <c r="Z118" s="10" t="s">
        <v>60</v>
      </c>
      <c r="AA118" s="10" t="s">
        <v>60</v>
      </c>
      <c r="AB118" s="10" t="s">
        <v>60</v>
      </c>
      <c r="AC118" s="10" t="s">
        <v>60</v>
      </c>
      <c r="AD118" s="10" t="s">
        <v>60</v>
      </c>
      <c r="AE118" s="10" t="s">
        <v>60</v>
      </c>
      <c r="AF118" s="10" t="s">
        <v>60</v>
      </c>
    </row>
    <row r="119">
      <c r="A119" s="1" t="s">
        <v>413</v>
      </c>
      <c r="B119" s="2">
        <v>28.0</v>
      </c>
      <c r="C119" s="1" t="s">
        <v>75</v>
      </c>
      <c r="D119" s="6"/>
      <c r="E119" s="3"/>
      <c r="F119" s="1" t="s">
        <v>28</v>
      </c>
      <c r="G119" s="4">
        <v>0.17222222222222222</v>
      </c>
      <c r="H119" s="1" t="s">
        <v>251</v>
      </c>
      <c r="I119" s="1" t="s">
        <v>30</v>
      </c>
      <c r="J119" s="4">
        <v>0.4354166666666667</v>
      </c>
      <c r="K119" s="1" t="s">
        <v>200</v>
      </c>
      <c r="L119" s="1" t="s">
        <v>28</v>
      </c>
      <c r="M119" s="4">
        <v>0.6861111111111111</v>
      </c>
      <c r="N119" s="1" t="s">
        <v>89</v>
      </c>
      <c r="O119" s="1" t="s">
        <v>30</v>
      </c>
      <c r="P119" s="4">
        <v>0.9458333333333333</v>
      </c>
      <c r="Q119" s="1" t="s">
        <v>118</v>
      </c>
      <c r="R119" s="1">
        <f t="shared" si="1"/>
        <v>90</v>
      </c>
      <c r="S119" s="1">
        <f t="shared" si="2"/>
        <v>98</v>
      </c>
      <c r="T119" s="5">
        <f t="shared" si="3"/>
        <v>98</v>
      </c>
      <c r="U119" s="5" t="s">
        <v>90</v>
      </c>
    </row>
    <row r="120">
      <c r="A120" s="1" t="s">
        <v>413</v>
      </c>
      <c r="B120" s="2">
        <v>29.0</v>
      </c>
      <c r="C120" s="1" t="s">
        <v>86</v>
      </c>
      <c r="D120" s="6"/>
      <c r="E120" s="3"/>
      <c r="F120" s="1" t="s">
        <v>28</v>
      </c>
      <c r="G120" s="4">
        <v>0.19375</v>
      </c>
      <c r="H120" s="1" t="s">
        <v>307</v>
      </c>
      <c r="I120" s="1" t="s">
        <v>30</v>
      </c>
      <c r="J120" s="4">
        <v>0.4618055555555556</v>
      </c>
      <c r="K120" s="1" t="s">
        <v>45</v>
      </c>
      <c r="L120" s="1" t="s">
        <v>28</v>
      </c>
      <c r="M120" s="4">
        <v>0.7145833333333333</v>
      </c>
      <c r="N120" s="1" t="s">
        <v>265</v>
      </c>
      <c r="O120" s="1" t="s">
        <v>30</v>
      </c>
      <c r="P120" s="4">
        <v>0.9645833333333333</v>
      </c>
      <c r="Q120" s="1" t="s">
        <v>118</v>
      </c>
      <c r="R120" s="1">
        <f t="shared" si="1"/>
        <v>110</v>
      </c>
      <c r="S120" s="1">
        <f t="shared" si="2"/>
        <v>99</v>
      </c>
      <c r="T120" s="5">
        <f t="shared" si="3"/>
        <v>110</v>
      </c>
      <c r="U120" s="5" t="s">
        <v>90</v>
      </c>
    </row>
    <row r="121">
      <c r="A121" s="1" t="s">
        <v>413</v>
      </c>
      <c r="B121" s="2">
        <v>30.0</v>
      </c>
      <c r="C121" s="1" t="s">
        <v>26</v>
      </c>
      <c r="D121" s="6"/>
      <c r="E121" s="3"/>
      <c r="F121" s="1" t="s">
        <v>28</v>
      </c>
      <c r="G121" s="4">
        <v>0.21388888888888888</v>
      </c>
      <c r="H121" s="1" t="s">
        <v>434</v>
      </c>
      <c r="I121" s="1" t="s">
        <v>30</v>
      </c>
      <c r="J121" s="4">
        <v>0.4861111111111111</v>
      </c>
      <c r="K121" s="1" t="s">
        <v>174</v>
      </c>
      <c r="L121" s="1" t="s">
        <v>28</v>
      </c>
      <c r="M121" s="4">
        <v>0.7409722222222223</v>
      </c>
      <c r="N121" s="1" t="s">
        <v>89</v>
      </c>
      <c r="O121" s="1" t="s">
        <v>30</v>
      </c>
      <c r="P121" s="4">
        <v>0.9826388888888888</v>
      </c>
      <c r="Q121" s="1" t="s">
        <v>200</v>
      </c>
      <c r="R121" s="1">
        <f t="shared" si="1"/>
        <v>126</v>
      </c>
      <c r="S121" s="1">
        <f t="shared" si="2"/>
        <v>97</v>
      </c>
      <c r="T121" s="5">
        <f t="shared" si="3"/>
        <v>126</v>
      </c>
      <c r="U121" s="5" t="s">
        <v>47</v>
      </c>
    </row>
    <row r="122">
      <c r="A122" s="1" t="s">
        <v>454</v>
      </c>
      <c r="B122" s="2">
        <v>1.0</v>
      </c>
      <c r="C122" s="1" t="s">
        <v>34</v>
      </c>
      <c r="D122" s="1" t="s">
        <v>435</v>
      </c>
      <c r="E122" s="3"/>
      <c r="F122" s="1" t="s">
        <v>28</v>
      </c>
      <c r="G122" s="4">
        <v>0.23402777777777778</v>
      </c>
      <c r="H122" s="1" t="s">
        <v>216</v>
      </c>
      <c r="I122" s="1" t="s">
        <v>30</v>
      </c>
      <c r="J122" s="4">
        <v>0.5083333333333333</v>
      </c>
      <c r="K122" s="1" t="s">
        <v>215</v>
      </c>
      <c r="L122" s="1" t="s">
        <v>28</v>
      </c>
      <c r="M122" s="4">
        <v>0.7652777777777777</v>
      </c>
      <c r="N122" s="1" t="s">
        <v>179</v>
      </c>
      <c r="R122" s="1">
        <f t="shared" si="1"/>
        <v>137</v>
      </c>
      <c r="S122" s="1">
        <f t="shared" si="2"/>
        <v>45</v>
      </c>
      <c r="T122" s="5">
        <f t="shared" si="3"/>
        <v>137</v>
      </c>
      <c r="U122" s="5" t="s">
        <v>47</v>
      </c>
    </row>
    <row r="123">
      <c r="A123" s="1" t="s">
        <v>454</v>
      </c>
      <c r="B123" s="2">
        <v>2.0</v>
      </c>
      <c r="C123" s="1" t="s">
        <v>41</v>
      </c>
      <c r="D123" s="1" t="s">
        <v>42</v>
      </c>
      <c r="E123" s="7" t="s">
        <v>35</v>
      </c>
      <c r="F123" s="1" t="s">
        <v>30</v>
      </c>
      <c r="G123" s="4">
        <v>6.944444444444445E-4</v>
      </c>
      <c r="H123" s="1" t="s">
        <v>223</v>
      </c>
      <c r="I123" s="1" t="s">
        <v>28</v>
      </c>
      <c r="J123" s="4">
        <v>0.2534722222222222</v>
      </c>
      <c r="K123" s="1" t="s">
        <v>436</v>
      </c>
      <c r="L123" s="1" t="s">
        <v>30</v>
      </c>
      <c r="M123" s="4">
        <v>0.5298611111111111</v>
      </c>
      <c r="N123" s="1" t="s">
        <v>386</v>
      </c>
      <c r="O123" s="1" t="s">
        <v>28</v>
      </c>
      <c r="P123" s="4">
        <v>0.7888888888888889</v>
      </c>
      <c r="Q123" s="1" t="s">
        <v>292</v>
      </c>
      <c r="R123" s="1">
        <f t="shared" si="1"/>
        <v>114</v>
      </c>
      <c r="S123" s="1">
        <f t="shared" si="2"/>
        <v>117</v>
      </c>
      <c r="T123" s="5">
        <f t="shared" si="3"/>
        <v>117</v>
      </c>
      <c r="U123" s="5" t="s">
        <v>90</v>
      </c>
      <c r="Z123" s="8" t="s">
        <v>437</v>
      </c>
    </row>
    <row r="124">
      <c r="A124" s="1" t="s">
        <v>454</v>
      </c>
      <c r="B124" s="2">
        <v>3.0</v>
      </c>
      <c r="C124" s="1" t="s">
        <v>55</v>
      </c>
      <c r="D124" s="1" t="s">
        <v>42</v>
      </c>
      <c r="E124" s="3"/>
      <c r="F124" s="1" t="s">
        <v>30</v>
      </c>
      <c r="G124" s="4">
        <v>0.019444444444444445</v>
      </c>
      <c r="H124" s="1" t="s">
        <v>115</v>
      </c>
      <c r="I124" s="1" t="s">
        <v>28</v>
      </c>
      <c r="J124" s="4">
        <v>0.27361111111111114</v>
      </c>
      <c r="K124" s="1" t="s">
        <v>338</v>
      </c>
      <c r="L124" s="1" t="s">
        <v>30</v>
      </c>
      <c r="M124" s="4">
        <v>0.5520833333333334</v>
      </c>
      <c r="N124" s="1" t="s">
        <v>386</v>
      </c>
      <c r="O124" s="1" t="s">
        <v>28</v>
      </c>
      <c r="P124" s="4">
        <v>0.8118055555555556</v>
      </c>
      <c r="Q124" s="1" t="s">
        <v>402</v>
      </c>
      <c r="R124" s="1">
        <f t="shared" si="1"/>
        <v>114</v>
      </c>
      <c r="S124" s="1">
        <f t="shared" si="2"/>
        <v>111</v>
      </c>
      <c r="T124" s="5">
        <f t="shared" si="3"/>
        <v>114</v>
      </c>
      <c r="U124" s="5" t="s">
        <v>90</v>
      </c>
      <c r="Z124" s="9" t="s">
        <v>48</v>
      </c>
      <c r="AA124" s="9" t="s">
        <v>49</v>
      </c>
      <c r="AB124" s="9" t="s">
        <v>50</v>
      </c>
      <c r="AC124" s="9" t="s">
        <v>51</v>
      </c>
      <c r="AD124" s="9" t="s">
        <v>52</v>
      </c>
      <c r="AE124" s="9" t="s">
        <v>53</v>
      </c>
      <c r="AF124" s="9" t="s">
        <v>54</v>
      </c>
    </row>
    <row r="125">
      <c r="A125" s="1" t="s">
        <v>454</v>
      </c>
      <c r="B125" s="2">
        <v>4.0</v>
      </c>
      <c r="C125" s="1" t="s">
        <v>25</v>
      </c>
      <c r="D125" s="6"/>
      <c r="E125" s="3"/>
      <c r="F125" s="1" t="s">
        <v>30</v>
      </c>
      <c r="G125" s="4">
        <v>0.03819444444444445</v>
      </c>
      <c r="H125" s="1" t="s">
        <v>333</v>
      </c>
      <c r="I125" s="1" t="s">
        <v>28</v>
      </c>
      <c r="J125" s="4">
        <v>0.29375</v>
      </c>
      <c r="K125" s="1" t="s">
        <v>436</v>
      </c>
      <c r="L125" s="1" t="s">
        <v>30</v>
      </c>
      <c r="M125" s="4">
        <v>0.5743055555555555</v>
      </c>
      <c r="N125" s="1" t="s">
        <v>215</v>
      </c>
      <c r="O125" s="1" t="s">
        <v>28</v>
      </c>
      <c r="P125" s="4">
        <v>0.8347222222222223</v>
      </c>
      <c r="Q125" s="1" t="s">
        <v>181</v>
      </c>
      <c r="R125" s="1">
        <f t="shared" si="1"/>
        <v>110</v>
      </c>
      <c r="S125" s="1">
        <f t="shared" si="2"/>
        <v>101</v>
      </c>
      <c r="T125" s="5">
        <f t="shared" si="3"/>
        <v>110</v>
      </c>
      <c r="U125" s="5" t="s">
        <v>90</v>
      </c>
      <c r="Z125" s="10" t="s">
        <v>60</v>
      </c>
      <c r="AA125" s="10" t="s">
        <v>60</v>
      </c>
      <c r="AB125" s="10" t="s">
        <v>60</v>
      </c>
      <c r="AC125" s="10" t="s">
        <v>60</v>
      </c>
      <c r="AD125" s="10" t="s">
        <v>60</v>
      </c>
      <c r="AE125" s="10" t="s">
        <v>60</v>
      </c>
      <c r="AF125" s="11" t="s">
        <v>438</v>
      </c>
    </row>
    <row r="126">
      <c r="A126" s="1" t="s">
        <v>454</v>
      </c>
      <c r="B126" s="2">
        <v>5.0</v>
      </c>
      <c r="C126" s="1" t="s">
        <v>75</v>
      </c>
      <c r="D126" s="6"/>
      <c r="E126" s="3"/>
      <c r="F126" s="1" t="s">
        <v>30</v>
      </c>
      <c r="G126" s="4">
        <v>0.05763888888888889</v>
      </c>
      <c r="H126" s="1" t="s">
        <v>120</v>
      </c>
      <c r="I126" s="1" t="s">
        <v>28</v>
      </c>
      <c r="J126" s="4">
        <v>0.3145833333333333</v>
      </c>
      <c r="K126" s="1" t="s">
        <v>385</v>
      </c>
      <c r="L126" s="1" t="s">
        <v>30</v>
      </c>
      <c r="M126" s="4">
        <v>0.5979166666666667</v>
      </c>
      <c r="N126" s="1" t="s">
        <v>274</v>
      </c>
      <c r="O126" s="1" t="s">
        <v>28</v>
      </c>
      <c r="P126" s="4">
        <v>0.8576388888888888</v>
      </c>
      <c r="Q126" s="1" t="s">
        <v>256</v>
      </c>
      <c r="R126" s="1">
        <f t="shared" si="1"/>
        <v>105</v>
      </c>
      <c r="S126" s="1">
        <f t="shared" si="2"/>
        <v>89</v>
      </c>
      <c r="T126" s="5">
        <f t="shared" si="3"/>
        <v>105</v>
      </c>
      <c r="U126" s="5" t="s">
        <v>90</v>
      </c>
      <c r="Z126" s="10" t="s">
        <v>62</v>
      </c>
      <c r="AA126" s="10" t="s">
        <v>393</v>
      </c>
      <c r="AB126" s="10" t="s">
        <v>271</v>
      </c>
      <c r="AC126" s="10" t="s">
        <v>139</v>
      </c>
      <c r="AD126" s="10" t="s">
        <v>140</v>
      </c>
      <c r="AE126" s="11" t="s">
        <v>440</v>
      </c>
      <c r="AF126" s="11" t="s">
        <v>441</v>
      </c>
    </row>
    <row r="127">
      <c r="A127" s="1" t="s">
        <v>454</v>
      </c>
      <c r="B127" s="2">
        <v>6.0</v>
      </c>
      <c r="C127" s="1" t="s">
        <v>86</v>
      </c>
      <c r="D127" s="6"/>
      <c r="E127" s="3"/>
      <c r="F127" s="1" t="s">
        <v>30</v>
      </c>
      <c r="G127" s="4">
        <v>0.07777777777777778</v>
      </c>
      <c r="H127" s="1" t="s">
        <v>328</v>
      </c>
      <c r="I127" s="1" t="s">
        <v>28</v>
      </c>
      <c r="J127" s="4">
        <v>0.33819444444444446</v>
      </c>
      <c r="K127" s="1" t="s">
        <v>158</v>
      </c>
      <c r="L127" s="1" t="s">
        <v>30</v>
      </c>
      <c r="M127" s="4">
        <v>0.6229166666666667</v>
      </c>
      <c r="N127" s="1" t="s">
        <v>45</v>
      </c>
      <c r="O127" s="1" t="s">
        <v>28</v>
      </c>
      <c r="P127" s="4">
        <v>0.8833333333333333</v>
      </c>
      <c r="Q127" s="1" t="s">
        <v>65</v>
      </c>
      <c r="R127" s="1">
        <f t="shared" si="1"/>
        <v>95</v>
      </c>
      <c r="S127" s="1">
        <f t="shared" si="2"/>
        <v>74</v>
      </c>
      <c r="T127" s="5">
        <f t="shared" si="3"/>
        <v>95</v>
      </c>
      <c r="U127" s="5" t="s">
        <v>90</v>
      </c>
      <c r="Z127" s="10" t="s">
        <v>72</v>
      </c>
      <c r="AA127" s="10" t="s">
        <v>342</v>
      </c>
      <c r="AB127" s="10" t="s">
        <v>309</v>
      </c>
      <c r="AC127" s="10" t="s">
        <v>310</v>
      </c>
      <c r="AD127" s="10" t="s">
        <v>151</v>
      </c>
      <c r="AE127" s="11" t="s">
        <v>198</v>
      </c>
      <c r="AF127" s="11" t="s">
        <v>443</v>
      </c>
    </row>
    <row r="128">
      <c r="A128" s="1" t="s">
        <v>454</v>
      </c>
      <c r="B128" s="2">
        <v>7.0</v>
      </c>
      <c r="C128" s="1" t="s">
        <v>26</v>
      </c>
      <c r="D128" s="6"/>
      <c r="E128" s="3"/>
      <c r="F128" s="1" t="s">
        <v>30</v>
      </c>
      <c r="G128" s="4">
        <v>0.10069444444444445</v>
      </c>
      <c r="H128" s="1" t="s">
        <v>327</v>
      </c>
      <c r="I128" s="1" t="s">
        <v>28</v>
      </c>
      <c r="J128" s="4">
        <v>0.3638888888888889</v>
      </c>
      <c r="K128" s="1" t="s">
        <v>147</v>
      </c>
      <c r="L128" s="1" t="s">
        <v>30</v>
      </c>
      <c r="M128" s="4">
        <v>0.6520833333333333</v>
      </c>
      <c r="N128" s="1" t="s">
        <v>134</v>
      </c>
      <c r="O128" s="1" t="s">
        <v>28</v>
      </c>
      <c r="P128" s="4">
        <v>0.9159722222222222</v>
      </c>
      <c r="Q128" s="1" t="s">
        <v>44</v>
      </c>
      <c r="R128" s="1">
        <f t="shared" si="1"/>
        <v>83</v>
      </c>
      <c r="S128" s="1">
        <f t="shared" si="2"/>
        <v>60</v>
      </c>
      <c r="T128" s="5">
        <f t="shared" si="3"/>
        <v>83</v>
      </c>
      <c r="U128" s="5" t="s">
        <v>39</v>
      </c>
      <c r="Z128" s="10" t="s">
        <v>403</v>
      </c>
      <c r="AA128" s="10" t="s">
        <v>404</v>
      </c>
      <c r="AB128" s="10" t="s">
        <v>372</v>
      </c>
      <c r="AC128" s="10" t="s">
        <v>373</v>
      </c>
      <c r="AD128" s="10" t="s">
        <v>350</v>
      </c>
      <c r="AE128" s="11" t="s">
        <v>445</v>
      </c>
      <c r="AF128" s="11" t="s">
        <v>204</v>
      </c>
    </row>
    <row r="129">
      <c r="A129" s="1" t="s">
        <v>454</v>
      </c>
      <c r="B129" s="2">
        <v>8.0</v>
      </c>
      <c r="C129" s="1" t="s">
        <v>34</v>
      </c>
      <c r="D129" s="6"/>
      <c r="E129" s="3"/>
      <c r="F129" s="1" t="s">
        <v>30</v>
      </c>
      <c r="G129" s="4">
        <v>0.1284722222222222</v>
      </c>
      <c r="H129" s="1" t="s">
        <v>291</v>
      </c>
      <c r="I129" s="1" t="s">
        <v>28</v>
      </c>
      <c r="J129" s="4">
        <v>0.39444444444444443</v>
      </c>
      <c r="K129" s="1" t="s">
        <v>301</v>
      </c>
      <c r="L129" s="1" t="s">
        <v>30</v>
      </c>
      <c r="M129" s="4">
        <v>0.6902777777777778</v>
      </c>
      <c r="N129" s="1" t="s">
        <v>446</v>
      </c>
      <c r="O129" s="1" t="s">
        <v>28</v>
      </c>
      <c r="P129" s="4">
        <v>0.9673611111111111</v>
      </c>
      <c r="Q129" s="1" t="s">
        <v>36</v>
      </c>
      <c r="R129" s="1">
        <f t="shared" si="1"/>
        <v>69</v>
      </c>
      <c r="S129" s="1">
        <f t="shared" si="2"/>
        <v>48</v>
      </c>
      <c r="T129" s="5">
        <f t="shared" si="3"/>
        <v>69</v>
      </c>
      <c r="U129" s="5" t="s">
        <v>39</v>
      </c>
      <c r="Z129" s="10" t="s">
        <v>206</v>
      </c>
      <c r="AA129" s="10" t="s">
        <v>207</v>
      </c>
      <c r="AB129" s="10" t="s">
        <v>448</v>
      </c>
      <c r="AC129" s="10" t="s">
        <v>380</v>
      </c>
      <c r="AD129" s="10" t="s">
        <v>381</v>
      </c>
      <c r="AE129" s="11" t="s">
        <v>209</v>
      </c>
      <c r="AF129" s="11" t="s">
        <v>210</v>
      </c>
    </row>
    <row r="130">
      <c r="A130" s="1" t="s">
        <v>454</v>
      </c>
      <c r="B130" s="2">
        <v>9.0</v>
      </c>
      <c r="C130" s="1" t="s">
        <v>41</v>
      </c>
      <c r="D130" s="1" t="s">
        <v>42</v>
      </c>
      <c r="E130" s="3"/>
      <c r="F130" s="1" t="s">
        <v>30</v>
      </c>
      <c r="G130" s="4">
        <v>0.16805555555555557</v>
      </c>
      <c r="H130" s="1" t="s">
        <v>427</v>
      </c>
      <c r="I130" s="1" t="s">
        <v>28</v>
      </c>
      <c r="J130" s="4">
        <v>0.4354166666666667</v>
      </c>
      <c r="K130" s="1" t="s">
        <v>131</v>
      </c>
      <c r="L130" s="1" t="s">
        <v>30</v>
      </c>
      <c r="M130" s="4">
        <v>0.74375</v>
      </c>
      <c r="N130" s="1" t="s">
        <v>286</v>
      </c>
      <c r="R130" s="1">
        <f t="shared" si="1"/>
        <v>55</v>
      </c>
      <c r="S130" s="1">
        <f t="shared" si="2"/>
        <v>35</v>
      </c>
      <c r="T130" s="5">
        <f t="shared" si="3"/>
        <v>55</v>
      </c>
      <c r="U130" s="5" t="s">
        <v>39</v>
      </c>
      <c r="Z130" s="10" t="s">
        <v>449</v>
      </c>
      <c r="AA130" s="10" t="s">
        <v>60</v>
      </c>
      <c r="AB130" s="10" t="s">
        <v>60</v>
      </c>
      <c r="AC130" s="10" t="s">
        <v>60</v>
      </c>
      <c r="AD130" s="10" t="s">
        <v>60</v>
      </c>
      <c r="AE130" s="10" t="s">
        <v>60</v>
      </c>
      <c r="AF130" s="10" t="s">
        <v>60</v>
      </c>
    </row>
    <row r="131">
      <c r="A131" s="1" t="s">
        <v>454</v>
      </c>
      <c r="B131" s="2">
        <v>10.0</v>
      </c>
      <c r="C131" s="1" t="s">
        <v>55</v>
      </c>
      <c r="D131" s="1" t="s">
        <v>42</v>
      </c>
      <c r="E131" s="7" t="s">
        <v>107</v>
      </c>
      <c r="F131" s="1" t="s">
        <v>28</v>
      </c>
      <c r="G131" s="4">
        <v>0.03125</v>
      </c>
      <c r="H131" s="1" t="s">
        <v>44</v>
      </c>
      <c r="I131" s="1" t="s">
        <v>30</v>
      </c>
      <c r="J131" s="4">
        <v>0.23125</v>
      </c>
      <c r="K131" s="1" t="s">
        <v>116</v>
      </c>
      <c r="L131" s="1" t="s">
        <v>28</v>
      </c>
      <c r="M131" s="4">
        <v>0.49166666666666664</v>
      </c>
      <c r="N131" s="1" t="s">
        <v>402</v>
      </c>
      <c r="O131" s="1" t="s">
        <v>30</v>
      </c>
      <c r="P131" s="4">
        <v>0.8013888888888889</v>
      </c>
      <c r="Q131" s="1" t="s">
        <v>286</v>
      </c>
      <c r="R131" s="1">
        <f t="shared" si="1"/>
        <v>21</v>
      </c>
      <c r="S131" s="1">
        <f t="shared" si="2"/>
        <v>70</v>
      </c>
      <c r="T131" s="5">
        <f t="shared" si="3"/>
        <v>70</v>
      </c>
      <c r="U131" s="5" t="s">
        <v>39</v>
      </c>
    </row>
    <row r="132">
      <c r="A132" s="1" t="s">
        <v>454</v>
      </c>
      <c r="B132" s="2">
        <v>11.0</v>
      </c>
      <c r="C132" s="1" t="s">
        <v>25</v>
      </c>
      <c r="D132" s="6"/>
      <c r="E132" s="3"/>
      <c r="F132" s="1" t="s">
        <v>28</v>
      </c>
      <c r="G132" s="4">
        <v>0.07847222222222222</v>
      </c>
      <c r="H132" s="1" t="s">
        <v>230</v>
      </c>
      <c r="I132" s="1" t="s">
        <v>30</v>
      </c>
      <c r="J132" s="4">
        <v>0.3020833333333333</v>
      </c>
      <c r="K132" s="1" t="s">
        <v>427</v>
      </c>
      <c r="L132" s="1" t="s">
        <v>28</v>
      </c>
      <c r="M132" s="4">
        <v>0.5541666666666667</v>
      </c>
      <c r="N132" s="1" t="s">
        <v>220</v>
      </c>
      <c r="O132" s="1" t="s">
        <v>30</v>
      </c>
      <c r="P132" s="4">
        <v>0.8451388888888889</v>
      </c>
      <c r="Q132" s="1" t="s">
        <v>122</v>
      </c>
      <c r="R132" s="1">
        <f t="shared" si="1"/>
        <v>34</v>
      </c>
      <c r="S132" s="1">
        <f t="shared" si="2"/>
        <v>74</v>
      </c>
      <c r="T132" s="5">
        <f t="shared" si="3"/>
        <v>74</v>
      </c>
      <c r="U132" s="5" t="s">
        <v>39</v>
      </c>
    </row>
    <row r="133">
      <c r="A133" s="1" t="s">
        <v>454</v>
      </c>
      <c r="B133" s="2">
        <v>12.0</v>
      </c>
      <c r="C133" s="1" t="s">
        <v>75</v>
      </c>
      <c r="D133" s="6"/>
      <c r="E133" s="3"/>
      <c r="F133" s="1" t="s">
        <v>28</v>
      </c>
      <c r="G133" s="4">
        <v>0.1111111111111111</v>
      </c>
      <c r="H133" s="1" t="s">
        <v>128</v>
      </c>
      <c r="I133" s="1" t="s">
        <v>30</v>
      </c>
      <c r="J133" s="4">
        <v>0.35555555555555557</v>
      </c>
      <c r="K133" s="1" t="s">
        <v>236</v>
      </c>
      <c r="L133" s="1" t="s">
        <v>28</v>
      </c>
      <c r="M133" s="4">
        <v>0.6055555555555555</v>
      </c>
      <c r="N133" s="1" t="s">
        <v>251</v>
      </c>
      <c r="O133" s="1" t="s">
        <v>30</v>
      </c>
      <c r="P133" s="4">
        <v>0.8784722222222222</v>
      </c>
      <c r="Q133" s="1" t="s">
        <v>446</v>
      </c>
      <c r="R133" s="1">
        <f t="shared" si="1"/>
        <v>58</v>
      </c>
      <c r="S133" s="1">
        <f t="shared" si="2"/>
        <v>83</v>
      </c>
      <c r="T133" s="5">
        <f t="shared" si="3"/>
        <v>83</v>
      </c>
      <c r="U133" s="5" t="s">
        <v>39</v>
      </c>
    </row>
    <row r="134">
      <c r="A134" s="1" t="s">
        <v>454</v>
      </c>
      <c r="B134" s="2">
        <v>13.0</v>
      </c>
      <c r="C134" s="1" t="s">
        <v>86</v>
      </c>
      <c r="D134" s="6"/>
      <c r="E134" s="3"/>
      <c r="F134" s="1" t="s">
        <v>28</v>
      </c>
      <c r="G134" s="4">
        <v>0.1375</v>
      </c>
      <c r="H134" s="1" t="s">
        <v>360</v>
      </c>
      <c r="I134" s="1" t="s">
        <v>30</v>
      </c>
      <c r="J134" s="4">
        <v>0.3951388888888889</v>
      </c>
      <c r="K134" s="1" t="s">
        <v>224</v>
      </c>
      <c r="L134" s="1" t="s">
        <v>28</v>
      </c>
      <c r="M134" s="4">
        <v>0.6465277777777778</v>
      </c>
      <c r="N134" s="1" t="s">
        <v>89</v>
      </c>
      <c r="O134" s="1" t="s">
        <v>30</v>
      </c>
      <c r="P134" s="4">
        <v>0.9069444444444444</v>
      </c>
      <c r="Q134" s="1" t="s">
        <v>115</v>
      </c>
      <c r="R134" s="1">
        <f t="shared" si="1"/>
        <v>87</v>
      </c>
      <c r="S134" s="1">
        <f t="shared" si="2"/>
        <v>94</v>
      </c>
      <c r="T134" s="5">
        <f t="shared" si="3"/>
        <v>94</v>
      </c>
      <c r="U134" s="5" t="s">
        <v>90</v>
      </c>
    </row>
    <row r="135">
      <c r="A135" s="1" t="s">
        <v>454</v>
      </c>
      <c r="B135" s="2">
        <v>14.0</v>
      </c>
      <c r="C135" s="1" t="s">
        <v>26</v>
      </c>
      <c r="D135" s="6"/>
      <c r="E135" s="3"/>
      <c r="F135" s="1" t="s">
        <v>28</v>
      </c>
      <c r="G135" s="4">
        <v>0.1625</v>
      </c>
      <c r="H135" s="1" t="s">
        <v>434</v>
      </c>
      <c r="I135" s="1" t="s">
        <v>30</v>
      </c>
      <c r="J135" s="4">
        <v>0.42916666666666664</v>
      </c>
      <c r="K135" s="1" t="s">
        <v>110</v>
      </c>
      <c r="L135" s="1" t="s">
        <v>28</v>
      </c>
      <c r="M135" s="4">
        <v>0.6826388888888889</v>
      </c>
      <c r="N135" s="1" t="s">
        <v>32</v>
      </c>
      <c r="O135" s="1" t="s">
        <v>30</v>
      </c>
      <c r="P135" s="4">
        <v>0.9333333333333333</v>
      </c>
      <c r="Q135" s="1" t="s">
        <v>112</v>
      </c>
      <c r="R135" s="1">
        <f t="shared" si="1"/>
        <v>119</v>
      </c>
      <c r="S135" s="1">
        <f t="shared" si="2"/>
        <v>101</v>
      </c>
      <c r="T135" s="5">
        <f t="shared" si="3"/>
        <v>119</v>
      </c>
      <c r="U135" s="5" t="s">
        <v>90</v>
      </c>
      <c r="Z135" s="8" t="s">
        <v>450</v>
      </c>
    </row>
    <row r="136">
      <c r="A136" s="1" t="s">
        <v>454</v>
      </c>
      <c r="B136" s="2">
        <v>15.0</v>
      </c>
      <c r="C136" s="1" t="s">
        <v>34</v>
      </c>
      <c r="D136" s="6"/>
      <c r="E136" s="3"/>
      <c r="F136" s="1" t="s">
        <v>28</v>
      </c>
      <c r="G136" s="4">
        <v>0.18819444444444444</v>
      </c>
      <c r="H136" s="1" t="s">
        <v>67</v>
      </c>
      <c r="I136" s="1" t="s">
        <v>30</v>
      </c>
      <c r="J136" s="4">
        <v>0.46041666666666664</v>
      </c>
      <c r="K136" s="1" t="s">
        <v>219</v>
      </c>
      <c r="L136" s="1" t="s">
        <v>28</v>
      </c>
      <c r="M136" s="4">
        <v>0.7166666666666667</v>
      </c>
      <c r="N136" s="1" t="s">
        <v>388</v>
      </c>
      <c r="O136" s="1" t="s">
        <v>30</v>
      </c>
      <c r="P136" s="4">
        <v>0.9590277777777778</v>
      </c>
      <c r="Q136" s="1" t="s">
        <v>200</v>
      </c>
      <c r="R136" s="1">
        <f t="shared" si="1"/>
        <v>148</v>
      </c>
      <c r="S136" s="1">
        <f t="shared" si="2"/>
        <v>104</v>
      </c>
      <c r="T136" s="5">
        <f t="shared" si="3"/>
        <v>148</v>
      </c>
      <c r="U136" s="5" t="s">
        <v>47</v>
      </c>
      <c r="Z136" s="9" t="s">
        <v>48</v>
      </c>
      <c r="AA136" s="9" t="s">
        <v>49</v>
      </c>
      <c r="AB136" s="9" t="s">
        <v>50</v>
      </c>
      <c r="AC136" s="9" t="s">
        <v>51</v>
      </c>
      <c r="AD136" s="9" t="s">
        <v>52</v>
      </c>
      <c r="AE136" s="9" t="s">
        <v>53</v>
      </c>
      <c r="AF136" s="9" t="s">
        <v>54</v>
      </c>
    </row>
    <row r="137">
      <c r="A137" s="1" t="s">
        <v>454</v>
      </c>
      <c r="B137" s="2">
        <v>16.0</v>
      </c>
      <c r="C137" s="1" t="s">
        <v>41</v>
      </c>
      <c r="D137" s="1" t="s">
        <v>42</v>
      </c>
      <c r="E137" s="3"/>
      <c r="F137" s="1" t="s">
        <v>28</v>
      </c>
      <c r="G137" s="4">
        <v>0.21458333333333332</v>
      </c>
      <c r="H137" s="1" t="s">
        <v>451</v>
      </c>
      <c r="I137" s="1" t="s">
        <v>30</v>
      </c>
      <c r="J137" s="4">
        <v>0.49236111111111114</v>
      </c>
      <c r="K137" s="1" t="s">
        <v>177</v>
      </c>
      <c r="L137" s="1" t="s">
        <v>28</v>
      </c>
      <c r="M137" s="4">
        <v>0.75</v>
      </c>
      <c r="N137" s="1" t="s">
        <v>32</v>
      </c>
      <c r="O137" s="1" t="s">
        <v>30</v>
      </c>
      <c r="P137" s="4">
        <v>0.9854166666666667</v>
      </c>
      <c r="Q137" s="1" t="s">
        <v>200</v>
      </c>
      <c r="R137" s="1">
        <f t="shared" si="1"/>
        <v>172</v>
      </c>
      <c r="S137" s="1">
        <f t="shared" si="2"/>
        <v>102</v>
      </c>
      <c r="T137" s="5">
        <f t="shared" si="3"/>
        <v>172</v>
      </c>
      <c r="U137" s="5" t="s">
        <v>47</v>
      </c>
      <c r="Z137" s="10" t="s">
        <v>60</v>
      </c>
      <c r="AA137" s="10" t="s">
        <v>884</v>
      </c>
      <c r="AB137" s="10" t="s">
        <v>62</v>
      </c>
      <c r="AC137" s="10" t="s">
        <v>393</v>
      </c>
      <c r="AD137" s="10" t="s">
        <v>271</v>
      </c>
      <c r="AE137" s="11" t="s">
        <v>340</v>
      </c>
      <c r="AF137" s="11" t="s">
        <v>453</v>
      </c>
    </row>
    <row r="138">
      <c r="A138" s="1" t="s">
        <v>454</v>
      </c>
      <c r="B138" s="2">
        <v>17.0</v>
      </c>
      <c r="C138" s="1" t="s">
        <v>55</v>
      </c>
      <c r="D138" s="1" t="s">
        <v>42</v>
      </c>
      <c r="E138" s="7" t="s">
        <v>143</v>
      </c>
      <c r="F138" s="1" t="s">
        <v>28</v>
      </c>
      <c r="G138" s="4">
        <v>0.24305555555555555</v>
      </c>
      <c r="H138" s="1" t="s">
        <v>455</v>
      </c>
      <c r="I138" s="1" t="s">
        <v>30</v>
      </c>
      <c r="J138" s="4">
        <v>0.525</v>
      </c>
      <c r="K138" s="1" t="s">
        <v>456</v>
      </c>
      <c r="L138" s="1" t="s">
        <v>28</v>
      </c>
      <c r="M138" s="4">
        <v>0.7833333333333333</v>
      </c>
      <c r="N138" s="1" t="s">
        <v>89</v>
      </c>
      <c r="R138" s="1">
        <f t="shared" si="1"/>
        <v>185</v>
      </c>
      <c r="S138" s="1">
        <f t="shared" si="2"/>
        <v>49</v>
      </c>
      <c r="T138" s="5">
        <f t="shared" si="3"/>
        <v>185</v>
      </c>
      <c r="U138" s="5" t="s">
        <v>47</v>
      </c>
      <c r="Z138" s="10" t="s">
        <v>457</v>
      </c>
      <c r="AA138" s="10" t="s">
        <v>232</v>
      </c>
      <c r="AB138" s="10" t="s">
        <v>196</v>
      </c>
      <c r="AC138" s="10" t="s">
        <v>342</v>
      </c>
      <c r="AD138" s="10" t="s">
        <v>309</v>
      </c>
      <c r="AE138" s="11" t="s">
        <v>459</v>
      </c>
      <c r="AF138" s="11" t="s">
        <v>460</v>
      </c>
    </row>
    <row r="139">
      <c r="A139" s="1" t="s">
        <v>454</v>
      </c>
      <c r="B139" s="2">
        <v>18.0</v>
      </c>
      <c r="C139" s="1" t="s">
        <v>25</v>
      </c>
      <c r="D139" s="6"/>
      <c r="E139" s="3"/>
      <c r="F139" s="1" t="s">
        <v>30</v>
      </c>
      <c r="G139" s="4">
        <v>0.0125</v>
      </c>
      <c r="H139" s="1" t="s">
        <v>223</v>
      </c>
      <c r="I139" s="1" t="s">
        <v>28</v>
      </c>
      <c r="J139" s="4">
        <v>0.27291666666666664</v>
      </c>
      <c r="K139" s="1" t="s">
        <v>461</v>
      </c>
      <c r="L139" s="1" t="s">
        <v>30</v>
      </c>
      <c r="M139" s="4">
        <v>0.5590277777777778</v>
      </c>
      <c r="N139" s="1" t="s">
        <v>175</v>
      </c>
      <c r="O139" s="1" t="s">
        <v>28</v>
      </c>
      <c r="P139" s="4">
        <v>0.8180555555555555</v>
      </c>
      <c r="Q139" s="1" t="s">
        <v>292</v>
      </c>
      <c r="R139" s="1">
        <f t="shared" si="1"/>
        <v>140</v>
      </c>
      <c r="S139" s="1">
        <f t="shared" si="2"/>
        <v>135</v>
      </c>
      <c r="T139" s="5">
        <f t="shared" si="3"/>
        <v>140</v>
      </c>
      <c r="U139" s="5" t="s">
        <v>47</v>
      </c>
      <c r="Z139" s="10" t="s">
        <v>462</v>
      </c>
      <c r="AA139" s="10" t="s">
        <v>428</v>
      </c>
      <c r="AB139" s="10" t="s">
        <v>403</v>
      </c>
      <c r="AC139" s="10" t="s">
        <v>404</v>
      </c>
      <c r="AD139" s="10" t="s">
        <v>372</v>
      </c>
      <c r="AE139" s="11" t="s">
        <v>463</v>
      </c>
      <c r="AF139" s="11" t="s">
        <v>317</v>
      </c>
    </row>
    <row r="140">
      <c r="A140" s="1" t="s">
        <v>454</v>
      </c>
      <c r="B140" s="2">
        <v>19.0</v>
      </c>
      <c r="C140" s="1" t="s">
        <v>75</v>
      </c>
      <c r="D140" s="6"/>
      <c r="E140" s="3"/>
      <c r="F140" s="1" t="s">
        <v>30</v>
      </c>
      <c r="G140" s="4">
        <v>0.04097222222222222</v>
      </c>
      <c r="H140" s="1" t="s">
        <v>224</v>
      </c>
      <c r="I140" s="1" t="s">
        <v>28</v>
      </c>
      <c r="J140" s="4">
        <v>0.30486111111111114</v>
      </c>
      <c r="K140" s="1" t="s">
        <v>464</v>
      </c>
      <c r="L140" s="1" t="s">
        <v>30</v>
      </c>
      <c r="M140" s="4">
        <v>0.5951388888888889</v>
      </c>
      <c r="N140" s="1" t="s">
        <v>217</v>
      </c>
      <c r="O140" s="1" t="s">
        <v>28</v>
      </c>
      <c r="P140" s="4">
        <v>0.8534722222222222</v>
      </c>
      <c r="Q140" s="1" t="s">
        <v>183</v>
      </c>
      <c r="R140" s="1">
        <f t="shared" si="1"/>
        <v>135</v>
      </c>
      <c r="S140" s="1">
        <f t="shared" si="2"/>
        <v>120</v>
      </c>
      <c r="T140" s="5">
        <f t="shared" si="3"/>
        <v>135</v>
      </c>
      <c r="U140" s="5" t="s">
        <v>47</v>
      </c>
      <c r="Z140" s="10" t="s">
        <v>93</v>
      </c>
      <c r="AA140" s="10" t="s">
        <v>94</v>
      </c>
      <c r="AB140" s="10" t="s">
        <v>243</v>
      </c>
      <c r="AC140" s="10" t="s">
        <v>885</v>
      </c>
      <c r="AD140" s="10" t="s">
        <v>466</v>
      </c>
      <c r="AE140" s="11" t="s">
        <v>408</v>
      </c>
      <c r="AF140" s="11" t="s">
        <v>467</v>
      </c>
    </row>
    <row r="141">
      <c r="A141" s="1" t="s">
        <v>454</v>
      </c>
      <c r="B141" s="2">
        <v>20.0</v>
      </c>
      <c r="C141" s="1" t="s">
        <v>86</v>
      </c>
      <c r="D141" s="6"/>
      <c r="E141" s="3"/>
      <c r="F141" s="1" t="s">
        <v>30</v>
      </c>
      <c r="G141" s="4">
        <v>0.07222222222222222</v>
      </c>
      <c r="H141" s="1" t="s">
        <v>326</v>
      </c>
      <c r="I141" s="1" t="s">
        <v>28</v>
      </c>
      <c r="J141" s="4">
        <v>0.3388888888888889</v>
      </c>
      <c r="K141" s="1" t="s">
        <v>414</v>
      </c>
      <c r="L141" s="1" t="s">
        <v>30</v>
      </c>
      <c r="M141" s="4">
        <v>0.6340277777777777</v>
      </c>
      <c r="N141" s="1" t="s">
        <v>129</v>
      </c>
      <c r="O141" s="1" t="s">
        <v>28</v>
      </c>
      <c r="P141" s="4">
        <v>0.8923611111111112</v>
      </c>
      <c r="Q141" s="1" t="s">
        <v>176</v>
      </c>
      <c r="R141" s="1">
        <f t="shared" si="1"/>
        <v>123</v>
      </c>
      <c r="S141" s="1">
        <f t="shared" si="2"/>
        <v>102</v>
      </c>
      <c r="T141" s="5">
        <f t="shared" si="3"/>
        <v>123</v>
      </c>
      <c r="U141" s="5" t="s">
        <v>90</v>
      </c>
      <c r="Z141" s="10" t="s">
        <v>103</v>
      </c>
      <c r="AA141" s="10" t="s">
        <v>104</v>
      </c>
      <c r="AB141" s="10" t="s">
        <v>449</v>
      </c>
      <c r="AC141" s="10" t="s">
        <v>886</v>
      </c>
      <c r="AD141" s="10" t="s">
        <v>60</v>
      </c>
      <c r="AE141" s="10" t="s">
        <v>60</v>
      </c>
      <c r="AF141" s="10" t="s">
        <v>60</v>
      </c>
    </row>
    <row r="142">
      <c r="A142" s="1" t="s">
        <v>454</v>
      </c>
      <c r="B142" s="2">
        <v>21.0</v>
      </c>
      <c r="C142" s="1" t="s">
        <v>26</v>
      </c>
      <c r="D142" s="6"/>
      <c r="E142" s="3"/>
      <c r="F142" s="1" t="s">
        <v>30</v>
      </c>
      <c r="G142" s="4">
        <v>0.1076388888888889</v>
      </c>
      <c r="H142" s="1" t="s">
        <v>389</v>
      </c>
      <c r="I142" s="1" t="s">
        <v>28</v>
      </c>
      <c r="J142" s="4">
        <v>0.3763888888888889</v>
      </c>
      <c r="K142" s="1" t="s">
        <v>59</v>
      </c>
      <c r="L142" s="1" t="s">
        <v>30</v>
      </c>
      <c r="M142" s="4">
        <v>0.6756944444444445</v>
      </c>
      <c r="N142" s="1" t="s">
        <v>66</v>
      </c>
      <c r="O142" s="1" t="s">
        <v>28</v>
      </c>
      <c r="P142" s="4">
        <v>0.9361111111111111</v>
      </c>
      <c r="Q142" s="1" t="s">
        <v>230</v>
      </c>
      <c r="R142" s="1">
        <f t="shared" si="1"/>
        <v>105</v>
      </c>
      <c r="S142" s="1">
        <f t="shared" si="2"/>
        <v>84</v>
      </c>
      <c r="T142" s="5">
        <f t="shared" si="3"/>
        <v>105</v>
      </c>
      <c r="U142" s="5" t="s">
        <v>90</v>
      </c>
      <c r="Z142" s="10" t="s">
        <v>60</v>
      </c>
      <c r="AA142" s="10" t="s">
        <v>60</v>
      </c>
      <c r="AB142" s="10" t="s">
        <v>60</v>
      </c>
      <c r="AC142" s="10" t="s">
        <v>60</v>
      </c>
      <c r="AD142" s="10" t="s">
        <v>60</v>
      </c>
      <c r="AE142" s="10" t="s">
        <v>60</v>
      </c>
      <c r="AF142" s="10" t="s">
        <v>60</v>
      </c>
    </row>
    <row r="143">
      <c r="A143" s="1" t="s">
        <v>454</v>
      </c>
      <c r="B143" s="2">
        <v>22.0</v>
      </c>
      <c r="C143" s="1" t="s">
        <v>34</v>
      </c>
      <c r="D143" s="6"/>
      <c r="E143" s="3"/>
      <c r="F143" s="1" t="s">
        <v>30</v>
      </c>
      <c r="G143" s="4">
        <v>0.15</v>
      </c>
      <c r="H143" s="1" t="s">
        <v>334</v>
      </c>
      <c r="I143" s="1" t="s">
        <v>28</v>
      </c>
      <c r="J143" s="4">
        <v>0.41805555555555557</v>
      </c>
      <c r="K143" s="1" t="s">
        <v>158</v>
      </c>
      <c r="L143" s="1" t="s">
        <v>30</v>
      </c>
      <c r="M143" s="4">
        <v>0.7222222222222222</v>
      </c>
      <c r="N143" s="1" t="s">
        <v>469</v>
      </c>
      <c r="O143" s="1" t="s">
        <v>28</v>
      </c>
      <c r="P143" s="4">
        <v>0.9840277777777777</v>
      </c>
      <c r="Q143" s="1" t="s">
        <v>470</v>
      </c>
      <c r="R143" s="1">
        <f t="shared" si="1"/>
        <v>86</v>
      </c>
      <c r="S143" s="1">
        <f t="shared" si="2"/>
        <v>72</v>
      </c>
      <c r="T143" s="5">
        <f t="shared" si="3"/>
        <v>86</v>
      </c>
      <c r="U143" s="5" t="s">
        <v>39</v>
      </c>
    </row>
    <row r="144">
      <c r="A144" s="1" t="s">
        <v>454</v>
      </c>
      <c r="B144" s="2">
        <v>23.0</v>
      </c>
      <c r="C144" s="1" t="s">
        <v>41</v>
      </c>
      <c r="D144" s="1" t="s">
        <v>42</v>
      </c>
      <c r="E144" s="7" t="s">
        <v>184</v>
      </c>
      <c r="F144" s="1" t="s">
        <v>30</v>
      </c>
      <c r="G144" s="4">
        <v>0.20347222222222222</v>
      </c>
      <c r="H144" s="1" t="s">
        <v>355</v>
      </c>
      <c r="I144" s="1" t="s">
        <v>28</v>
      </c>
      <c r="J144" s="4">
        <v>0.46875</v>
      </c>
      <c r="K144" s="1" t="s">
        <v>135</v>
      </c>
      <c r="L144" s="1" t="s">
        <v>30</v>
      </c>
      <c r="M144" s="4">
        <v>0.7701388888888889</v>
      </c>
      <c r="N144" s="1" t="s">
        <v>115</v>
      </c>
      <c r="R144" s="1">
        <f t="shared" si="1"/>
        <v>69</v>
      </c>
      <c r="S144" s="1">
        <f t="shared" si="2"/>
        <v>45</v>
      </c>
      <c r="T144" s="5">
        <f t="shared" si="3"/>
        <v>69</v>
      </c>
      <c r="U144" s="5" t="s">
        <v>39</v>
      </c>
    </row>
    <row r="145">
      <c r="A145" s="1" t="s">
        <v>454</v>
      </c>
      <c r="B145" s="2">
        <v>24.0</v>
      </c>
      <c r="C145" s="1" t="s">
        <v>55</v>
      </c>
      <c r="D145" s="1" t="s">
        <v>42</v>
      </c>
      <c r="E145" s="3"/>
      <c r="F145" s="1" t="s">
        <v>28</v>
      </c>
      <c r="G145" s="4">
        <v>0.03194444444444444</v>
      </c>
      <c r="H145" s="1" t="s">
        <v>256</v>
      </c>
      <c r="I145" s="1" t="s">
        <v>30</v>
      </c>
      <c r="J145" s="4">
        <v>0.2673611111111111</v>
      </c>
      <c r="K145" s="1" t="s">
        <v>355</v>
      </c>
      <c r="L145" s="1" t="s">
        <v>28</v>
      </c>
      <c r="M145" s="4">
        <v>0.5263888888888889</v>
      </c>
      <c r="N145" s="1" t="s">
        <v>192</v>
      </c>
      <c r="O145" s="1" t="s">
        <v>30</v>
      </c>
      <c r="P145" s="4">
        <v>0.8138888888888889</v>
      </c>
      <c r="Q145" s="1" t="s">
        <v>120</v>
      </c>
      <c r="R145" s="1">
        <f t="shared" si="1"/>
        <v>43</v>
      </c>
      <c r="S145" s="1">
        <f t="shared" si="2"/>
        <v>78</v>
      </c>
      <c r="T145" s="5">
        <f t="shared" si="3"/>
        <v>78</v>
      </c>
      <c r="U145" s="5" t="s">
        <v>39</v>
      </c>
    </row>
    <row r="146">
      <c r="A146" s="1" t="s">
        <v>454</v>
      </c>
      <c r="B146" s="2">
        <v>25.0</v>
      </c>
      <c r="C146" s="1" t="s">
        <v>25</v>
      </c>
      <c r="D146" s="6"/>
      <c r="E146" s="3"/>
      <c r="F146" s="1" t="s">
        <v>28</v>
      </c>
      <c r="G146" s="4">
        <v>0.07361111111111111</v>
      </c>
      <c r="H146" s="1" t="s">
        <v>181</v>
      </c>
      <c r="I146" s="1" t="s">
        <v>30</v>
      </c>
      <c r="J146" s="4">
        <v>0.3298611111111111</v>
      </c>
      <c r="K146" s="1" t="s">
        <v>248</v>
      </c>
      <c r="L146" s="1" t="s">
        <v>28</v>
      </c>
      <c r="M146" s="4">
        <v>0.58125</v>
      </c>
      <c r="N146" s="1" t="s">
        <v>402</v>
      </c>
      <c r="O146" s="1" t="s">
        <v>30</v>
      </c>
      <c r="P146" s="4">
        <v>0.8513888888888889</v>
      </c>
      <c r="Q146" s="1" t="s">
        <v>286</v>
      </c>
      <c r="R146" s="1">
        <f t="shared" si="1"/>
        <v>54</v>
      </c>
      <c r="S146" s="1">
        <f t="shared" si="2"/>
        <v>70</v>
      </c>
      <c r="T146" s="5">
        <f t="shared" si="3"/>
        <v>70</v>
      </c>
      <c r="U146" s="5" t="s">
        <v>39</v>
      </c>
    </row>
    <row r="147">
      <c r="A147" s="1" t="s">
        <v>454</v>
      </c>
      <c r="B147" s="2">
        <v>26.0</v>
      </c>
      <c r="C147" s="1" t="s">
        <v>75</v>
      </c>
      <c r="D147" s="6"/>
      <c r="E147" s="3"/>
      <c r="F147" s="1" t="s">
        <v>28</v>
      </c>
      <c r="G147" s="4">
        <v>0.10833333333333334</v>
      </c>
      <c r="H147" s="1" t="s">
        <v>357</v>
      </c>
      <c r="I147" s="1" t="s">
        <v>30</v>
      </c>
      <c r="J147" s="4">
        <v>0.37916666666666665</v>
      </c>
      <c r="K147" s="1" t="s">
        <v>191</v>
      </c>
      <c r="L147" s="1" t="s">
        <v>28</v>
      </c>
      <c r="M147" s="4">
        <v>0.6291666666666667</v>
      </c>
      <c r="N147" s="1" t="s">
        <v>100</v>
      </c>
      <c r="O147" s="1" t="s">
        <v>30</v>
      </c>
      <c r="P147" s="4">
        <v>0.8833333333333333</v>
      </c>
      <c r="Q147" s="1" t="s">
        <v>250</v>
      </c>
      <c r="R147" s="1">
        <f t="shared" si="1"/>
        <v>72</v>
      </c>
      <c r="S147" s="1">
        <f t="shared" si="2"/>
        <v>66</v>
      </c>
      <c r="T147" s="5">
        <f t="shared" si="3"/>
        <v>72</v>
      </c>
      <c r="U147" s="5" t="s">
        <v>39</v>
      </c>
    </row>
    <row r="148">
      <c r="A148" s="1" t="s">
        <v>454</v>
      </c>
      <c r="B148" s="2">
        <v>27.0</v>
      </c>
      <c r="C148" s="1" t="s">
        <v>86</v>
      </c>
      <c r="D148" s="6"/>
      <c r="E148" s="3"/>
      <c r="F148" s="1" t="s">
        <v>28</v>
      </c>
      <c r="G148" s="4">
        <v>0.13819444444444445</v>
      </c>
      <c r="H148" s="1" t="s">
        <v>360</v>
      </c>
      <c r="I148" s="1" t="s">
        <v>30</v>
      </c>
      <c r="J148" s="4">
        <v>0.4166666666666667</v>
      </c>
      <c r="K148" s="1" t="s">
        <v>223</v>
      </c>
      <c r="L148" s="1" t="s">
        <v>28</v>
      </c>
      <c r="M148" s="4">
        <v>0.66875</v>
      </c>
      <c r="N148" s="1" t="s">
        <v>100</v>
      </c>
      <c r="O148" s="1" t="s">
        <v>30</v>
      </c>
      <c r="P148" s="4">
        <v>0.9097222222222222</v>
      </c>
      <c r="Q148" s="1" t="s">
        <v>250</v>
      </c>
      <c r="R148" s="1">
        <f t="shared" si="1"/>
        <v>90</v>
      </c>
      <c r="S148" s="1">
        <f t="shared" si="2"/>
        <v>66</v>
      </c>
      <c r="T148" s="5">
        <f t="shared" si="3"/>
        <v>90</v>
      </c>
      <c r="U148" s="5" t="s">
        <v>39</v>
      </c>
    </row>
    <row r="149">
      <c r="A149" s="1" t="s">
        <v>454</v>
      </c>
      <c r="B149" s="2">
        <v>28.0</v>
      </c>
      <c r="C149" s="1" t="s">
        <v>26</v>
      </c>
      <c r="D149" s="6"/>
      <c r="E149" s="3"/>
      <c r="F149" s="1" t="s">
        <v>28</v>
      </c>
      <c r="G149" s="4">
        <v>0.16458333333333333</v>
      </c>
      <c r="H149" s="1" t="s">
        <v>307</v>
      </c>
      <c r="I149" s="1" t="s">
        <v>30</v>
      </c>
      <c r="J149" s="4">
        <v>0.44722222222222224</v>
      </c>
      <c r="K149" s="1" t="s">
        <v>37</v>
      </c>
      <c r="L149" s="1" t="s">
        <v>28</v>
      </c>
      <c r="M149" s="4">
        <v>0.7013888888888888</v>
      </c>
      <c r="N149" s="1" t="s">
        <v>218</v>
      </c>
      <c r="O149" s="1" t="s">
        <v>30</v>
      </c>
      <c r="P149" s="4">
        <v>0.9340277777777778</v>
      </c>
      <c r="Q149" s="1" t="s">
        <v>250</v>
      </c>
      <c r="R149" s="1">
        <f t="shared" si="1"/>
        <v>106</v>
      </c>
      <c r="S149" s="1">
        <f t="shared" si="2"/>
        <v>67</v>
      </c>
      <c r="T149" s="5">
        <f t="shared" si="3"/>
        <v>106</v>
      </c>
      <c r="U149" s="5" t="s">
        <v>90</v>
      </c>
    </row>
    <row r="150">
      <c r="A150" s="1" t="s">
        <v>454</v>
      </c>
      <c r="B150" s="2">
        <v>29.0</v>
      </c>
      <c r="C150" s="1" t="s">
        <v>34</v>
      </c>
      <c r="D150" s="6"/>
      <c r="E150" s="3"/>
      <c r="F150" s="1" t="s">
        <v>28</v>
      </c>
      <c r="G150" s="4">
        <v>0.18958333333333333</v>
      </c>
      <c r="H150" s="1" t="s">
        <v>434</v>
      </c>
      <c r="I150" s="1" t="s">
        <v>30</v>
      </c>
      <c r="J150" s="4">
        <v>0.47291666666666665</v>
      </c>
      <c r="K150" s="1" t="s">
        <v>58</v>
      </c>
      <c r="L150" s="1" t="s">
        <v>28</v>
      </c>
      <c r="M150" s="4">
        <v>0.7305555555555555</v>
      </c>
      <c r="N150" s="1" t="s">
        <v>218</v>
      </c>
      <c r="O150" s="1" t="s">
        <v>30</v>
      </c>
      <c r="P150" s="4">
        <v>0.9569444444444445</v>
      </c>
      <c r="Q150" s="1" t="s">
        <v>328</v>
      </c>
      <c r="R150" s="1">
        <f t="shared" si="1"/>
        <v>121</v>
      </c>
      <c r="S150" s="1">
        <f t="shared" si="2"/>
        <v>68</v>
      </c>
      <c r="T150" s="5">
        <f t="shared" si="3"/>
        <v>121</v>
      </c>
      <c r="U150" s="5" t="s">
        <v>90</v>
      </c>
    </row>
    <row r="151">
      <c r="A151" s="1" t="s">
        <v>454</v>
      </c>
      <c r="B151" s="2">
        <v>30.0</v>
      </c>
      <c r="C151" s="1" t="s">
        <v>41</v>
      </c>
      <c r="D151" s="1" t="s">
        <v>42</v>
      </c>
      <c r="E151" s="3"/>
      <c r="F151" s="1" t="s">
        <v>28</v>
      </c>
      <c r="G151" s="4">
        <v>0.21319444444444444</v>
      </c>
      <c r="H151" s="1" t="s">
        <v>167</v>
      </c>
      <c r="I151" s="1" t="s">
        <v>30</v>
      </c>
      <c r="J151" s="4">
        <v>0.49722222222222223</v>
      </c>
      <c r="K151" s="1" t="s">
        <v>124</v>
      </c>
      <c r="L151" s="1" t="s">
        <v>28</v>
      </c>
      <c r="M151" s="4">
        <v>0.7569444444444444</v>
      </c>
      <c r="N151" s="1" t="s">
        <v>218</v>
      </c>
      <c r="O151" s="1" t="s">
        <v>30</v>
      </c>
      <c r="P151" s="4">
        <v>0.9798611111111111</v>
      </c>
      <c r="Q151" s="1" t="s">
        <v>191</v>
      </c>
      <c r="R151" s="1">
        <f t="shared" si="1"/>
        <v>132</v>
      </c>
      <c r="S151" s="1">
        <f t="shared" si="2"/>
        <v>70</v>
      </c>
      <c r="T151" s="5">
        <f t="shared" si="3"/>
        <v>132</v>
      </c>
      <c r="U151" s="5" t="s">
        <v>47</v>
      </c>
    </row>
    <row r="152">
      <c r="A152" s="1" t="s">
        <v>454</v>
      </c>
      <c r="B152" s="2">
        <v>31.0</v>
      </c>
      <c r="C152" s="1" t="s">
        <v>55</v>
      </c>
      <c r="D152" s="1" t="s">
        <v>42</v>
      </c>
      <c r="E152" s="7" t="s">
        <v>35</v>
      </c>
      <c r="F152" s="1" t="s">
        <v>28</v>
      </c>
      <c r="G152" s="4">
        <v>0.23680555555555555</v>
      </c>
      <c r="H152" s="1" t="s">
        <v>297</v>
      </c>
      <c r="I152" s="1" t="s">
        <v>30</v>
      </c>
      <c r="J152" s="4">
        <v>0.5201388888888889</v>
      </c>
      <c r="K152" s="1" t="s">
        <v>215</v>
      </c>
      <c r="L152" s="1" t="s">
        <v>28</v>
      </c>
      <c r="M152" s="4">
        <v>0.7819444444444444</v>
      </c>
      <c r="N152" s="1" t="s">
        <v>183</v>
      </c>
      <c r="R152" s="1">
        <f t="shared" si="1"/>
        <v>140</v>
      </c>
      <c r="S152" s="1">
        <f t="shared" si="2"/>
        <v>32</v>
      </c>
      <c r="T152" s="5">
        <f t="shared" si="3"/>
        <v>140</v>
      </c>
      <c r="U152" s="5" t="s">
        <v>47</v>
      </c>
    </row>
    <row r="153">
      <c r="A153" s="1" t="s">
        <v>474</v>
      </c>
      <c r="B153" s="2">
        <v>1.0</v>
      </c>
      <c r="C153" s="1" t="s">
        <v>25</v>
      </c>
      <c r="D153" s="6"/>
      <c r="E153" s="3"/>
      <c r="F153" s="1" t="s">
        <v>30</v>
      </c>
      <c r="G153" s="4">
        <v>0.0020833333333333333</v>
      </c>
      <c r="H153" s="1" t="s">
        <v>191</v>
      </c>
      <c r="I153" s="1" t="s">
        <v>28</v>
      </c>
      <c r="J153" s="4">
        <v>0.2590277777777778</v>
      </c>
      <c r="K153" s="1" t="s">
        <v>338</v>
      </c>
      <c r="L153" s="1" t="s">
        <v>30</v>
      </c>
      <c r="M153" s="4">
        <v>0.5430555555555555</v>
      </c>
      <c r="N153" s="1" t="s">
        <v>215</v>
      </c>
      <c r="O153" s="1" t="s">
        <v>28</v>
      </c>
      <c r="P153" s="4">
        <v>0.8055555555555556</v>
      </c>
      <c r="Q153" s="1" t="s">
        <v>190</v>
      </c>
      <c r="R153" s="1">
        <f t="shared" si="1"/>
        <v>105</v>
      </c>
      <c r="S153" s="1">
        <f t="shared" si="2"/>
        <v>103</v>
      </c>
      <c r="T153" s="5">
        <f t="shared" si="3"/>
        <v>105</v>
      </c>
      <c r="U153" s="5" t="s">
        <v>90</v>
      </c>
    </row>
    <row r="154">
      <c r="A154" s="1" t="s">
        <v>474</v>
      </c>
      <c r="B154" s="2">
        <v>2.0</v>
      </c>
      <c r="C154" s="1" t="s">
        <v>75</v>
      </c>
      <c r="D154" s="6"/>
      <c r="E154" s="3"/>
      <c r="F154" s="1" t="s">
        <v>30</v>
      </c>
      <c r="G154" s="4">
        <v>0.024305555555555556</v>
      </c>
      <c r="H154" s="1" t="s">
        <v>191</v>
      </c>
      <c r="I154" s="1" t="s">
        <v>28</v>
      </c>
      <c r="J154" s="4">
        <v>0.2826388888888889</v>
      </c>
      <c r="K154" s="1" t="s">
        <v>412</v>
      </c>
      <c r="L154" s="1" t="s">
        <v>30</v>
      </c>
      <c r="M154" s="4">
        <v>0.5659722222222222</v>
      </c>
      <c r="N154" s="1" t="s">
        <v>185</v>
      </c>
      <c r="O154" s="1" t="s">
        <v>28</v>
      </c>
      <c r="P154" s="4">
        <v>0.8284722222222223</v>
      </c>
      <c r="Q154" s="1" t="s">
        <v>181</v>
      </c>
      <c r="R154" s="1">
        <f t="shared" si="1"/>
        <v>106</v>
      </c>
      <c r="S154" s="1">
        <f t="shared" si="2"/>
        <v>99</v>
      </c>
      <c r="T154" s="5">
        <f t="shared" si="3"/>
        <v>106</v>
      </c>
      <c r="U154" s="5" t="s">
        <v>90</v>
      </c>
    </row>
    <row r="155">
      <c r="A155" s="1" t="s">
        <v>474</v>
      </c>
      <c r="B155" s="2">
        <v>3.0</v>
      </c>
      <c r="C155" s="1" t="s">
        <v>86</v>
      </c>
      <c r="D155" s="6"/>
      <c r="E155" s="3"/>
      <c r="F155" s="1" t="s">
        <v>30</v>
      </c>
      <c r="G155" s="4">
        <v>0.04722222222222222</v>
      </c>
      <c r="H155" s="1" t="s">
        <v>191</v>
      </c>
      <c r="I155" s="1" t="s">
        <v>28</v>
      </c>
      <c r="J155" s="4">
        <v>0.3055555555555556</v>
      </c>
      <c r="K155" s="1" t="s">
        <v>338</v>
      </c>
      <c r="L155" s="1" t="s">
        <v>30</v>
      </c>
      <c r="M155" s="4">
        <v>0.5895833333333333</v>
      </c>
      <c r="N155" s="1" t="s">
        <v>274</v>
      </c>
      <c r="O155" s="1" t="s">
        <v>28</v>
      </c>
      <c r="P155" s="4">
        <v>0.8520833333333333</v>
      </c>
      <c r="Q155" s="1" t="s">
        <v>471</v>
      </c>
      <c r="R155" s="1">
        <f t="shared" si="1"/>
        <v>105</v>
      </c>
      <c r="S155" s="1">
        <f t="shared" si="2"/>
        <v>92</v>
      </c>
      <c r="T155" s="5">
        <f t="shared" si="3"/>
        <v>105</v>
      </c>
      <c r="U155" s="5" t="s">
        <v>90</v>
      </c>
    </row>
    <row r="156">
      <c r="A156" s="1" t="s">
        <v>474</v>
      </c>
      <c r="B156" s="2">
        <v>4.0</v>
      </c>
      <c r="C156" s="1" t="s">
        <v>26</v>
      </c>
      <c r="D156" s="6"/>
      <c r="E156" s="3"/>
      <c r="F156" s="1" t="s">
        <v>30</v>
      </c>
      <c r="G156" s="4">
        <v>0.07152777777777777</v>
      </c>
      <c r="H156" s="1" t="s">
        <v>328</v>
      </c>
      <c r="I156" s="1" t="s">
        <v>28</v>
      </c>
      <c r="J156" s="4">
        <v>0.33055555555555555</v>
      </c>
      <c r="K156" s="1" t="s">
        <v>385</v>
      </c>
      <c r="L156" s="1" t="s">
        <v>30</v>
      </c>
      <c r="M156" s="4">
        <v>0.6152777777777778</v>
      </c>
      <c r="N156" s="1" t="s">
        <v>110</v>
      </c>
      <c r="O156" s="1" t="s">
        <v>28</v>
      </c>
      <c r="P156" s="4">
        <v>0.8770833333333333</v>
      </c>
      <c r="Q156" s="1" t="s">
        <v>123</v>
      </c>
      <c r="R156" s="1">
        <f t="shared" si="1"/>
        <v>100</v>
      </c>
      <c r="S156" s="1">
        <f t="shared" si="2"/>
        <v>84</v>
      </c>
      <c r="T156" s="5">
        <f t="shared" si="3"/>
        <v>100</v>
      </c>
      <c r="U156" s="5" t="s">
        <v>90</v>
      </c>
    </row>
    <row r="157">
      <c r="A157" s="1" t="s">
        <v>474</v>
      </c>
      <c r="B157" s="2">
        <v>5.0</v>
      </c>
      <c r="C157" s="1" t="s">
        <v>34</v>
      </c>
      <c r="D157" s="6"/>
      <c r="E157" s="3"/>
      <c r="F157" s="1" t="s">
        <v>30</v>
      </c>
      <c r="G157" s="4">
        <v>0.09791666666666667</v>
      </c>
      <c r="H157" s="1" t="s">
        <v>391</v>
      </c>
      <c r="I157" s="1" t="s">
        <v>28</v>
      </c>
      <c r="J157" s="4">
        <v>0.35694444444444445</v>
      </c>
      <c r="K157" s="1" t="s">
        <v>78</v>
      </c>
      <c r="L157" s="1" t="s">
        <v>30</v>
      </c>
      <c r="M157" s="4">
        <v>0.6423611111111112</v>
      </c>
      <c r="N157" s="1" t="s">
        <v>469</v>
      </c>
      <c r="O157" s="1" t="s">
        <v>28</v>
      </c>
      <c r="P157" s="4">
        <v>0.9055555555555556</v>
      </c>
      <c r="Q157" s="1" t="s">
        <v>256</v>
      </c>
      <c r="R157" s="1">
        <f t="shared" si="1"/>
        <v>92</v>
      </c>
      <c r="S157" s="1">
        <f t="shared" si="2"/>
        <v>76</v>
      </c>
      <c r="T157" s="5">
        <f t="shared" si="3"/>
        <v>92</v>
      </c>
      <c r="U157" s="5" t="s">
        <v>90</v>
      </c>
    </row>
    <row r="158">
      <c r="A158" s="1" t="s">
        <v>474</v>
      </c>
      <c r="B158" s="2">
        <v>6.0</v>
      </c>
      <c r="C158" s="1" t="s">
        <v>41</v>
      </c>
      <c r="D158" s="1" t="s">
        <v>42</v>
      </c>
      <c r="E158" s="3"/>
      <c r="F158" s="1" t="s">
        <v>30</v>
      </c>
      <c r="G158" s="4">
        <v>0.1284722222222222</v>
      </c>
      <c r="H158" s="1" t="s">
        <v>248</v>
      </c>
      <c r="I158" s="1" t="s">
        <v>28</v>
      </c>
      <c r="J158" s="4">
        <v>0.3875</v>
      </c>
      <c r="K158" s="1" t="s">
        <v>388</v>
      </c>
      <c r="L158" s="1" t="s">
        <v>30</v>
      </c>
      <c r="M158" s="4">
        <v>0.6736111111111112</v>
      </c>
      <c r="N158" s="1" t="s">
        <v>200</v>
      </c>
      <c r="O158" s="1" t="s">
        <v>28</v>
      </c>
      <c r="P158" s="4">
        <v>0.9402777777777778</v>
      </c>
      <c r="Q158" s="1" t="s">
        <v>256</v>
      </c>
      <c r="R158" s="1">
        <f t="shared" si="1"/>
        <v>82</v>
      </c>
      <c r="S158" s="1">
        <f t="shared" si="2"/>
        <v>70</v>
      </c>
      <c r="T158" s="5">
        <f t="shared" si="3"/>
        <v>82</v>
      </c>
      <c r="U158" s="5" t="s">
        <v>39</v>
      </c>
    </row>
    <row r="159">
      <c r="A159" s="1" t="s">
        <v>474</v>
      </c>
      <c r="B159" s="2">
        <v>7.0</v>
      </c>
      <c r="C159" s="1" t="s">
        <v>55</v>
      </c>
      <c r="D159" s="1" t="s">
        <v>42</v>
      </c>
      <c r="E159" s="3"/>
      <c r="F159" s="1" t="s">
        <v>30</v>
      </c>
      <c r="G159" s="4">
        <v>0.16597222222222222</v>
      </c>
      <c r="H159" s="1" t="s">
        <v>291</v>
      </c>
      <c r="I159" s="1" t="s">
        <v>28</v>
      </c>
      <c r="J159" s="4">
        <v>0.42291666666666666</v>
      </c>
      <c r="K159" s="1" t="s">
        <v>89</v>
      </c>
      <c r="L159" s="1" t="s">
        <v>30</v>
      </c>
      <c r="M159" s="4">
        <v>0.7097222222222223</v>
      </c>
      <c r="N159" s="1" t="s">
        <v>333</v>
      </c>
      <c r="O159" s="1" t="s">
        <v>28</v>
      </c>
      <c r="P159" s="4">
        <v>0.9805555555555555</v>
      </c>
      <c r="Q159" s="1" t="s">
        <v>471</v>
      </c>
      <c r="R159" s="1">
        <f t="shared" si="1"/>
        <v>71</v>
      </c>
      <c r="S159" s="1">
        <f t="shared" si="2"/>
        <v>67</v>
      </c>
      <c r="T159" s="5">
        <f t="shared" si="3"/>
        <v>71</v>
      </c>
      <c r="U159" s="5" t="s">
        <v>39</v>
      </c>
    </row>
    <row r="160">
      <c r="A160" s="1" t="s">
        <v>474</v>
      </c>
      <c r="B160" s="2">
        <v>8.0</v>
      </c>
      <c r="C160" s="1" t="s">
        <v>25</v>
      </c>
      <c r="D160" s="6"/>
      <c r="E160" s="7" t="s">
        <v>107</v>
      </c>
      <c r="F160" s="1" t="s">
        <v>30</v>
      </c>
      <c r="G160" s="4">
        <v>0.21388888888888888</v>
      </c>
      <c r="H160" s="1" t="s">
        <v>355</v>
      </c>
      <c r="I160" s="1" t="s">
        <v>28</v>
      </c>
      <c r="J160" s="4">
        <v>0.4666666666666667</v>
      </c>
      <c r="K160" s="1" t="s">
        <v>472</v>
      </c>
      <c r="L160" s="1" t="s">
        <v>30</v>
      </c>
      <c r="M160" s="4">
        <v>0.7506944444444444</v>
      </c>
      <c r="N160" s="1" t="s">
        <v>122</v>
      </c>
      <c r="R160" s="1">
        <f t="shared" si="1"/>
        <v>64</v>
      </c>
      <c r="S160" s="1">
        <f t="shared" si="2"/>
        <v>37</v>
      </c>
      <c r="T160" s="5">
        <f t="shared" si="3"/>
        <v>64</v>
      </c>
      <c r="U160" s="5" t="s">
        <v>39</v>
      </c>
    </row>
    <row r="161">
      <c r="A161" s="1" t="s">
        <v>474</v>
      </c>
      <c r="B161" s="2">
        <v>9.0</v>
      </c>
      <c r="C161" s="1" t="s">
        <v>75</v>
      </c>
      <c r="D161" s="6"/>
      <c r="E161" s="3"/>
      <c r="F161" s="1" t="s">
        <v>28</v>
      </c>
      <c r="G161" s="4">
        <v>0.022222222222222223</v>
      </c>
      <c r="H161" s="1" t="s">
        <v>190</v>
      </c>
      <c r="I161" s="1" t="s">
        <v>30</v>
      </c>
      <c r="J161" s="4">
        <v>0.26875</v>
      </c>
      <c r="K161" s="1" t="s">
        <v>422</v>
      </c>
      <c r="L161" s="1" t="s">
        <v>28</v>
      </c>
      <c r="M161" s="4">
        <v>0.5180555555555556</v>
      </c>
      <c r="N161" s="1" t="s">
        <v>262</v>
      </c>
      <c r="O161" s="1" t="s">
        <v>30</v>
      </c>
      <c r="P161" s="4">
        <v>0.7923611111111111</v>
      </c>
      <c r="Q161" s="1" t="s">
        <v>328</v>
      </c>
      <c r="R161" s="1">
        <f t="shared" si="1"/>
        <v>54</v>
      </c>
      <c r="S161" s="1">
        <f t="shared" si="2"/>
        <v>72</v>
      </c>
      <c r="T161" s="5">
        <f t="shared" si="3"/>
        <v>72</v>
      </c>
      <c r="U161" s="5" t="s">
        <v>39</v>
      </c>
    </row>
    <row r="162">
      <c r="A162" s="1" t="s">
        <v>474</v>
      </c>
      <c r="B162" s="2">
        <v>10.0</v>
      </c>
      <c r="C162" s="1" t="s">
        <v>86</v>
      </c>
      <c r="D162" s="6"/>
      <c r="E162" s="3"/>
      <c r="F162" s="1" t="s">
        <v>28</v>
      </c>
      <c r="G162" s="4">
        <v>0.06041666666666667</v>
      </c>
      <c r="H162" s="1" t="s">
        <v>192</v>
      </c>
      <c r="I162" s="1" t="s">
        <v>30</v>
      </c>
      <c r="J162" s="4">
        <v>0.32222222222222224</v>
      </c>
      <c r="K162" s="1" t="s">
        <v>250</v>
      </c>
      <c r="L162" s="1" t="s">
        <v>28</v>
      </c>
      <c r="M162" s="4">
        <v>0.5715277777777777</v>
      </c>
      <c r="N162" s="1" t="s">
        <v>220</v>
      </c>
      <c r="O162" s="1" t="s">
        <v>30</v>
      </c>
      <c r="P162" s="4">
        <v>0.8319444444444445</v>
      </c>
      <c r="Q162" s="1" t="s">
        <v>250</v>
      </c>
      <c r="R162" s="1">
        <f t="shared" si="1"/>
        <v>72</v>
      </c>
      <c r="S162" s="1">
        <f t="shared" si="2"/>
        <v>70</v>
      </c>
      <c r="T162" s="5">
        <f t="shared" si="3"/>
        <v>72</v>
      </c>
      <c r="U162" s="5" t="s">
        <v>39</v>
      </c>
    </row>
    <row r="163">
      <c r="A163" s="1" t="s">
        <v>474</v>
      </c>
      <c r="B163" s="2">
        <v>11.0</v>
      </c>
      <c r="C163" s="1" t="s">
        <v>26</v>
      </c>
      <c r="D163" s="6"/>
      <c r="E163" s="3"/>
      <c r="F163" s="1" t="s">
        <v>28</v>
      </c>
      <c r="G163" s="4">
        <v>0.09513888888888888</v>
      </c>
      <c r="H163" s="1" t="s">
        <v>89</v>
      </c>
      <c r="I163" s="1" t="s">
        <v>30</v>
      </c>
      <c r="J163" s="4">
        <v>0.36944444444444446</v>
      </c>
      <c r="K163" s="1" t="s">
        <v>112</v>
      </c>
      <c r="L163" s="1" t="s">
        <v>28</v>
      </c>
      <c r="M163" s="4">
        <v>0.6229166666666667</v>
      </c>
      <c r="N163" s="1" t="s">
        <v>262</v>
      </c>
      <c r="O163" s="1" t="s">
        <v>30</v>
      </c>
      <c r="P163" s="4">
        <v>0.8680555555555556</v>
      </c>
      <c r="Q163" s="1" t="s">
        <v>295</v>
      </c>
      <c r="R163" s="1">
        <f t="shared" si="1"/>
        <v>96</v>
      </c>
      <c r="S163" s="1">
        <f t="shared" si="2"/>
        <v>70</v>
      </c>
      <c r="T163" s="5">
        <f t="shared" si="3"/>
        <v>96</v>
      </c>
      <c r="U163" s="5" t="s">
        <v>90</v>
      </c>
    </row>
    <row r="164">
      <c r="A164" s="1" t="s">
        <v>474</v>
      </c>
      <c r="B164" s="2">
        <v>12.0</v>
      </c>
      <c r="C164" s="1" t="s">
        <v>34</v>
      </c>
      <c r="D164" s="6"/>
      <c r="E164" s="3"/>
      <c r="F164" s="1" t="s">
        <v>28</v>
      </c>
      <c r="G164" s="4">
        <v>0.12916666666666668</v>
      </c>
      <c r="H164" s="1" t="s">
        <v>158</v>
      </c>
      <c r="I164" s="1" t="s">
        <v>30</v>
      </c>
      <c r="J164" s="4">
        <v>0.41041666666666665</v>
      </c>
      <c r="K164" s="1" t="s">
        <v>88</v>
      </c>
      <c r="L164" s="1" t="s">
        <v>28</v>
      </c>
      <c r="M164" s="4">
        <v>0.66875</v>
      </c>
      <c r="N164" s="1" t="s">
        <v>131</v>
      </c>
      <c r="O164" s="1" t="s">
        <v>30</v>
      </c>
      <c r="P164" s="4">
        <v>0.9034722222222222</v>
      </c>
      <c r="Q164" s="1" t="s">
        <v>250</v>
      </c>
      <c r="R164" s="1">
        <f t="shared" si="1"/>
        <v>123</v>
      </c>
      <c r="S164" s="1">
        <f t="shared" si="2"/>
        <v>73</v>
      </c>
      <c r="T164" s="5">
        <f t="shared" si="3"/>
        <v>123</v>
      </c>
      <c r="U164" s="5" t="s">
        <v>90</v>
      </c>
    </row>
    <row r="165">
      <c r="A165" s="1" t="s">
        <v>474</v>
      </c>
      <c r="B165" s="2">
        <v>13.0</v>
      </c>
      <c r="C165" s="1" t="s">
        <v>41</v>
      </c>
      <c r="D165" s="1" t="s">
        <v>42</v>
      </c>
      <c r="E165" s="3"/>
      <c r="F165" s="1" t="s">
        <v>28</v>
      </c>
      <c r="G165" s="4">
        <v>0.1638888888888889</v>
      </c>
      <c r="H165" s="1" t="s">
        <v>205</v>
      </c>
      <c r="I165" s="1" t="s">
        <v>30</v>
      </c>
      <c r="J165" s="4">
        <v>0.4486111111111111</v>
      </c>
      <c r="K165" s="1" t="s">
        <v>386</v>
      </c>
      <c r="L165" s="1" t="s">
        <v>28</v>
      </c>
      <c r="M165" s="4">
        <v>0.7097222222222223</v>
      </c>
      <c r="N165" s="1" t="s">
        <v>251</v>
      </c>
      <c r="O165" s="1" t="s">
        <v>30</v>
      </c>
      <c r="P165" s="4">
        <v>0.9368055555555556</v>
      </c>
      <c r="Q165" s="1" t="s">
        <v>328</v>
      </c>
      <c r="R165" s="1">
        <f t="shared" si="1"/>
        <v>149</v>
      </c>
      <c r="S165" s="1">
        <f t="shared" si="2"/>
        <v>76</v>
      </c>
      <c r="T165" s="5">
        <f t="shared" si="3"/>
        <v>149</v>
      </c>
      <c r="U165" s="5" t="s">
        <v>47</v>
      </c>
    </row>
    <row r="166">
      <c r="A166" s="1" t="s">
        <v>474</v>
      </c>
      <c r="B166" s="2">
        <v>14.0</v>
      </c>
      <c r="C166" s="1" t="s">
        <v>55</v>
      </c>
      <c r="D166" s="1" t="s">
        <v>42</v>
      </c>
      <c r="E166" s="3"/>
      <c r="F166" s="1" t="s">
        <v>28</v>
      </c>
      <c r="G166" s="4">
        <v>0.1986111111111111</v>
      </c>
      <c r="H166" s="1" t="s">
        <v>473</v>
      </c>
      <c r="I166" s="1" t="s">
        <v>30</v>
      </c>
      <c r="J166" s="4">
        <v>0.4861111111111111</v>
      </c>
      <c r="K166" s="1" t="s">
        <v>132</v>
      </c>
      <c r="L166" s="1" t="s">
        <v>28</v>
      </c>
      <c r="M166" s="4">
        <v>0.7472222222222222</v>
      </c>
      <c r="N166" s="1" t="s">
        <v>251</v>
      </c>
      <c r="O166" s="1" t="s">
        <v>30</v>
      </c>
      <c r="P166" s="4">
        <v>0.9701388888888889</v>
      </c>
      <c r="Q166" s="1" t="s">
        <v>191</v>
      </c>
      <c r="R166" s="1">
        <f t="shared" si="1"/>
        <v>170</v>
      </c>
      <c r="S166" s="1">
        <f t="shared" si="2"/>
        <v>78</v>
      </c>
      <c r="T166" s="5">
        <f t="shared" si="3"/>
        <v>170</v>
      </c>
      <c r="U166" s="5" t="s">
        <v>47</v>
      </c>
    </row>
    <row r="167">
      <c r="A167" s="1" t="s">
        <v>474</v>
      </c>
      <c r="B167" s="2">
        <v>15.0</v>
      </c>
      <c r="C167" s="1" t="s">
        <v>25</v>
      </c>
      <c r="D167" s="6"/>
      <c r="E167" s="7" t="s">
        <v>143</v>
      </c>
      <c r="F167" s="1" t="s">
        <v>28</v>
      </c>
      <c r="G167" s="4">
        <v>0.23333333333333334</v>
      </c>
      <c r="H167" s="1" t="s">
        <v>464</v>
      </c>
      <c r="I167" s="1" t="s">
        <v>30</v>
      </c>
      <c r="J167" s="4">
        <v>0.5222222222222223</v>
      </c>
      <c r="K167" s="1" t="s">
        <v>475</v>
      </c>
      <c r="L167" s="1" t="s">
        <v>28</v>
      </c>
      <c r="M167" s="4">
        <v>0.7833333333333333</v>
      </c>
      <c r="N167" s="1" t="s">
        <v>251</v>
      </c>
      <c r="R167" s="1">
        <f t="shared" si="1"/>
        <v>183</v>
      </c>
      <c r="S167" s="1">
        <f t="shared" si="2"/>
        <v>42</v>
      </c>
      <c r="T167" s="5">
        <f t="shared" si="3"/>
        <v>183</v>
      </c>
      <c r="U167" s="5" t="s">
        <v>47</v>
      </c>
    </row>
    <row r="168">
      <c r="A168" s="1" t="s">
        <v>474</v>
      </c>
      <c r="B168" s="2">
        <v>16.0</v>
      </c>
      <c r="C168" s="1" t="s">
        <v>75</v>
      </c>
      <c r="D168" s="6"/>
      <c r="E168" s="3"/>
      <c r="F168" s="1" t="s">
        <v>30</v>
      </c>
      <c r="G168" s="4">
        <v>0.003472222222222222</v>
      </c>
      <c r="H168" s="1" t="s">
        <v>326</v>
      </c>
      <c r="I168" s="1" t="s">
        <v>28</v>
      </c>
      <c r="J168" s="4">
        <v>0.26805555555555555</v>
      </c>
      <c r="K168" s="1" t="s">
        <v>476</v>
      </c>
      <c r="L168" s="1" t="s">
        <v>30</v>
      </c>
      <c r="M168" s="4">
        <v>0.5583333333333333</v>
      </c>
      <c r="N168" s="1" t="s">
        <v>475</v>
      </c>
      <c r="O168" s="1" t="s">
        <v>28</v>
      </c>
      <c r="P168" s="4">
        <v>0.8173611111111111</v>
      </c>
      <c r="Q168" s="1" t="s">
        <v>131</v>
      </c>
      <c r="R168" s="1">
        <f t="shared" si="1"/>
        <v>135</v>
      </c>
      <c r="S168" s="1">
        <f t="shared" si="2"/>
        <v>131</v>
      </c>
      <c r="T168" s="5">
        <f t="shared" si="3"/>
        <v>135</v>
      </c>
      <c r="U168" s="5" t="s">
        <v>47</v>
      </c>
    </row>
    <row r="169">
      <c r="A169" s="1" t="s">
        <v>474</v>
      </c>
      <c r="B169" s="2">
        <v>17.0</v>
      </c>
      <c r="C169" s="1" t="s">
        <v>86</v>
      </c>
      <c r="D169" s="6"/>
      <c r="E169" s="3"/>
      <c r="F169" s="1" t="s">
        <v>30</v>
      </c>
      <c r="G169" s="4">
        <v>0.0375</v>
      </c>
      <c r="H169" s="1" t="s">
        <v>120</v>
      </c>
      <c r="I169" s="1" t="s">
        <v>28</v>
      </c>
      <c r="J169" s="4">
        <v>0.30277777777777776</v>
      </c>
      <c r="K169" s="1" t="s">
        <v>477</v>
      </c>
      <c r="L169" s="1" t="s">
        <v>30</v>
      </c>
      <c r="M169" s="4">
        <v>0.59375</v>
      </c>
      <c r="N169" s="1" t="s">
        <v>300</v>
      </c>
      <c r="O169" s="1" t="s">
        <v>28</v>
      </c>
      <c r="P169" s="4">
        <v>0.8506944444444444</v>
      </c>
      <c r="Q169" s="1" t="s">
        <v>262</v>
      </c>
      <c r="R169" s="1">
        <f t="shared" si="1"/>
        <v>135</v>
      </c>
      <c r="S169" s="1">
        <f t="shared" si="2"/>
        <v>123</v>
      </c>
      <c r="T169" s="5">
        <f t="shared" si="3"/>
        <v>135</v>
      </c>
      <c r="U169" s="5" t="s">
        <v>47</v>
      </c>
    </row>
    <row r="170">
      <c r="A170" s="1" t="s">
        <v>474</v>
      </c>
      <c r="B170" s="2">
        <v>18.0</v>
      </c>
      <c r="C170" s="1" t="s">
        <v>26</v>
      </c>
      <c r="D170" s="6"/>
      <c r="E170" s="3"/>
      <c r="F170" s="1" t="s">
        <v>30</v>
      </c>
      <c r="G170" s="4">
        <v>0.07291666666666667</v>
      </c>
      <c r="H170" s="1" t="s">
        <v>326</v>
      </c>
      <c r="I170" s="1" t="s">
        <v>28</v>
      </c>
      <c r="J170" s="4">
        <v>0.3368055555555556</v>
      </c>
      <c r="K170" s="1" t="s">
        <v>478</v>
      </c>
      <c r="L170" s="1" t="s">
        <v>30</v>
      </c>
      <c r="M170" s="4">
        <v>0.6284722222222222</v>
      </c>
      <c r="N170" s="1" t="s">
        <v>386</v>
      </c>
      <c r="O170" s="1" t="s">
        <v>28</v>
      </c>
      <c r="P170" s="4">
        <v>0.8833333333333333</v>
      </c>
      <c r="Q170" s="1" t="s">
        <v>220</v>
      </c>
      <c r="R170" s="1">
        <f t="shared" si="1"/>
        <v>129</v>
      </c>
      <c r="S170" s="1">
        <f t="shared" si="2"/>
        <v>113</v>
      </c>
      <c r="T170" s="5">
        <f t="shared" si="3"/>
        <v>129</v>
      </c>
      <c r="U170" s="5" t="s">
        <v>47</v>
      </c>
    </row>
    <row r="171">
      <c r="A171" s="1" t="s">
        <v>474</v>
      </c>
      <c r="B171" s="2">
        <v>19.0</v>
      </c>
      <c r="C171" s="1" t="s">
        <v>34</v>
      </c>
      <c r="D171" s="1" t="s">
        <v>479</v>
      </c>
      <c r="E171" s="3"/>
      <c r="F171" s="1" t="s">
        <v>30</v>
      </c>
      <c r="G171" s="4">
        <v>0.10972222222222222</v>
      </c>
      <c r="H171" s="1" t="s">
        <v>191</v>
      </c>
      <c r="I171" s="1" t="s">
        <v>28</v>
      </c>
      <c r="J171" s="4">
        <v>0.37222222222222223</v>
      </c>
      <c r="K171" s="1" t="s">
        <v>419</v>
      </c>
      <c r="L171" s="1" t="s">
        <v>30</v>
      </c>
      <c r="M171" s="4">
        <v>0.6625</v>
      </c>
      <c r="N171" s="1" t="s">
        <v>313</v>
      </c>
      <c r="O171" s="1" t="s">
        <v>28</v>
      </c>
      <c r="P171" s="4">
        <v>0.9166666666666666</v>
      </c>
      <c r="Q171" s="1" t="s">
        <v>357</v>
      </c>
      <c r="R171" s="1">
        <f t="shared" si="1"/>
        <v>116</v>
      </c>
      <c r="S171" s="1">
        <f t="shared" si="2"/>
        <v>100</v>
      </c>
      <c r="T171" s="5">
        <f t="shared" si="3"/>
        <v>116</v>
      </c>
      <c r="U171" s="5" t="s">
        <v>90</v>
      </c>
    </row>
    <row r="172">
      <c r="A172" s="1" t="s">
        <v>474</v>
      </c>
      <c r="B172" s="2">
        <v>20.0</v>
      </c>
      <c r="C172" s="1" t="s">
        <v>41</v>
      </c>
      <c r="D172" s="1" t="s">
        <v>42</v>
      </c>
      <c r="E172" s="3"/>
      <c r="F172" s="1" t="s">
        <v>30</v>
      </c>
      <c r="G172" s="4">
        <v>0.14930555555555555</v>
      </c>
      <c r="H172" s="1" t="s">
        <v>250</v>
      </c>
      <c r="I172" s="1" t="s">
        <v>28</v>
      </c>
      <c r="J172" s="4">
        <v>0.40902777777777777</v>
      </c>
      <c r="K172" s="1" t="s">
        <v>385</v>
      </c>
      <c r="L172" s="1" t="s">
        <v>30</v>
      </c>
      <c r="M172" s="4">
        <v>0.6951388888888889</v>
      </c>
      <c r="N172" s="1" t="s">
        <v>114</v>
      </c>
      <c r="O172" s="1" t="s">
        <v>28</v>
      </c>
      <c r="P172" s="4">
        <v>0.9506944444444444</v>
      </c>
      <c r="Q172" s="1" t="s">
        <v>402</v>
      </c>
      <c r="R172" s="1">
        <f t="shared" si="1"/>
        <v>99</v>
      </c>
      <c r="S172" s="1">
        <f t="shared" si="2"/>
        <v>86</v>
      </c>
      <c r="T172" s="5">
        <f t="shared" si="3"/>
        <v>99</v>
      </c>
      <c r="U172" s="5" t="s">
        <v>90</v>
      </c>
    </row>
    <row r="173">
      <c r="A173" s="1" t="s">
        <v>474</v>
      </c>
      <c r="B173" s="2">
        <v>21.0</v>
      </c>
      <c r="C173" s="1" t="s">
        <v>55</v>
      </c>
      <c r="D173" s="1" t="s">
        <v>42</v>
      </c>
      <c r="E173" s="3"/>
      <c r="F173" s="1" t="s">
        <v>30</v>
      </c>
      <c r="G173" s="4">
        <v>0.19236111111111112</v>
      </c>
      <c r="H173" s="1" t="s">
        <v>480</v>
      </c>
      <c r="I173" s="1" t="s">
        <v>28</v>
      </c>
      <c r="J173" s="4">
        <v>0.4486111111111111</v>
      </c>
      <c r="K173" s="1" t="s">
        <v>307</v>
      </c>
      <c r="L173" s="1" t="s">
        <v>30</v>
      </c>
      <c r="M173" s="4">
        <v>0.7277777777777777</v>
      </c>
      <c r="N173" s="1" t="s">
        <v>120</v>
      </c>
      <c r="O173" s="1" t="s">
        <v>28</v>
      </c>
      <c r="P173" s="4">
        <v>0.9868055555555556</v>
      </c>
      <c r="Q173" s="1" t="s">
        <v>357</v>
      </c>
      <c r="R173" s="1">
        <f t="shared" si="1"/>
        <v>80</v>
      </c>
      <c r="S173" s="1">
        <f t="shared" si="2"/>
        <v>75</v>
      </c>
      <c r="T173" s="5">
        <f t="shared" si="3"/>
        <v>80</v>
      </c>
      <c r="U173" s="5" t="s">
        <v>39</v>
      </c>
    </row>
    <row r="174">
      <c r="A174" s="1" t="s">
        <v>474</v>
      </c>
      <c r="B174" s="2">
        <v>22.0</v>
      </c>
      <c r="C174" s="1" t="s">
        <v>25</v>
      </c>
      <c r="D174" s="6"/>
      <c r="E174" s="7" t="s">
        <v>184</v>
      </c>
      <c r="F174" s="1" t="s">
        <v>30</v>
      </c>
      <c r="G174" s="4">
        <v>0.24097222222222223</v>
      </c>
      <c r="H174" s="1" t="s">
        <v>248</v>
      </c>
      <c r="I174" s="1" t="s">
        <v>28</v>
      </c>
      <c r="J174" s="4">
        <v>0.49444444444444446</v>
      </c>
      <c r="K174" s="1" t="s">
        <v>220</v>
      </c>
      <c r="L174" s="1" t="s">
        <v>30</v>
      </c>
      <c r="M174" s="4">
        <v>0.7618055555555555</v>
      </c>
      <c r="N174" s="1" t="s">
        <v>480</v>
      </c>
      <c r="R174" s="1">
        <f t="shared" si="1"/>
        <v>63</v>
      </c>
      <c r="S174" s="1">
        <f t="shared" si="2"/>
        <v>29</v>
      </c>
      <c r="T174" s="5">
        <f t="shared" si="3"/>
        <v>63</v>
      </c>
      <c r="U174" s="5" t="s">
        <v>39</v>
      </c>
    </row>
    <row r="175">
      <c r="A175" s="1" t="s">
        <v>474</v>
      </c>
      <c r="B175" s="2">
        <v>23.0</v>
      </c>
      <c r="C175" s="1" t="s">
        <v>75</v>
      </c>
      <c r="D175" s="6"/>
      <c r="E175" s="3"/>
      <c r="F175" s="1" t="s">
        <v>28</v>
      </c>
      <c r="G175" s="4">
        <v>0.024305555555555556</v>
      </c>
      <c r="H175" s="1" t="s">
        <v>262</v>
      </c>
      <c r="I175" s="1" t="s">
        <v>30</v>
      </c>
      <c r="J175" s="4">
        <v>0.29583333333333334</v>
      </c>
      <c r="K175" s="1" t="s">
        <v>248</v>
      </c>
      <c r="L175" s="1" t="s">
        <v>28</v>
      </c>
      <c r="M175" s="4">
        <v>0.5465277777777777</v>
      </c>
      <c r="N175" s="1" t="s">
        <v>189</v>
      </c>
      <c r="O175" s="1" t="s">
        <v>30</v>
      </c>
      <c r="P175" s="4">
        <v>0.7979166666666667</v>
      </c>
      <c r="Q175" s="1" t="s">
        <v>291</v>
      </c>
      <c r="R175" s="1">
        <f t="shared" si="1"/>
        <v>64</v>
      </c>
      <c r="S175" s="1">
        <f t="shared" si="2"/>
        <v>49</v>
      </c>
      <c r="T175" s="5">
        <f t="shared" si="3"/>
        <v>64</v>
      </c>
      <c r="U175" s="5" t="s">
        <v>39</v>
      </c>
    </row>
    <row r="176">
      <c r="A176" s="1" t="s">
        <v>474</v>
      </c>
      <c r="B176" s="2">
        <v>24.0</v>
      </c>
      <c r="C176" s="1" t="s">
        <v>86</v>
      </c>
      <c r="D176" s="6"/>
      <c r="E176" s="3"/>
      <c r="F176" s="1" t="s">
        <v>28</v>
      </c>
      <c r="G176" s="4">
        <v>0.06319444444444444</v>
      </c>
      <c r="H176" s="1" t="s">
        <v>292</v>
      </c>
      <c r="I176" s="1" t="s">
        <v>30</v>
      </c>
      <c r="J176" s="4">
        <v>0.35208333333333336</v>
      </c>
      <c r="K176" s="1" t="s">
        <v>391</v>
      </c>
      <c r="L176" s="1" t="s">
        <v>28</v>
      </c>
      <c r="M176" s="4">
        <v>0.6034722222222222</v>
      </c>
      <c r="N176" s="1" t="s">
        <v>256</v>
      </c>
      <c r="O176" s="1" t="s">
        <v>30</v>
      </c>
      <c r="P176" s="4">
        <v>0.8361111111111111</v>
      </c>
      <c r="Q176" s="1" t="s">
        <v>235</v>
      </c>
      <c r="R176" s="1">
        <f t="shared" si="1"/>
        <v>71</v>
      </c>
      <c r="S176" s="1">
        <f t="shared" si="2"/>
        <v>40</v>
      </c>
      <c r="T176" s="5">
        <f t="shared" si="3"/>
        <v>71</v>
      </c>
      <c r="U176" s="5" t="s">
        <v>39</v>
      </c>
    </row>
    <row r="177">
      <c r="A177" s="1" t="s">
        <v>474</v>
      </c>
      <c r="B177" s="2">
        <v>25.0</v>
      </c>
      <c r="C177" s="1" t="s">
        <v>26</v>
      </c>
      <c r="D177" s="6"/>
      <c r="E177" s="3"/>
      <c r="F177" s="1" t="s">
        <v>28</v>
      </c>
      <c r="G177" s="4">
        <v>0.10208333333333333</v>
      </c>
      <c r="H177" s="1" t="s">
        <v>179</v>
      </c>
      <c r="I177" s="1" t="s">
        <v>30</v>
      </c>
      <c r="J177" s="4">
        <v>0.39861111111111114</v>
      </c>
      <c r="K177" s="1" t="s">
        <v>326</v>
      </c>
      <c r="L177" s="1" t="s">
        <v>28</v>
      </c>
      <c r="M177" s="4">
        <v>0.6541666666666667</v>
      </c>
      <c r="N177" s="1" t="s">
        <v>173</v>
      </c>
      <c r="O177" s="1" t="s">
        <v>30</v>
      </c>
      <c r="P177" s="4">
        <v>0.8736111111111111</v>
      </c>
      <c r="Q177" s="1" t="s">
        <v>235</v>
      </c>
      <c r="R177" s="1">
        <f t="shared" si="1"/>
        <v>83</v>
      </c>
      <c r="S177" s="1">
        <f t="shared" si="2"/>
        <v>39</v>
      </c>
      <c r="T177" s="5">
        <f t="shared" si="3"/>
        <v>83</v>
      </c>
      <c r="U177" s="5" t="s">
        <v>39</v>
      </c>
    </row>
    <row r="178">
      <c r="A178" s="1" t="s">
        <v>474</v>
      </c>
      <c r="B178" s="2">
        <v>26.0</v>
      </c>
      <c r="C178" s="1" t="s">
        <v>34</v>
      </c>
      <c r="D178" s="6"/>
      <c r="E178" s="3"/>
      <c r="F178" s="1" t="s">
        <v>28</v>
      </c>
      <c r="G178" s="4">
        <v>0.13819444444444445</v>
      </c>
      <c r="H178" s="1" t="s">
        <v>265</v>
      </c>
      <c r="I178" s="1" t="s">
        <v>30</v>
      </c>
      <c r="J178" s="4">
        <v>0.43472222222222223</v>
      </c>
      <c r="K178" s="1" t="s">
        <v>112</v>
      </c>
      <c r="L178" s="1" t="s">
        <v>28</v>
      </c>
      <c r="M178" s="4">
        <v>0.69375</v>
      </c>
      <c r="N178" s="1" t="s">
        <v>176</v>
      </c>
      <c r="O178" s="1" t="s">
        <v>30</v>
      </c>
      <c r="P178" s="4">
        <v>0.9076388888888889</v>
      </c>
      <c r="Q178" s="1" t="s">
        <v>481</v>
      </c>
      <c r="R178" s="1">
        <f t="shared" si="1"/>
        <v>97</v>
      </c>
      <c r="S178" s="1">
        <f t="shared" si="2"/>
        <v>43</v>
      </c>
      <c r="T178" s="5">
        <f t="shared" si="3"/>
        <v>97</v>
      </c>
      <c r="U178" s="5" t="s">
        <v>90</v>
      </c>
    </row>
    <row r="179">
      <c r="A179" s="1" t="s">
        <v>474</v>
      </c>
      <c r="B179" s="2">
        <v>27.0</v>
      </c>
      <c r="C179" s="1" t="s">
        <v>41</v>
      </c>
      <c r="D179" s="1" t="s">
        <v>42</v>
      </c>
      <c r="E179" s="3"/>
      <c r="F179" s="1" t="s">
        <v>28</v>
      </c>
      <c r="G179" s="4">
        <v>0.1701388888888889</v>
      </c>
      <c r="H179" s="1" t="s">
        <v>388</v>
      </c>
      <c r="I179" s="1" t="s">
        <v>30</v>
      </c>
      <c r="J179" s="4">
        <v>0.4638888888888889</v>
      </c>
      <c r="K179" s="1" t="s">
        <v>37</v>
      </c>
      <c r="L179" s="1" t="s">
        <v>28</v>
      </c>
      <c r="M179" s="4">
        <v>0.7243055555555555</v>
      </c>
      <c r="N179" s="1" t="s">
        <v>189</v>
      </c>
      <c r="O179" s="1" t="s">
        <v>30</v>
      </c>
      <c r="P179" s="4">
        <v>0.9381944444444444</v>
      </c>
      <c r="Q179" s="1" t="s">
        <v>291</v>
      </c>
      <c r="R179" s="1">
        <f t="shared" si="1"/>
        <v>111</v>
      </c>
      <c r="S179" s="1">
        <f t="shared" si="2"/>
        <v>49</v>
      </c>
      <c r="T179" s="5">
        <f t="shared" si="3"/>
        <v>111</v>
      </c>
      <c r="U179" s="5" t="s">
        <v>90</v>
      </c>
    </row>
    <row r="180">
      <c r="A180" s="1" t="s">
        <v>474</v>
      </c>
      <c r="B180" s="2">
        <v>28.0</v>
      </c>
      <c r="C180" s="1" t="s">
        <v>55</v>
      </c>
      <c r="D180" s="1" t="s">
        <v>42</v>
      </c>
      <c r="E180" s="3"/>
      <c r="F180" s="1" t="s">
        <v>28</v>
      </c>
      <c r="G180" s="4">
        <v>0.19930555555555557</v>
      </c>
      <c r="H180" s="1" t="s">
        <v>78</v>
      </c>
      <c r="I180" s="1" t="s">
        <v>30</v>
      </c>
      <c r="J180" s="4">
        <v>0.4888888888888889</v>
      </c>
      <c r="K180" s="1" t="s">
        <v>88</v>
      </c>
      <c r="L180" s="1" t="s">
        <v>28</v>
      </c>
      <c r="M180" s="4">
        <v>0.7506944444444444</v>
      </c>
      <c r="N180" s="1" t="s">
        <v>190</v>
      </c>
      <c r="O180" s="1" t="s">
        <v>30</v>
      </c>
      <c r="P180" s="4">
        <v>0.9652777777777778</v>
      </c>
      <c r="Q180" s="1" t="s">
        <v>248</v>
      </c>
      <c r="R180" s="1">
        <f t="shared" si="1"/>
        <v>124</v>
      </c>
      <c r="S180" s="1">
        <f t="shared" si="2"/>
        <v>56</v>
      </c>
      <c r="T180" s="5">
        <f t="shared" si="3"/>
        <v>124</v>
      </c>
      <c r="U180" s="5" t="s">
        <v>47</v>
      </c>
    </row>
    <row r="181">
      <c r="A181" s="1" t="s">
        <v>474</v>
      </c>
      <c r="B181" s="2">
        <v>29.0</v>
      </c>
      <c r="C181" s="1" t="s">
        <v>25</v>
      </c>
      <c r="D181" s="6"/>
      <c r="E181" s="3"/>
      <c r="F181" s="1" t="s">
        <v>28</v>
      </c>
      <c r="G181" s="4">
        <v>0.22569444444444445</v>
      </c>
      <c r="H181" s="1" t="s">
        <v>436</v>
      </c>
      <c r="I181" s="1" t="s">
        <v>30</v>
      </c>
      <c r="J181" s="4">
        <v>0.5131944444444444</v>
      </c>
      <c r="K181" s="1" t="s">
        <v>182</v>
      </c>
      <c r="L181" s="1" t="s">
        <v>28</v>
      </c>
      <c r="M181" s="4">
        <v>0.7743055555555556</v>
      </c>
      <c r="N181" s="1" t="s">
        <v>100</v>
      </c>
      <c r="O181" s="1" t="s">
        <v>30</v>
      </c>
      <c r="P181" s="4">
        <v>0.9909722222222223</v>
      </c>
      <c r="Q181" s="1" t="s">
        <v>391</v>
      </c>
      <c r="R181" s="1">
        <f t="shared" si="1"/>
        <v>134</v>
      </c>
      <c r="S181" s="1">
        <f t="shared" si="2"/>
        <v>63</v>
      </c>
      <c r="T181" s="5">
        <f t="shared" si="3"/>
        <v>134</v>
      </c>
      <c r="U181" s="5" t="s">
        <v>47</v>
      </c>
    </row>
    <row r="182">
      <c r="A182" s="1" t="s">
        <v>474</v>
      </c>
      <c r="B182" s="2">
        <v>30.0</v>
      </c>
      <c r="C182" s="1" t="s">
        <v>75</v>
      </c>
      <c r="D182" s="6"/>
      <c r="E182" s="7" t="s">
        <v>35</v>
      </c>
      <c r="F182" s="1" t="s">
        <v>28</v>
      </c>
      <c r="G182" s="4">
        <v>0.25069444444444444</v>
      </c>
      <c r="H182" s="1" t="s">
        <v>46</v>
      </c>
      <c r="I182" s="1" t="s">
        <v>30</v>
      </c>
      <c r="J182" s="4">
        <v>0.5361111111111111</v>
      </c>
      <c r="K182" s="1" t="s">
        <v>174</v>
      </c>
      <c r="L182" s="1" t="s">
        <v>28</v>
      </c>
      <c r="M182" s="4">
        <v>0.7972222222222223</v>
      </c>
      <c r="N182" s="1" t="s">
        <v>218</v>
      </c>
      <c r="R182" s="1">
        <f t="shared" si="1"/>
        <v>140</v>
      </c>
      <c r="S182" s="1">
        <f t="shared" si="2"/>
        <v>34</v>
      </c>
      <c r="T182" s="5">
        <f t="shared" si="3"/>
        <v>140</v>
      </c>
      <c r="U182" s="5" t="s">
        <v>47</v>
      </c>
    </row>
    <row r="183">
      <c r="A183" s="1" t="s">
        <v>485</v>
      </c>
      <c r="B183" s="2">
        <v>1.0</v>
      </c>
      <c r="C183" s="1" t="s">
        <v>86</v>
      </c>
      <c r="D183" s="6"/>
      <c r="E183" s="3"/>
      <c r="F183" s="1" t="s">
        <v>30</v>
      </c>
      <c r="G183" s="4">
        <v>0.01597222222222222</v>
      </c>
      <c r="H183" s="1" t="s">
        <v>250</v>
      </c>
      <c r="I183" s="1" t="s">
        <v>28</v>
      </c>
      <c r="J183" s="4">
        <v>0.2743055555555556</v>
      </c>
      <c r="K183" s="1" t="s">
        <v>211</v>
      </c>
      <c r="L183" s="1" t="s">
        <v>30</v>
      </c>
      <c r="M183" s="4">
        <v>0.5583333333333333</v>
      </c>
      <c r="N183" s="1" t="s">
        <v>274</v>
      </c>
      <c r="O183" s="1" t="s">
        <v>28</v>
      </c>
      <c r="P183" s="4">
        <v>0.8180555555555555</v>
      </c>
      <c r="Q183" s="1" t="s">
        <v>357</v>
      </c>
      <c r="R183" s="1">
        <f t="shared" si="1"/>
        <v>109</v>
      </c>
      <c r="S183" s="1">
        <f t="shared" si="2"/>
        <v>103</v>
      </c>
      <c r="T183" s="5">
        <f t="shared" si="3"/>
        <v>109</v>
      </c>
      <c r="U183" s="5" t="s">
        <v>90</v>
      </c>
    </row>
    <row r="184">
      <c r="A184" s="1" t="s">
        <v>485</v>
      </c>
      <c r="B184" s="2">
        <v>2.0</v>
      </c>
      <c r="C184" s="1" t="s">
        <v>26</v>
      </c>
      <c r="D184" s="6"/>
      <c r="E184" s="3"/>
      <c r="F184" s="1" t="s">
        <v>30</v>
      </c>
      <c r="G184" s="4">
        <v>0.04027777777777778</v>
      </c>
      <c r="H184" s="1" t="s">
        <v>286</v>
      </c>
      <c r="I184" s="1" t="s">
        <v>28</v>
      </c>
      <c r="J184" s="4">
        <v>0.2986111111111111</v>
      </c>
      <c r="K184" s="1" t="s">
        <v>346</v>
      </c>
      <c r="L184" s="1" t="s">
        <v>30</v>
      </c>
      <c r="M184" s="4">
        <v>0.58125</v>
      </c>
      <c r="N184" s="1" t="s">
        <v>66</v>
      </c>
      <c r="O184" s="1" t="s">
        <v>28</v>
      </c>
      <c r="P184" s="4">
        <v>0.8395833333333333</v>
      </c>
      <c r="Q184" s="1" t="s">
        <v>220</v>
      </c>
      <c r="R184" s="1">
        <f t="shared" si="1"/>
        <v>112</v>
      </c>
      <c r="S184" s="1">
        <f t="shared" si="2"/>
        <v>102</v>
      </c>
      <c r="T184" s="5">
        <f t="shared" si="3"/>
        <v>112</v>
      </c>
      <c r="U184" s="5" t="s">
        <v>90</v>
      </c>
    </row>
    <row r="185">
      <c r="A185" s="1" t="s">
        <v>485</v>
      </c>
      <c r="B185" s="2">
        <v>3.0</v>
      </c>
      <c r="C185" s="1" t="s">
        <v>34</v>
      </c>
      <c r="D185" s="6"/>
      <c r="E185" s="3"/>
      <c r="F185" s="1" t="s">
        <v>30</v>
      </c>
      <c r="G185" s="4">
        <v>0.06597222222222222</v>
      </c>
      <c r="H185" s="1" t="s">
        <v>191</v>
      </c>
      <c r="I185" s="1" t="s">
        <v>28</v>
      </c>
      <c r="J185" s="4">
        <v>0.3229166666666667</v>
      </c>
      <c r="K185" s="1" t="s">
        <v>211</v>
      </c>
      <c r="L185" s="1" t="s">
        <v>30</v>
      </c>
      <c r="M185" s="4">
        <v>0.6041666666666666</v>
      </c>
      <c r="N185" s="1" t="s">
        <v>110</v>
      </c>
      <c r="O185" s="1" t="s">
        <v>28</v>
      </c>
      <c r="P185" s="4">
        <v>0.8618055555555556</v>
      </c>
      <c r="Q185" s="1" t="s">
        <v>262</v>
      </c>
      <c r="R185" s="1">
        <f t="shared" si="1"/>
        <v>112</v>
      </c>
      <c r="S185" s="1">
        <f t="shared" si="2"/>
        <v>99</v>
      </c>
      <c r="T185" s="5">
        <f t="shared" si="3"/>
        <v>112</v>
      </c>
      <c r="U185" s="5" t="s">
        <v>90</v>
      </c>
    </row>
    <row r="186">
      <c r="A186" s="1" t="s">
        <v>485</v>
      </c>
      <c r="B186" s="2">
        <v>4.0</v>
      </c>
      <c r="C186" s="1" t="s">
        <v>41</v>
      </c>
      <c r="D186" s="1" t="s">
        <v>42</v>
      </c>
      <c r="E186" s="3"/>
      <c r="F186" s="1" t="s">
        <v>30</v>
      </c>
      <c r="G186" s="4">
        <v>0.09305555555555556</v>
      </c>
      <c r="H186" s="1" t="s">
        <v>286</v>
      </c>
      <c r="I186" s="1" t="s">
        <v>28</v>
      </c>
      <c r="J186" s="4">
        <v>0.3486111111111111</v>
      </c>
      <c r="K186" s="1" t="s">
        <v>46</v>
      </c>
      <c r="L186" s="1" t="s">
        <v>30</v>
      </c>
      <c r="M186" s="4">
        <v>0.6270833333333333</v>
      </c>
      <c r="N186" s="1" t="s">
        <v>146</v>
      </c>
      <c r="O186" s="1" t="s">
        <v>28</v>
      </c>
      <c r="P186" s="4">
        <v>0.8854166666666666</v>
      </c>
      <c r="Q186" s="1" t="s">
        <v>131</v>
      </c>
      <c r="R186" s="1">
        <f t="shared" si="1"/>
        <v>107</v>
      </c>
      <c r="S186" s="1">
        <f t="shared" si="2"/>
        <v>96</v>
      </c>
      <c r="T186" s="5">
        <f t="shared" si="3"/>
        <v>107</v>
      </c>
      <c r="U186" s="5" t="s">
        <v>90</v>
      </c>
    </row>
    <row r="187">
      <c r="A187" s="1" t="s">
        <v>485</v>
      </c>
      <c r="B187" s="2">
        <v>5.0</v>
      </c>
      <c r="C187" s="1" t="s">
        <v>55</v>
      </c>
      <c r="D187" s="1" t="s">
        <v>42</v>
      </c>
      <c r="E187" s="3"/>
      <c r="F187" s="1" t="s">
        <v>30</v>
      </c>
      <c r="G187" s="4">
        <v>0.12222222222222222</v>
      </c>
      <c r="H187" s="1" t="s">
        <v>328</v>
      </c>
      <c r="I187" s="1" t="s">
        <v>28</v>
      </c>
      <c r="J187" s="4">
        <v>0.3763888888888889</v>
      </c>
      <c r="K187" s="1" t="s">
        <v>385</v>
      </c>
      <c r="L187" s="1" t="s">
        <v>30</v>
      </c>
      <c r="M187" s="4">
        <v>0.6513888888888889</v>
      </c>
      <c r="N187" s="1" t="s">
        <v>134</v>
      </c>
      <c r="O187" s="1" t="s">
        <v>28</v>
      </c>
      <c r="P187" s="4">
        <v>0.9111111111111111</v>
      </c>
      <c r="Q187" s="1" t="s">
        <v>292</v>
      </c>
      <c r="R187" s="1">
        <f t="shared" si="1"/>
        <v>100</v>
      </c>
      <c r="S187" s="1">
        <f t="shared" si="2"/>
        <v>91</v>
      </c>
      <c r="T187" s="5">
        <f t="shared" si="3"/>
        <v>100</v>
      </c>
      <c r="U187" s="5" t="s">
        <v>90</v>
      </c>
    </row>
    <row r="188">
      <c r="A188" s="1" t="s">
        <v>485</v>
      </c>
      <c r="B188" s="2">
        <v>6.0</v>
      </c>
      <c r="C188" s="1" t="s">
        <v>25</v>
      </c>
      <c r="D188" s="6"/>
      <c r="E188" s="3"/>
      <c r="F188" s="1" t="s">
        <v>30</v>
      </c>
      <c r="G188" s="4">
        <v>0.15555555555555556</v>
      </c>
      <c r="H188" s="1" t="s">
        <v>295</v>
      </c>
      <c r="I188" s="1" t="s">
        <v>28</v>
      </c>
      <c r="J188" s="4">
        <v>0.40694444444444444</v>
      </c>
      <c r="K188" s="1" t="s">
        <v>434</v>
      </c>
      <c r="L188" s="1" t="s">
        <v>30</v>
      </c>
      <c r="M188" s="4">
        <v>0.6784722222222223</v>
      </c>
      <c r="N188" s="1" t="s">
        <v>224</v>
      </c>
      <c r="O188" s="1" t="s">
        <v>28</v>
      </c>
      <c r="P188" s="4">
        <v>0.9409722222222222</v>
      </c>
      <c r="Q188" s="1" t="s">
        <v>472</v>
      </c>
      <c r="R188" s="1">
        <f t="shared" si="1"/>
        <v>90</v>
      </c>
      <c r="S188" s="1">
        <f t="shared" si="2"/>
        <v>86</v>
      </c>
      <c r="T188" s="5">
        <f t="shared" si="3"/>
        <v>90</v>
      </c>
      <c r="U188" s="5" t="s">
        <v>39</v>
      </c>
    </row>
    <row r="189">
      <c r="A189" s="1" t="s">
        <v>485</v>
      </c>
      <c r="B189" s="2">
        <v>7.0</v>
      </c>
      <c r="C189" s="1" t="s">
        <v>75</v>
      </c>
      <c r="D189" s="6"/>
      <c r="E189" s="3"/>
      <c r="F189" s="1" t="s">
        <v>30</v>
      </c>
      <c r="G189" s="4">
        <v>0.19444444444444445</v>
      </c>
      <c r="H189" s="1" t="s">
        <v>389</v>
      </c>
      <c r="I189" s="1" t="s">
        <v>28</v>
      </c>
      <c r="J189" s="4">
        <v>0.44375</v>
      </c>
      <c r="K189" s="1" t="s">
        <v>135</v>
      </c>
      <c r="L189" s="1" t="s">
        <v>30</v>
      </c>
      <c r="M189" s="4">
        <v>0.7083333333333334</v>
      </c>
      <c r="N189" s="1" t="s">
        <v>286</v>
      </c>
      <c r="O189" s="1" t="s">
        <v>28</v>
      </c>
      <c r="P189" s="4">
        <v>0.9743055555555555</v>
      </c>
      <c r="Q189" s="1" t="s">
        <v>335</v>
      </c>
      <c r="R189" s="1">
        <f t="shared" si="1"/>
        <v>79</v>
      </c>
      <c r="S189" s="1">
        <f t="shared" si="2"/>
        <v>81</v>
      </c>
      <c r="T189" s="5">
        <f t="shared" si="3"/>
        <v>81</v>
      </c>
      <c r="U189" s="5" t="s">
        <v>39</v>
      </c>
    </row>
    <row r="190">
      <c r="A190" s="1" t="s">
        <v>485</v>
      </c>
      <c r="B190" s="2">
        <v>8.0</v>
      </c>
      <c r="C190" s="1" t="s">
        <v>86</v>
      </c>
      <c r="D190" s="6"/>
      <c r="E190" s="7" t="s">
        <v>107</v>
      </c>
      <c r="F190" s="1" t="s">
        <v>30</v>
      </c>
      <c r="G190" s="4">
        <v>0.24097222222222223</v>
      </c>
      <c r="H190" s="1" t="s">
        <v>295</v>
      </c>
      <c r="I190" s="1" t="s">
        <v>28</v>
      </c>
      <c r="J190" s="4">
        <v>0.48819444444444443</v>
      </c>
      <c r="K190" s="1" t="s">
        <v>262</v>
      </c>
      <c r="L190" s="1" t="s">
        <v>30</v>
      </c>
      <c r="M190" s="4">
        <v>0.74375</v>
      </c>
      <c r="N190" s="1" t="s">
        <v>236</v>
      </c>
      <c r="R190" s="1">
        <f t="shared" si="1"/>
        <v>70</v>
      </c>
      <c r="S190" s="1">
        <f t="shared" si="2"/>
        <v>27</v>
      </c>
      <c r="T190" s="5">
        <f t="shared" si="3"/>
        <v>70</v>
      </c>
      <c r="U190" s="5" t="s">
        <v>39</v>
      </c>
    </row>
    <row r="191">
      <c r="A191" s="1" t="s">
        <v>485</v>
      </c>
      <c r="B191" s="2">
        <v>9.0</v>
      </c>
      <c r="C191" s="1" t="s">
        <v>26</v>
      </c>
      <c r="D191" s="6"/>
      <c r="E191" s="3"/>
      <c r="F191" s="1" t="s">
        <v>28</v>
      </c>
      <c r="G191" s="4">
        <v>0.013194444444444444</v>
      </c>
      <c r="H191" s="1" t="s">
        <v>89</v>
      </c>
      <c r="I191" s="1" t="s">
        <v>30</v>
      </c>
      <c r="J191" s="4">
        <v>0.29444444444444445</v>
      </c>
      <c r="K191" s="1" t="s">
        <v>191</v>
      </c>
      <c r="L191" s="1" t="s">
        <v>28</v>
      </c>
      <c r="M191" s="4">
        <v>0.5444444444444444</v>
      </c>
      <c r="N191" s="1" t="s">
        <v>190</v>
      </c>
      <c r="O191" s="1" t="s">
        <v>30</v>
      </c>
      <c r="P191" s="4">
        <v>0.7861111111111111</v>
      </c>
      <c r="Q191" s="1" t="s">
        <v>355</v>
      </c>
      <c r="R191" s="1">
        <f t="shared" si="1"/>
        <v>85</v>
      </c>
      <c r="S191" s="1">
        <f t="shared" si="2"/>
        <v>51</v>
      </c>
      <c r="T191" s="5">
        <f t="shared" si="3"/>
        <v>85</v>
      </c>
      <c r="U191" s="5" t="s">
        <v>39</v>
      </c>
    </row>
    <row r="192">
      <c r="A192" s="1" t="s">
        <v>485</v>
      </c>
      <c r="B192" s="2">
        <v>10.0</v>
      </c>
      <c r="C192" s="1" t="s">
        <v>34</v>
      </c>
      <c r="D192" s="6"/>
      <c r="E192" s="3"/>
      <c r="F192" s="1" t="s">
        <v>28</v>
      </c>
      <c r="G192" s="4">
        <v>0.05763888888888889</v>
      </c>
      <c r="H192" s="1" t="s">
        <v>147</v>
      </c>
      <c r="I192" s="1" t="s">
        <v>30</v>
      </c>
      <c r="J192" s="4">
        <v>0.35138888888888886</v>
      </c>
      <c r="K192" s="1" t="s">
        <v>117</v>
      </c>
      <c r="L192" s="1" t="s">
        <v>28</v>
      </c>
      <c r="M192" s="4">
        <v>0.6104166666666667</v>
      </c>
      <c r="N192" s="1" t="s">
        <v>189</v>
      </c>
      <c r="O192" s="1" t="s">
        <v>30</v>
      </c>
      <c r="P192" s="4">
        <v>0.8340277777777778</v>
      </c>
      <c r="Q192" s="1" t="s">
        <v>483</v>
      </c>
      <c r="R192" s="1">
        <f t="shared" si="1"/>
        <v>99</v>
      </c>
      <c r="S192" s="1">
        <f t="shared" si="2"/>
        <v>44</v>
      </c>
      <c r="T192" s="5">
        <f t="shared" si="3"/>
        <v>99</v>
      </c>
      <c r="U192" s="5" t="s">
        <v>90</v>
      </c>
    </row>
    <row r="193">
      <c r="A193" s="1" t="s">
        <v>485</v>
      </c>
      <c r="B193" s="2">
        <v>11.0</v>
      </c>
      <c r="C193" s="1" t="s">
        <v>41</v>
      </c>
      <c r="D193" s="1" t="s">
        <v>42</v>
      </c>
      <c r="E193" s="3"/>
      <c r="F193" s="1" t="s">
        <v>28</v>
      </c>
      <c r="G193" s="4">
        <v>0.10486111111111111</v>
      </c>
      <c r="H193" s="1" t="s">
        <v>167</v>
      </c>
      <c r="I193" s="1" t="s">
        <v>30</v>
      </c>
      <c r="J193" s="4">
        <v>0.4027777777777778</v>
      </c>
      <c r="K193" s="1" t="s">
        <v>146</v>
      </c>
      <c r="L193" s="1" t="s">
        <v>28</v>
      </c>
      <c r="M193" s="4">
        <v>0.6680555555555555</v>
      </c>
      <c r="N193" s="1" t="s">
        <v>214</v>
      </c>
      <c r="O193" s="1" t="s">
        <v>30</v>
      </c>
      <c r="P193" s="4">
        <v>0.8826388888888889</v>
      </c>
      <c r="Q193" s="1" t="s">
        <v>483</v>
      </c>
      <c r="R193" s="1">
        <f t="shared" si="1"/>
        <v>119</v>
      </c>
      <c r="S193" s="1">
        <f t="shared" si="2"/>
        <v>46</v>
      </c>
      <c r="T193" s="5">
        <f t="shared" si="3"/>
        <v>119</v>
      </c>
      <c r="U193" s="5" t="s">
        <v>90</v>
      </c>
    </row>
    <row r="194">
      <c r="A194" s="1" t="s">
        <v>485</v>
      </c>
      <c r="B194" s="2">
        <v>12.0</v>
      </c>
      <c r="C194" s="1" t="s">
        <v>55</v>
      </c>
      <c r="D194" s="1" t="s">
        <v>42</v>
      </c>
      <c r="E194" s="3"/>
      <c r="F194" s="1" t="s">
        <v>28</v>
      </c>
      <c r="G194" s="4">
        <v>0.15069444444444444</v>
      </c>
      <c r="H194" s="1" t="s">
        <v>59</v>
      </c>
      <c r="I194" s="1" t="s">
        <v>30</v>
      </c>
      <c r="J194" s="4">
        <v>0.44722222222222224</v>
      </c>
      <c r="K194" s="1" t="s">
        <v>124</v>
      </c>
      <c r="L194" s="1" t="s">
        <v>28</v>
      </c>
      <c r="M194" s="4">
        <v>0.7118055555555556</v>
      </c>
      <c r="N194" s="1" t="s">
        <v>402</v>
      </c>
      <c r="O194" s="1" t="s">
        <v>30</v>
      </c>
      <c r="P194" s="4">
        <v>0.9263888888888889</v>
      </c>
      <c r="Q194" s="1" t="s">
        <v>291</v>
      </c>
      <c r="R194" s="1">
        <f t="shared" si="1"/>
        <v>143</v>
      </c>
      <c r="S194" s="1">
        <f t="shared" si="2"/>
        <v>57</v>
      </c>
      <c r="T194" s="5">
        <f t="shared" si="3"/>
        <v>143</v>
      </c>
      <c r="U194" s="5" t="s">
        <v>47</v>
      </c>
    </row>
    <row r="195">
      <c r="A195" s="1" t="s">
        <v>485</v>
      </c>
      <c r="B195" s="2">
        <v>13.0</v>
      </c>
      <c r="C195" s="1" t="s">
        <v>25</v>
      </c>
      <c r="D195" s="6"/>
      <c r="E195" s="3"/>
      <c r="F195" s="1" t="s">
        <v>28</v>
      </c>
      <c r="G195" s="4">
        <v>0.19305555555555556</v>
      </c>
      <c r="H195" s="1" t="s">
        <v>484</v>
      </c>
      <c r="I195" s="1" t="s">
        <v>30</v>
      </c>
      <c r="J195" s="4">
        <v>0.48680555555555555</v>
      </c>
      <c r="K195" s="1" t="s">
        <v>302</v>
      </c>
      <c r="L195" s="1" t="s">
        <v>28</v>
      </c>
      <c r="M195" s="4">
        <v>0.7479166666666667</v>
      </c>
      <c r="N195" s="1" t="s">
        <v>292</v>
      </c>
      <c r="O195" s="1" t="s">
        <v>30</v>
      </c>
      <c r="P195" s="4">
        <v>0.9659722222222222</v>
      </c>
      <c r="Q195" s="1" t="s">
        <v>327</v>
      </c>
      <c r="R195" s="1">
        <f t="shared" si="1"/>
        <v>165</v>
      </c>
      <c r="S195" s="1">
        <f t="shared" si="2"/>
        <v>69</v>
      </c>
      <c r="T195" s="5">
        <f t="shared" si="3"/>
        <v>165</v>
      </c>
      <c r="U195" s="5" t="s">
        <v>47</v>
      </c>
    </row>
    <row r="196">
      <c r="A196" s="1" t="s">
        <v>485</v>
      </c>
      <c r="B196" s="2">
        <v>14.0</v>
      </c>
      <c r="C196" s="1" t="s">
        <v>75</v>
      </c>
      <c r="D196" s="6"/>
      <c r="E196" s="7" t="s">
        <v>143</v>
      </c>
      <c r="F196" s="1" t="s">
        <v>28</v>
      </c>
      <c r="G196" s="4">
        <v>0.23055555555555557</v>
      </c>
      <c r="H196" s="1" t="s">
        <v>476</v>
      </c>
      <c r="I196" s="1" t="s">
        <v>30</v>
      </c>
      <c r="J196" s="4">
        <v>0.5215277777777778</v>
      </c>
      <c r="K196" s="1" t="s">
        <v>300</v>
      </c>
      <c r="L196" s="1" t="s">
        <v>28</v>
      </c>
      <c r="M196" s="4">
        <v>0.7798611111111111</v>
      </c>
      <c r="N196" s="1" t="s">
        <v>335</v>
      </c>
      <c r="R196" s="1">
        <f t="shared" si="1"/>
        <v>182</v>
      </c>
      <c r="S196" s="1">
        <f t="shared" si="2"/>
        <v>46</v>
      </c>
      <c r="T196" s="5">
        <f t="shared" si="3"/>
        <v>182</v>
      </c>
      <c r="U196" s="5" t="s">
        <v>47</v>
      </c>
    </row>
    <row r="197">
      <c r="A197" s="1" t="s">
        <v>485</v>
      </c>
      <c r="B197" s="2">
        <v>15.0</v>
      </c>
      <c r="C197" s="1" t="s">
        <v>86</v>
      </c>
      <c r="D197" s="6"/>
      <c r="E197" s="3"/>
      <c r="F197" s="1" t="s">
        <v>30</v>
      </c>
      <c r="G197" s="4">
        <v>0.0020833333333333333</v>
      </c>
      <c r="H197" s="1" t="s">
        <v>286</v>
      </c>
      <c r="I197" s="1" t="s">
        <v>28</v>
      </c>
      <c r="J197" s="4">
        <v>0.2652777777777778</v>
      </c>
      <c r="K197" s="1" t="s">
        <v>486</v>
      </c>
      <c r="L197" s="1" t="s">
        <v>30</v>
      </c>
      <c r="M197" s="4">
        <v>0.5541666666666667</v>
      </c>
      <c r="N197" s="1" t="s">
        <v>300</v>
      </c>
      <c r="O197" s="1" t="s">
        <v>28</v>
      </c>
      <c r="P197" s="4">
        <v>0.8090277777777778</v>
      </c>
      <c r="Q197" s="1" t="s">
        <v>307</v>
      </c>
      <c r="R197" s="1">
        <f t="shared" si="1"/>
        <v>138</v>
      </c>
      <c r="S197" s="1">
        <f t="shared" si="2"/>
        <v>136</v>
      </c>
      <c r="T197" s="5">
        <f t="shared" si="3"/>
        <v>138</v>
      </c>
      <c r="U197" s="5" t="s">
        <v>47</v>
      </c>
    </row>
    <row r="198">
      <c r="A198" s="1" t="s">
        <v>485</v>
      </c>
      <c r="B198" s="2">
        <v>16.0</v>
      </c>
      <c r="C198" s="1" t="s">
        <v>26</v>
      </c>
      <c r="D198" s="6"/>
      <c r="E198" s="3"/>
      <c r="F198" s="1" t="s">
        <v>30</v>
      </c>
      <c r="G198" s="4">
        <v>0.03611111111111111</v>
      </c>
      <c r="H198" s="1" t="s">
        <v>127</v>
      </c>
      <c r="I198" s="1" t="s">
        <v>28</v>
      </c>
      <c r="J198" s="4">
        <v>0.29791666666666666</v>
      </c>
      <c r="K198" s="1" t="s">
        <v>486</v>
      </c>
      <c r="L198" s="1" t="s">
        <v>30</v>
      </c>
      <c r="M198" s="4">
        <v>0.5840277777777778</v>
      </c>
      <c r="N198" s="1" t="s">
        <v>302</v>
      </c>
      <c r="O198" s="1" t="s">
        <v>28</v>
      </c>
      <c r="P198" s="4">
        <v>0.8361111111111111</v>
      </c>
      <c r="Q198" s="1" t="s">
        <v>267</v>
      </c>
      <c r="R198" s="1">
        <f t="shared" si="1"/>
        <v>143</v>
      </c>
      <c r="S198" s="1">
        <f t="shared" si="2"/>
        <v>132</v>
      </c>
      <c r="T198" s="5">
        <f t="shared" si="3"/>
        <v>143</v>
      </c>
      <c r="U198" s="5" t="s">
        <v>47</v>
      </c>
    </row>
    <row r="199">
      <c r="A199" s="1" t="s">
        <v>485</v>
      </c>
      <c r="B199" s="2">
        <v>17.0</v>
      </c>
      <c r="C199" s="1" t="s">
        <v>34</v>
      </c>
      <c r="D199" s="6"/>
      <c r="E199" s="3"/>
      <c r="F199" s="1" t="s">
        <v>30</v>
      </c>
      <c r="G199" s="4">
        <v>0.06944444444444445</v>
      </c>
      <c r="H199" s="1" t="s">
        <v>224</v>
      </c>
      <c r="I199" s="1" t="s">
        <v>28</v>
      </c>
      <c r="J199" s="4">
        <v>0.32916666666666666</v>
      </c>
      <c r="K199" s="1" t="s">
        <v>477</v>
      </c>
      <c r="L199" s="1" t="s">
        <v>30</v>
      </c>
      <c r="M199" s="4">
        <v>0.6111111111111112</v>
      </c>
      <c r="N199" s="1" t="s">
        <v>124</v>
      </c>
      <c r="O199" s="1" t="s">
        <v>28</v>
      </c>
      <c r="P199" s="4">
        <v>0.8625</v>
      </c>
      <c r="Q199" s="1" t="s">
        <v>147</v>
      </c>
      <c r="R199" s="1">
        <f t="shared" si="1"/>
        <v>139</v>
      </c>
      <c r="S199" s="1">
        <f t="shared" si="2"/>
        <v>124</v>
      </c>
      <c r="T199" s="5">
        <f t="shared" si="3"/>
        <v>139</v>
      </c>
      <c r="U199" s="5" t="s">
        <v>47</v>
      </c>
    </row>
    <row r="200">
      <c r="A200" s="1" t="s">
        <v>485</v>
      </c>
      <c r="B200" s="2">
        <v>18.0</v>
      </c>
      <c r="C200" s="1" t="s">
        <v>41</v>
      </c>
      <c r="D200" s="1" t="s">
        <v>42</v>
      </c>
      <c r="E200" s="3"/>
      <c r="F200" s="1" t="s">
        <v>30</v>
      </c>
      <c r="G200" s="4">
        <v>0.10277777777777777</v>
      </c>
      <c r="H200" s="1" t="s">
        <v>224</v>
      </c>
      <c r="I200" s="1" t="s">
        <v>28</v>
      </c>
      <c r="J200" s="4">
        <v>0.3597222222222222</v>
      </c>
      <c r="K200" s="1" t="s">
        <v>473</v>
      </c>
      <c r="L200" s="1" t="s">
        <v>30</v>
      </c>
      <c r="M200" s="4">
        <v>0.6368055555555555</v>
      </c>
      <c r="N200" s="1" t="s">
        <v>277</v>
      </c>
      <c r="O200" s="1" t="s">
        <v>28</v>
      </c>
      <c r="P200" s="4">
        <v>0.8881944444444444</v>
      </c>
      <c r="Q200" s="1" t="s">
        <v>147</v>
      </c>
      <c r="R200" s="1">
        <f t="shared" si="1"/>
        <v>127</v>
      </c>
      <c r="S200" s="1">
        <f t="shared" si="2"/>
        <v>112</v>
      </c>
      <c r="T200" s="5">
        <f t="shared" si="3"/>
        <v>127</v>
      </c>
      <c r="U200" s="5" t="s">
        <v>47</v>
      </c>
    </row>
    <row r="201">
      <c r="A201" s="1" t="s">
        <v>485</v>
      </c>
      <c r="B201" s="2">
        <v>19.0</v>
      </c>
      <c r="C201" s="1" t="s">
        <v>55</v>
      </c>
      <c r="D201" s="1" t="s">
        <v>42</v>
      </c>
      <c r="E201" s="3"/>
      <c r="F201" s="1" t="s">
        <v>30</v>
      </c>
      <c r="G201" s="4">
        <v>0.13541666666666666</v>
      </c>
      <c r="H201" s="1" t="s">
        <v>120</v>
      </c>
      <c r="I201" s="1" t="s">
        <v>28</v>
      </c>
      <c r="J201" s="4">
        <v>0.3902777777777778</v>
      </c>
      <c r="K201" s="1" t="s">
        <v>338</v>
      </c>
      <c r="L201" s="1" t="s">
        <v>30</v>
      </c>
      <c r="M201" s="4">
        <v>0.6597222222222222</v>
      </c>
      <c r="N201" s="1" t="s">
        <v>117</v>
      </c>
      <c r="O201" s="1" t="s">
        <v>28</v>
      </c>
      <c r="P201" s="4">
        <v>0.9138888888888889</v>
      </c>
      <c r="Q201" s="1" t="s">
        <v>267</v>
      </c>
      <c r="R201" s="1">
        <f t="shared" si="1"/>
        <v>108</v>
      </c>
      <c r="S201" s="1">
        <f t="shared" si="2"/>
        <v>97</v>
      </c>
      <c r="T201" s="5">
        <f t="shared" si="3"/>
        <v>108</v>
      </c>
      <c r="U201" s="5" t="s">
        <v>90</v>
      </c>
    </row>
    <row r="202">
      <c r="A202" s="1" t="s">
        <v>485</v>
      </c>
      <c r="B202" s="2">
        <v>20.0</v>
      </c>
      <c r="C202" s="1" t="s">
        <v>25</v>
      </c>
      <c r="D202" s="6"/>
      <c r="E202" s="3"/>
      <c r="F202" s="1" t="s">
        <v>30</v>
      </c>
      <c r="G202" s="4">
        <v>0.1701388888888889</v>
      </c>
      <c r="H202" s="1" t="s">
        <v>250</v>
      </c>
      <c r="I202" s="1" t="s">
        <v>28</v>
      </c>
      <c r="J202" s="4">
        <v>0.4222222222222222</v>
      </c>
      <c r="K202" s="1" t="s">
        <v>307</v>
      </c>
      <c r="L202" s="1" t="s">
        <v>30</v>
      </c>
      <c r="M202" s="4">
        <v>0.6833333333333333</v>
      </c>
      <c r="N202" s="1" t="s">
        <v>295</v>
      </c>
      <c r="O202" s="1" t="s">
        <v>28</v>
      </c>
      <c r="P202" s="4">
        <v>0.9416666666666667</v>
      </c>
      <c r="Q202" s="1" t="s">
        <v>307</v>
      </c>
      <c r="R202" s="1">
        <f t="shared" si="1"/>
        <v>84</v>
      </c>
      <c r="S202" s="1">
        <f t="shared" si="2"/>
        <v>83</v>
      </c>
      <c r="T202" s="5">
        <f t="shared" si="3"/>
        <v>84</v>
      </c>
      <c r="U202" s="5" t="s">
        <v>39</v>
      </c>
    </row>
    <row r="203">
      <c r="A203" s="1" t="s">
        <v>485</v>
      </c>
      <c r="B203" s="2">
        <v>21.0</v>
      </c>
      <c r="C203" s="1" t="s">
        <v>75</v>
      </c>
      <c r="D203" s="6"/>
      <c r="E203" s="7" t="s">
        <v>184</v>
      </c>
      <c r="F203" s="1" t="s">
        <v>30</v>
      </c>
      <c r="G203" s="4">
        <v>0.20972222222222223</v>
      </c>
      <c r="H203" s="1" t="s">
        <v>236</v>
      </c>
      <c r="I203" s="1" t="s">
        <v>28</v>
      </c>
      <c r="J203" s="4">
        <v>0.4583333333333333</v>
      </c>
      <c r="K203" s="1" t="s">
        <v>402</v>
      </c>
      <c r="L203" s="1" t="s">
        <v>30</v>
      </c>
      <c r="M203" s="4">
        <v>0.7083333333333334</v>
      </c>
      <c r="N203" s="1" t="s">
        <v>355</v>
      </c>
      <c r="O203" s="1" t="s">
        <v>28</v>
      </c>
      <c r="P203" s="4">
        <v>0.9743055555555555</v>
      </c>
      <c r="Q203" s="1" t="s">
        <v>135</v>
      </c>
      <c r="R203" s="1">
        <f t="shared" si="1"/>
        <v>62</v>
      </c>
      <c r="S203" s="1">
        <f t="shared" si="2"/>
        <v>69</v>
      </c>
      <c r="T203" s="5">
        <f t="shared" si="3"/>
        <v>69</v>
      </c>
      <c r="U203" s="5" t="s">
        <v>39</v>
      </c>
    </row>
    <row r="204">
      <c r="A204" s="1" t="s">
        <v>485</v>
      </c>
      <c r="B204" s="2">
        <v>22.0</v>
      </c>
      <c r="C204" s="1" t="s">
        <v>86</v>
      </c>
      <c r="D204" s="6"/>
      <c r="E204" s="3"/>
      <c r="F204" s="1" t="s">
        <v>30</v>
      </c>
      <c r="G204" s="4">
        <v>0.2590277777777778</v>
      </c>
      <c r="H204" s="1" t="s">
        <v>291</v>
      </c>
      <c r="I204" s="1" t="s">
        <v>28</v>
      </c>
      <c r="J204" s="4">
        <v>0.5076388888888889</v>
      </c>
      <c r="K204" s="1" t="s">
        <v>173</v>
      </c>
      <c r="L204" s="1" t="s">
        <v>30</v>
      </c>
      <c r="M204" s="4">
        <v>0.7409722222222223</v>
      </c>
      <c r="N204" s="1" t="s">
        <v>329</v>
      </c>
      <c r="R204" s="1">
        <f t="shared" si="1"/>
        <v>43</v>
      </c>
      <c r="S204" s="1">
        <f t="shared" si="2"/>
        <v>12</v>
      </c>
      <c r="T204" s="5">
        <f t="shared" si="3"/>
        <v>43</v>
      </c>
      <c r="U204" s="5" t="s">
        <v>39</v>
      </c>
    </row>
    <row r="205">
      <c r="A205" s="1" t="s">
        <v>485</v>
      </c>
      <c r="B205" s="2">
        <v>23.0</v>
      </c>
      <c r="C205" s="1" t="s">
        <v>26</v>
      </c>
      <c r="D205" s="6"/>
      <c r="E205" s="3"/>
      <c r="F205" s="1" t="s">
        <v>28</v>
      </c>
      <c r="G205" s="4">
        <v>0.015277777777777777</v>
      </c>
      <c r="H205" s="1" t="s">
        <v>179</v>
      </c>
      <c r="I205" s="1" t="s">
        <v>30</v>
      </c>
      <c r="J205" s="4">
        <v>0.3236111111111111</v>
      </c>
      <c r="K205" s="1" t="s">
        <v>291</v>
      </c>
      <c r="L205" s="1" t="s">
        <v>28</v>
      </c>
      <c r="M205" s="4">
        <v>0.5798611111111112</v>
      </c>
      <c r="N205" s="1" t="s">
        <v>111</v>
      </c>
      <c r="O205" s="1" t="s">
        <v>30</v>
      </c>
      <c r="P205" s="4">
        <v>0.7861111111111111</v>
      </c>
      <c r="Q205" s="1" t="s">
        <v>247</v>
      </c>
      <c r="R205" s="1">
        <f t="shared" si="1"/>
        <v>67</v>
      </c>
      <c r="S205" s="1">
        <f t="shared" si="2"/>
        <v>19</v>
      </c>
      <c r="T205" s="5">
        <f t="shared" si="3"/>
        <v>67</v>
      </c>
      <c r="U205" s="5" t="s">
        <v>39</v>
      </c>
    </row>
    <row r="206">
      <c r="A206" s="1" t="s">
        <v>485</v>
      </c>
      <c r="B206" s="2">
        <v>24.0</v>
      </c>
      <c r="C206" s="1" t="s">
        <v>34</v>
      </c>
      <c r="D206" s="6"/>
      <c r="E206" s="3"/>
      <c r="F206" s="1" t="s">
        <v>28</v>
      </c>
      <c r="G206" s="4">
        <v>0.06527777777777778</v>
      </c>
      <c r="H206" s="1" t="s">
        <v>179</v>
      </c>
      <c r="I206" s="1" t="s">
        <v>30</v>
      </c>
      <c r="J206" s="4">
        <v>0.38472222222222224</v>
      </c>
      <c r="K206" s="1" t="s">
        <v>327</v>
      </c>
      <c r="L206" s="1" t="s">
        <v>28</v>
      </c>
      <c r="M206" s="4">
        <v>0.6486111111111111</v>
      </c>
      <c r="N206" s="1" t="s">
        <v>77</v>
      </c>
      <c r="O206" s="1" t="s">
        <v>30</v>
      </c>
      <c r="P206" s="4">
        <v>0.8395833333333333</v>
      </c>
      <c r="Q206" s="1" t="s">
        <v>278</v>
      </c>
      <c r="R206" s="1">
        <f t="shared" si="1"/>
        <v>73</v>
      </c>
      <c r="S206" s="1">
        <f t="shared" si="2"/>
        <v>20</v>
      </c>
      <c r="T206" s="5">
        <f t="shared" si="3"/>
        <v>73</v>
      </c>
      <c r="U206" s="5" t="s">
        <v>39</v>
      </c>
    </row>
    <row r="207">
      <c r="A207" s="1" t="s">
        <v>485</v>
      </c>
      <c r="B207" s="2">
        <v>25.0</v>
      </c>
      <c r="C207" s="1" t="s">
        <v>41</v>
      </c>
      <c r="D207" s="1" t="s">
        <v>42</v>
      </c>
      <c r="E207" s="3"/>
      <c r="F207" s="1" t="s">
        <v>28</v>
      </c>
      <c r="G207" s="4">
        <v>0.11597222222222223</v>
      </c>
      <c r="H207" s="1" t="s">
        <v>89</v>
      </c>
      <c r="I207" s="1" t="s">
        <v>30</v>
      </c>
      <c r="J207" s="4">
        <v>0.4263888888888889</v>
      </c>
      <c r="K207" s="1" t="s">
        <v>122</v>
      </c>
      <c r="L207" s="1" t="s">
        <v>28</v>
      </c>
      <c r="M207" s="4">
        <v>0.6902777777777778</v>
      </c>
      <c r="N207" s="1" t="s">
        <v>123</v>
      </c>
      <c r="O207" s="1" t="s">
        <v>30</v>
      </c>
      <c r="P207" s="4">
        <v>0.8888888888888888</v>
      </c>
      <c r="Q207" s="1" t="s">
        <v>398</v>
      </c>
      <c r="R207" s="1">
        <f t="shared" si="1"/>
        <v>86</v>
      </c>
      <c r="S207" s="1">
        <f t="shared" si="2"/>
        <v>29</v>
      </c>
      <c r="T207" s="5">
        <f t="shared" si="3"/>
        <v>86</v>
      </c>
      <c r="U207" s="5" t="s">
        <v>39</v>
      </c>
    </row>
    <row r="208">
      <c r="A208" s="1" t="s">
        <v>485</v>
      </c>
      <c r="B208" s="2">
        <v>26.0</v>
      </c>
      <c r="C208" s="1" t="s">
        <v>55</v>
      </c>
      <c r="D208" s="1" t="s">
        <v>42</v>
      </c>
      <c r="E208" s="3"/>
      <c r="F208" s="1" t="s">
        <v>28</v>
      </c>
      <c r="G208" s="4">
        <v>0.15694444444444444</v>
      </c>
      <c r="H208" s="1" t="s">
        <v>388</v>
      </c>
      <c r="I208" s="1" t="s">
        <v>30</v>
      </c>
      <c r="J208" s="4">
        <v>0.45694444444444443</v>
      </c>
      <c r="K208" s="1" t="s">
        <v>115</v>
      </c>
      <c r="L208" s="1" t="s">
        <v>28</v>
      </c>
      <c r="M208" s="4">
        <v>0.71875</v>
      </c>
      <c r="N208" s="1" t="s">
        <v>214</v>
      </c>
      <c r="O208" s="1" t="s">
        <v>30</v>
      </c>
      <c r="P208" s="4">
        <v>0.9263888888888889</v>
      </c>
      <c r="Q208" s="1" t="s">
        <v>329</v>
      </c>
      <c r="R208" s="1">
        <f t="shared" si="1"/>
        <v>101</v>
      </c>
      <c r="S208" s="1">
        <f t="shared" si="2"/>
        <v>41</v>
      </c>
      <c r="T208" s="5">
        <f t="shared" si="3"/>
        <v>101</v>
      </c>
      <c r="U208" s="5" t="s">
        <v>90</v>
      </c>
    </row>
    <row r="209">
      <c r="A209" s="1" t="s">
        <v>485</v>
      </c>
      <c r="B209" s="2">
        <v>27.0</v>
      </c>
      <c r="C209" s="1" t="s">
        <v>25</v>
      </c>
      <c r="D209" s="6"/>
      <c r="E209" s="3"/>
      <c r="F209" s="1" t="s">
        <v>28</v>
      </c>
      <c r="G209" s="4">
        <v>0.18958333333333333</v>
      </c>
      <c r="H209" s="1" t="s">
        <v>38</v>
      </c>
      <c r="I209" s="1" t="s">
        <v>30</v>
      </c>
      <c r="J209" s="4">
        <v>0.48194444444444445</v>
      </c>
      <c r="K209" s="1" t="s">
        <v>257</v>
      </c>
      <c r="L209" s="1" t="s">
        <v>28</v>
      </c>
      <c r="M209" s="4">
        <v>0.7416666666666667</v>
      </c>
      <c r="N209" s="1" t="s">
        <v>402</v>
      </c>
      <c r="O209" s="1" t="s">
        <v>30</v>
      </c>
      <c r="P209" s="4">
        <v>0.95625</v>
      </c>
      <c r="Q209" s="1" t="s">
        <v>481</v>
      </c>
      <c r="R209" s="1">
        <f t="shared" si="1"/>
        <v>118</v>
      </c>
      <c r="S209" s="1">
        <f t="shared" si="2"/>
        <v>54</v>
      </c>
      <c r="T209" s="5">
        <f t="shared" si="3"/>
        <v>118</v>
      </c>
      <c r="U209" s="5" t="s">
        <v>90</v>
      </c>
    </row>
    <row r="210">
      <c r="A210" s="1" t="s">
        <v>485</v>
      </c>
      <c r="B210" s="2">
        <v>28.0</v>
      </c>
      <c r="C210" s="1" t="s">
        <v>75</v>
      </c>
      <c r="D210" s="6"/>
      <c r="E210" s="3"/>
      <c r="F210" s="1" t="s">
        <v>28</v>
      </c>
      <c r="G210" s="4">
        <v>0.21666666666666667</v>
      </c>
      <c r="H210" s="1" t="s">
        <v>205</v>
      </c>
      <c r="I210" s="1" t="s">
        <v>30</v>
      </c>
      <c r="J210" s="4">
        <v>0.5048611111111111</v>
      </c>
      <c r="K210" s="1" t="s">
        <v>99</v>
      </c>
      <c r="L210" s="1" t="s">
        <v>28</v>
      </c>
      <c r="M210" s="4">
        <v>0.7625</v>
      </c>
      <c r="N210" s="1" t="s">
        <v>292</v>
      </c>
      <c r="O210" s="1" t="s">
        <v>30</v>
      </c>
      <c r="P210" s="4">
        <v>0.9826388888888888</v>
      </c>
      <c r="Q210" s="1" t="s">
        <v>334</v>
      </c>
      <c r="R210" s="1">
        <f t="shared" si="1"/>
        <v>131</v>
      </c>
      <c r="S210" s="1">
        <f t="shared" si="2"/>
        <v>66</v>
      </c>
      <c r="T210" s="5">
        <f t="shared" si="3"/>
        <v>131</v>
      </c>
      <c r="U210" s="5" t="s">
        <v>47</v>
      </c>
    </row>
    <row r="211">
      <c r="A211" s="1" t="s">
        <v>485</v>
      </c>
      <c r="B211" s="2">
        <v>29.0</v>
      </c>
      <c r="C211" s="1" t="s">
        <v>86</v>
      </c>
      <c r="D211" s="6"/>
      <c r="E211" s="7" t="s">
        <v>35</v>
      </c>
      <c r="F211" s="1" t="s">
        <v>28</v>
      </c>
      <c r="G211" s="4">
        <v>0.24166666666666667</v>
      </c>
      <c r="H211" s="1" t="s">
        <v>419</v>
      </c>
      <c r="I211" s="1" t="s">
        <v>30</v>
      </c>
      <c r="J211" s="4">
        <v>0.5256944444444445</v>
      </c>
      <c r="K211" s="1" t="s">
        <v>110</v>
      </c>
      <c r="L211" s="1" t="s">
        <v>28</v>
      </c>
      <c r="M211" s="4">
        <v>0.7819444444444444</v>
      </c>
      <c r="N211" s="1" t="s">
        <v>335</v>
      </c>
      <c r="R211" s="1">
        <f t="shared" si="1"/>
        <v>141</v>
      </c>
      <c r="S211" s="1">
        <f t="shared" si="2"/>
        <v>46</v>
      </c>
      <c r="T211" s="5">
        <f t="shared" si="3"/>
        <v>141</v>
      </c>
      <c r="U211" s="5" t="s">
        <v>47</v>
      </c>
    </row>
    <row r="212">
      <c r="A212" s="1" t="s">
        <v>485</v>
      </c>
      <c r="B212" s="2">
        <v>30.0</v>
      </c>
      <c r="C212" s="1" t="s">
        <v>26</v>
      </c>
      <c r="D212" s="6"/>
      <c r="E212" s="3"/>
      <c r="F212" s="1" t="s">
        <v>30</v>
      </c>
      <c r="G212" s="4">
        <v>0.007638888888888889</v>
      </c>
      <c r="H212" s="1" t="s">
        <v>295</v>
      </c>
      <c r="I212" s="1" t="s">
        <v>28</v>
      </c>
      <c r="J212" s="4">
        <v>0.2652777777777778</v>
      </c>
      <c r="K212" s="1" t="s">
        <v>414</v>
      </c>
      <c r="L212" s="1" t="s">
        <v>30</v>
      </c>
      <c r="M212" s="4">
        <v>0.5458333333333333</v>
      </c>
      <c r="N212" s="1" t="s">
        <v>58</v>
      </c>
      <c r="O212" s="1" t="s">
        <v>28</v>
      </c>
      <c r="P212" s="4">
        <v>0.8006944444444445</v>
      </c>
      <c r="Q212" s="1" t="s">
        <v>307</v>
      </c>
      <c r="R212" s="1">
        <f t="shared" si="1"/>
        <v>117</v>
      </c>
      <c r="S212" s="1">
        <f t="shared" si="2"/>
        <v>114</v>
      </c>
      <c r="T212" s="5">
        <f t="shared" si="3"/>
        <v>117</v>
      </c>
      <c r="U212" s="5" t="s">
        <v>90</v>
      </c>
    </row>
    <row r="213">
      <c r="A213" s="1" t="s">
        <v>485</v>
      </c>
      <c r="B213" s="2">
        <v>31.0</v>
      </c>
      <c r="C213" s="1" t="s">
        <v>34</v>
      </c>
      <c r="D213" s="6"/>
      <c r="E213" s="3"/>
      <c r="F213" s="1" t="s">
        <v>30</v>
      </c>
      <c r="G213" s="4">
        <v>0.03263888888888889</v>
      </c>
      <c r="H213" s="1" t="s">
        <v>122</v>
      </c>
      <c r="I213" s="1" t="s">
        <v>28</v>
      </c>
      <c r="J213" s="4">
        <v>0.2881944444444444</v>
      </c>
      <c r="K213" s="1" t="s">
        <v>417</v>
      </c>
      <c r="L213" s="1" t="s">
        <v>30</v>
      </c>
      <c r="M213" s="4">
        <v>0.5659722222222222</v>
      </c>
      <c r="N213" s="1" t="s">
        <v>88</v>
      </c>
      <c r="O213" s="1" t="s">
        <v>28</v>
      </c>
      <c r="P213" s="4">
        <v>0.8201388888888889</v>
      </c>
      <c r="Q213" s="1" t="s">
        <v>147</v>
      </c>
      <c r="R213" s="1">
        <f t="shared" si="1"/>
        <v>124</v>
      </c>
      <c r="S213" s="1">
        <f t="shared" si="2"/>
        <v>117</v>
      </c>
      <c r="T213" s="5">
        <f t="shared" si="3"/>
        <v>124</v>
      </c>
      <c r="U213" s="5" t="s">
        <v>47</v>
      </c>
    </row>
    <row r="214">
      <c r="A214" s="1" t="s">
        <v>490</v>
      </c>
      <c r="B214" s="2">
        <v>1.0</v>
      </c>
      <c r="C214" s="1" t="s">
        <v>41</v>
      </c>
      <c r="D214" s="1" t="s">
        <v>42</v>
      </c>
      <c r="E214" s="3"/>
      <c r="F214" s="1" t="s">
        <v>30</v>
      </c>
      <c r="G214" s="4">
        <v>0.05763888888888889</v>
      </c>
      <c r="H214" s="1" t="s">
        <v>446</v>
      </c>
      <c r="I214" s="1" t="s">
        <v>28</v>
      </c>
      <c r="J214" s="4">
        <v>0.3111111111111111</v>
      </c>
      <c r="K214" s="1" t="s">
        <v>484</v>
      </c>
      <c r="L214" s="1" t="s">
        <v>30</v>
      </c>
      <c r="M214" s="4">
        <v>0.5854166666666667</v>
      </c>
      <c r="N214" s="1" t="s">
        <v>45</v>
      </c>
      <c r="O214" s="1" t="s">
        <v>28</v>
      </c>
      <c r="P214" s="4">
        <v>0.8388888888888889</v>
      </c>
      <c r="Q214" s="1" t="s">
        <v>337</v>
      </c>
      <c r="R214" s="1">
        <f t="shared" si="1"/>
        <v>127</v>
      </c>
      <c r="S214" s="1">
        <f t="shared" si="2"/>
        <v>118</v>
      </c>
      <c r="T214" s="5">
        <f t="shared" si="3"/>
        <v>127</v>
      </c>
      <c r="U214" s="5" t="s">
        <v>47</v>
      </c>
    </row>
    <row r="215">
      <c r="A215" s="1" t="s">
        <v>490</v>
      </c>
      <c r="B215" s="2">
        <v>2.0</v>
      </c>
      <c r="C215" s="1" t="s">
        <v>55</v>
      </c>
      <c r="D215" s="1" t="s">
        <v>42</v>
      </c>
      <c r="E215" s="3"/>
      <c r="F215" s="1" t="s">
        <v>30</v>
      </c>
      <c r="G215" s="4">
        <v>0.08333333333333333</v>
      </c>
      <c r="H215" s="1" t="s">
        <v>224</v>
      </c>
      <c r="I215" s="1" t="s">
        <v>28</v>
      </c>
      <c r="J215" s="4">
        <v>0.33541666666666664</v>
      </c>
      <c r="K215" s="1" t="s">
        <v>488</v>
      </c>
      <c r="L215" s="1" t="s">
        <v>30</v>
      </c>
      <c r="M215" s="4">
        <v>0.6048611111111111</v>
      </c>
      <c r="N215" s="1" t="s">
        <v>469</v>
      </c>
      <c r="O215" s="1" t="s">
        <v>28</v>
      </c>
      <c r="P215" s="4">
        <v>0.8597222222222223</v>
      </c>
      <c r="Q215" s="1" t="s">
        <v>158</v>
      </c>
      <c r="R215" s="1">
        <f t="shared" si="1"/>
        <v>125</v>
      </c>
      <c r="S215" s="1">
        <f t="shared" si="2"/>
        <v>115</v>
      </c>
      <c r="T215" s="5">
        <f t="shared" si="3"/>
        <v>125</v>
      </c>
      <c r="U215" s="5" t="s">
        <v>47</v>
      </c>
    </row>
    <row r="216">
      <c r="A216" s="1" t="s">
        <v>490</v>
      </c>
      <c r="B216" s="2">
        <v>3.0</v>
      </c>
      <c r="C216" s="1" t="s">
        <v>25</v>
      </c>
      <c r="D216" s="6"/>
      <c r="E216" s="3"/>
      <c r="F216" s="1" t="s">
        <v>30</v>
      </c>
      <c r="G216" s="4">
        <v>0.11041666666666666</v>
      </c>
      <c r="H216" s="1" t="s">
        <v>224</v>
      </c>
      <c r="I216" s="1" t="s">
        <v>28</v>
      </c>
      <c r="J216" s="4">
        <v>0.3611111111111111</v>
      </c>
      <c r="K216" s="1" t="s">
        <v>205</v>
      </c>
      <c r="L216" s="1" t="s">
        <v>30</v>
      </c>
      <c r="M216" s="4">
        <v>0.625</v>
      </c>
      <c r="N216" s="1" t="s">
        <v>112</v>
      </c>
      <c r="O216" s="1" t="s">
        <v>28</v>
      </c>
      <c r="P216" s="4">
        <v>0.8819444444444444</v>
      </c>
      <c r="Q216" s="1" t="s">
        <v>78</v>
      </c>
      <c r="R216" s="1">
        <f t="shared" si="1"/>
        <v>116</v>
      </c>
      <c r="S216" s="1">
        <f t="shared" si="2"/>
        <v>109</v>
      </c>
      <c r="T216" s="5">
        <f t="shared" si="3"/>
        <v>116</v>
      </c>
      <c r="U216" s="5" t="s">
        <v>90</v>
      </c>
    </row>
    <row r="217">
      <c r="A217" s="1" t="s">
        <v>490</v>
      </c>
      <c r="B217" s="2">
        <v>4.0</v>
      </c>
      <c r="C217" s="1" t="s">
        <v>75</v>
      </c>
      <c r="D217" s="6"/>
      <c r="E217" s="3"/>
      <c r="F217" s="1" t="s">
        <v>30</v>
      </c>
      <c r="G217" s="4">
        <v>0.14027777777777778</v>
      </c>
      <c r="H217" s="1" t="s">
        <v>333</v>
      </c>
      <c r="I217" s="1" t="s">
        <v>28</v>
      </c>
      <c r="J217" s="4">
        <v>0.38958333333333334</v>
      </c>
      <c r="K217" s="1" t="s">
        <v>78</v>
      </c>
      <c r="L217" s="1" t="s">
        <v>30</v>
      </c>
      <c r="M217" s="4">
        <v>0.6465277777777778</v>
      </c>
      <c r="N217" s="1" t="s">
        <v>120</v>
      </c>
      <c r="O217" s="1" t="s">
        <v>28</v>
      </c>
      <c r="P217" s="4">
        <v>0.9076388888888889</v>
      </c>
      <c r="Q217" s="1" t="s">
        <v>78</v>
      </c>
      <c r="R217" s="1">
        <f t="shared" si="1"/>
        <v>104</v>
      </c>
      <c r="S217" s="1">
        <f t="shared" si="2"/>
        <v>101</v>
      </c>
      <c r="T217" s="5">
        <f t="shared" si="3"/>
        <v>104</v>
      </c>
      <c r="U217" s="5" t="s">
        <v>90</v>
      </c>
    </row>
    <row r="218">
      <c r="A218" s="1" t="s">
        <v>490</v>
      </c>
      <c r="B218" s="2">
        <v>5.0</v>
      </c>
      <c r="C218" s="1" t="s">
        <v>86</v>
      </c>
      <c r="D218" s="6"/>
      <c r="E218" s="3"/>
      <c r="F218" s="1" t="s">
        <v>30</v>
      </c>
      <c r="G218" s="4">
        <v>0.175</v>
      </c>
      <c r="H218" s="1" t="s">
        <v>326</v>
      </c>
      <c r="I218" s="1" t="s">
        <v>28</v>
      </c>
      <c r="J218" s="4">
        <v>0.42291666666666666</v>
      </c>
      <c r="K218" s="1" t="s">
        <v>301</v>
      </c>
      <c r="L218" s="1" t="s">
        <v>30</v>
      </c>
      <c r="M218" s="4">
        <v>0.6715277777777777</v>
      </c>
      <c r="N218" s="1" t="s">
        <v>480</v>
      </c>
      <c r="O218" s="1" t="s">
        <v>28</v>
      </c>
      <c r="P218" s="4">
        <v>0.9375</v>
      </c>
      <c r="Q218" s="1" t="s">
        <v>378</v>
      </c>
      <c r="R218" s="1">
        <f t="shared" si="1"/>
        <v>85</v>
      </c>
      <c r="S218" s="1">
        <f t="shared" si="2"/>
        <v>89</v>
      </c>
      <c r="T218" s="5">
        <f t="shared" si="3"/>
        <v>89</v>
      </c>
      <c r="U218" s="5" t="s">
        <v>39</v>
      </c>
    </row>
    <row r="219">
      <c r="A219" s="1" t="s">
        <v>490</v>
      </c>
      <c r="B219" s="2">
        <v>6.0</v>
      </c>
      <c r="C219" s="1" t="s">
        <v>26</v>
      </c>
      <c r="D219" s="6"/>
      <c r="E219" s="7" t="s">
        <v>107</v>
      </c>
      <c r="F219" s="1" t="s">
        <v>30</v>
      </c>
      <c r="G219" s="4">
        <v>0.21875</v>
      </c>
      <c r="H219" s="1" t="s">
        <v>286</v>
      </c>
      <c r="I219" s="1" t="s">
        <v>28</v>
      </c>
      <c r="J219" s="4">
        <v>0.4652777777777778</v>
      </c>
      <c r="K219" s="1" t="s">
        <v>183</v>
      </c>
      <c r="L219" s="1" t="s">
        <v>30</v>
      </c>
      <c r="M219" s="4">
        <v>0.7020833333333333</v>
      </c>
      <c r="N219" s="1" t="s">
        <v>235</v>
      </c>
      <c r="O219" s="1" t="s">
        <v>28</v>
      </c>
      <c r="P219" s="4">
        <v>0.9770833333333333</v>
      </c>
      <c r="Q219" s="1" t="s">
        <v>434</v>
      </c>
      <c r="R219" s="1">
        <f t="shared" si="1"/>
        <v>67</v>
      </c>
      <c r="S219" s="1">
        <f t="shared" si="2"/>
        <v>76</v>
      </c>
      <c r="T219" s="5">
        <f t="shared" si="3"/>
        <v>76</v>
      </c>
      <c r="U219" s="5" t="s">
        <v>39</v>
      </c>
    </row>
    <row r="220">
      <c r="A220" s="1" t="s">
        <v>490</v>
      </c>
      <c r="B220" s="2">
        <v>7.0</v>
      </c>
      <c r="C220" s="1" t="s">
        <v>34</v>
      </c>
      <c r="D220" s="6"/>
      <c r="E220" s="3"/>
      <c r="F220" s="1" t="s">
        <v>30</v>
      </c>
      <c r="G220" s="4">
        <v>0.27847222222222223</v>
      </c>
      <c r="H220" s="1" t="s">
        <v>250</v>
      </c>
      <c r="I220" s="1" t="s">
        <v>28</v>
      </c>
      <c r="J220" s="4">
        <v>0.53125</v>
      </c>
      <c r="K220" s="1" t="s">
        <v>296</v>
      </c>
      <c r="L220" s="1" t="s">
        <v>30</v>
      </c>
      <c r="M220" s="4">
        <v>0.7465277777777778</v>
      </c>
      <c r="N220" s="1" t="s">
        <v>126</v>
      </c>
      <c r="R220" s="1">
        <f t="shared" si="1"/>
        <v>53</v>
      </c>
      <c r="S220" s="1">
        <f t="shared" si="2"/>
        <v>8</v>
      </c>
      <c r="T220" s="5">
        <f t="shared" si="3"/>
        <v>53</v>
      </c>
      <c r="U220" s="5" t="s">
        <v>39</v>
      </c>
    </row>
    <row r="221">
      <c r="A221" s="1" t="s">
        <v>490</v>
      </c>
      <c r="B221" s="2">
        <v>8.0</v>
      </c>
      <c r="C221" s="1" t="s">
        <v>41</v>
      </c>
      <c r="D221" s="1" t="s">
        <v>42</v>
      </c>
      <c r="E221" s="3"/>
      <c r="F221" s="1" t="s">
        <v>28</v>
      </c>
      <c r="G221" s="4">
        <v>0.03194444444444444</v>
      </c>
      <c r="H221" s="1" t="s">
        <v>434</v>
      </c>
      <c r="I221" s="1" t="s">
        <v>30</v>
      </c>
      <c r="J221" s="4">
        <v>0.3506944444444444</v>
      </c>
      <c r="K221" s="1" t="s">
        <v>326</v>
      </c>
      <c r="L221" s="1" t="s">
        <v>28</v>
      </c>
      <c r="M221" s="4">
        <v>0.6215277777777778</v>
      </c>
      <c r="N221" s="1" t="s">
        <v>230</v>
      </c>
      <c r="O221" s="1" t="s">
        <v>30</v>
      </c>
      <c r="P221" s="4">
        <v>0.8138888888888889</v>
      </c>
      <c r="Q221" s="1" t="s">
        <v>356</v>
      </c>
      <c r="R221" s="1">
        <f t="shared" si="1"/>
        <v>96</v>
      </c>
      <c r="S221" s="1">
        <f t="shared" si="2"/>
        <v>22</v>
      </c>
      <c r="T221" s="5">
        <f t="shared" si="3"/>
        <v>96</v>
      </c>
      <c r="U221" s="5" t="s">
        <v>90</v>
      </c>
    </row>
    <row r="222">
      <c r="A222" s="1" t="s">
        <v>490</v>
      </c>
      <c r="B222" s="2">
        <v>9.0</v>
      </c>
      <c r="C222" s="1" t="s">
        <v>55</v>
      </c>
      <c r="D222" s="1" t="s">
        <v>42</v>
      </c>
      <c r="E222" s="3"/>
      <c r="F222" s="1" t="s">
        <v>28</v>
      </c>
      <c r="G222" s="4">
        <v>0.09652777777777778</v>
      </c>
      <c r="H222" s="1" t="s">
        <v>216</v>
      </c>
      <c r="I222" s="1" t="s">
        <v>30</v>
      </c>
      <c r="J222" s="4">
        <v>0.40902777777777777</v>
      </c>
      <c r="K222" s="1" t="s">
        <v>114</v>
      </c>
      <c r="L222" s="1" t="s">
        <v>28</v>
      </c>
      <c r="M222" s="4">
        <v>0.6777777777777778</v>
      </c>
      <c r="N222" s="1" t="s">
        <v>181</v>
      </c>
      <c r="O222" s="1" t="s">
        <v>30</v>
      </c>
      <c r="P222" s="4">
        <v>0.8798611111111111</v>
      </c>
      <c r="Q222" s="1" t="s">
        <v>331</v>
      </c>
      <c r="R222" s="1">
        <f t="shared" si="1"/>
        <v>115</v>
      </c>
      <c r="S222" s="1">
        <f t="shared" si="2"/>
        <v>35</v>
      </c>
      <c r="T222" s="5">
        <f t="shared" si="3"/>
        <v>115</v>
      </c>
      <c r="U222" s="5" t="s">
        <v>90</v>
      </c>
    </row>
    <row r="223">
      <c r="A223" s="1" t="s">
        <v>490</v>
      </c>
      <c r="B223" s="2">
        <v>10.0</v>
      </c>
      <c r="C223" s="1" t="s">
        <v>25</v>
      </c>
      <c r="D223" s="6"/>
      <c r="E223" s="3"/>
      <c r="F223" s="1" t="s">
        <v>28</v>
      </c>
      <c r="G223" s="4">
        <v>0.15069444444444444</v>
      </c>
      <c r="H223" s="1" t="s">
        <v>211</v>
      </c>
      <c r="I223" s="1" t="s">
        <v>30</v>
      </c>
      <c r="J223" s="4">
        <v>0.4513888888888889</v>
      </c>
      <c r="K223" s="1" t="s">
        <v>58</v>
      </c>
      <c r="L223" s="1" t="s">
        <v>28</v>
      </c>
      <c r="M223" s="4">
        <v>0.7131944444444445</v>
      </c>
      <c r="N223" s="1" t="s">
        <v>262</v>
      </c>
      <c r="O223" s="1" t="s">
        <v>30</v>
      </c>
      <c r="P223" s="4">
        <v>0.9291666666666667</v>
      </c>
      <c r="Q223" s="1" t="s">
        <v>119</v>
      </c>
      <c r="R223" s="1">
        <f t="shared" si="1"/>
        <v>139</v>
      </c>
      <c r="S223" s="1">
        <f t="shared" si="2"/>
        <v>54</v>
      </c>
      <c r="T223" s="5">
        <f t="shared" si="3"/>
        <v>139</v>
      </c>
      <c r="U223" s="5" t="s">
        <v>47</v>
      </c>
    </row>
    <row r="224">
      <c r="A224" s="1" t="s">
        <v>490</v>
      </c>
      <c r="B224" s="2">
        <v>11.0</v>
      </c>
      <c r="C224" s="1" t="s">
        <v>75</v>
      </c>
      <c r="D224" s="6"/>
      <c r="E224" s="3"/>
      <c r="F224" s="1" t="s">
        <v>28</v>
      </c>
      <c r="G224" s="4">
        <v>0.19305555555555556</v>
      </c>
      <c r="H224" s="1" t="s">
        <v>455</v>
      </c>
      <c r="I224" s="1" t="s">
        <v>30</v>
      </c>
      <c r="J224" s="4">
        <v>0.48541666666666666</v>
      </c>
      <c r="K224" s="1" t="s">
        <v>108</v>
      </c>
      <c r="L224" s="1" t="s">
        <v>28</v>
      </c>
      <c r="M224" s="4">
        <v>0.7416666666666667</v>
      </c>
      <c r="N224" s="1" t="s">
        <v>89</v>
      </c>
      <c r="O224" s="1" t="s">
        <v>30</v>
      </c>
      <c r="P224" s="4">
        <v>0.9666666666666667</v>
      </c>
      <c r="Q224" s="1" t="s">
        <v>327</v>
      </c>
      <c r="R224" s="1">
        <f t="shared" si="1"/>
        <v>162</v>
      </c>
      <c r="S224" s="1">
        <f t="shared" si="2"/>
        <v>77</v>
      </c>
      <c r="T224" s="5">
        <f t="shared" si="3"/>
        <v>162</v>
      </c>
      <c r="U224" s="5" t="s">
        <v>47</v>
      </c>
    </row>
    <row r="225">
      <c r="A225" s="1" t="s">
        <v>490</v>
      </c>
      <c r="B225" s="2">
        <v>12.0</v>
      </c>
      <c r="C225" s="1" t="s">
        <v>86</v>
      </c>
      <c r="D225" s="6"/>
      <c r="E225" s="3"/>
      <c r="F225" s="1" t="s">
        <v>28</v>
      </c>
      <c r="G225" s="4">
        <v>0.22777777777777777</v>
      </c>
      <c r="H225" s="1" t="s">
        <v>489</v>
      </c>
      <c r="I225" s="1" t="s">
        <v>30</v>
      </c>
      <c r="J225" s="4">
        <v>0.5145833333333333</v>
      </c>
      <c r="K225" s="1" t="s">
        <v>219</v>
      </c>
      <c r="L225" s="1" t="s">
        <v>28</v>
      </c>
      <c r="M225" s="4">
        <v>0.7666666666666667</v>
      </c>
      <c r="N225" s="1" t="s">
        <v>434</v>
      </c>
      <c r="R225" s="1">
        <f t="shared" si="1"/>
        <v>178</v>
      </c>
      <c r="S225" s="1">
        <f t="shared" si="2"/>
        <v>58</v>
      </c>
      <c r="T225" s="5">
        <f t="shared" si="3"/>
        <v>178</v>
      </c>
      <c r="U225" s="5" t="s">
        <v>47</v>
      </c>
    </row>
    <row r="226">
      <c r="A226" s="1" t="s">
        <v>490</v>
      </c>
      <c r="B226" s="2">
        <v>13.0</v>
      </c>
      <c r="C226" s="1" t="s">
        <v>26</v>
      </c>
      <c r="D226" s="6"/>
      <c r="E226" s="7" t="s">
        <v>143</v>
      </c>
      <c r="F226" s="1" t="s">
        <v>30</v>
      </c>
      <c r="G226" s="4">
        <v>0.0</v>
      </c>
      <c r="H226" s="1" t="s">
        <v>120</v>
      </c>
      <c r="I226" s="1" t="s">
        <v>28</v>
      </c>
      <c r="J226" s="4">
        <v>0.25972222222222224</v>
      </c>
      <c r="K226" s="1" t="s">
        <v>491</v>
      </c>
      <c r="L226" s="1" t="s">
        <v>30</v>
      </c>
      <c r="M226" s="4">
        <v>0.5409722222222222</v>
      </c>
      <c r="N226" s="1" t="s">
        <v>252</v>
      </c>
      <c r="O226" s="1" t="s">
        <v>28</v>
      </c>
      <c r="P226" s="4">
        <v>0.7902777777777777</v>
      </c>
      <c r="Q226" s="1" t="s">
        <v>38</v>
      </c>
      <c r="R226" s="1">
        <f t="shared" si="1"/>
        <v>145</v>
      </c>
      <c r="S226" s="1">
        <f t="shared" si="2"/>
        <v>140</v>
      </c>
      <c r="T226" s="5">
        <f t="shared" si="3"/>
        <v>145</v>
      </c>
      <c r="U226" s="5" t="s">
        <v>47</v>
      </c>
    </row>
    <row r="227">
      <c r="A227" s="1" t="s">
        <v>490</v>
      </c>
      <c r="B227" s="2">
        <v>14.0</v>
      </c>
      <c r="C227" s="1" t="s">
        <v>34</v>
      </c>
      <c r="D227" s="6"/>
      <c r="E227" s="3"/>
      <c r="F227" s="1" t="s">
        <v>30</v>
      </c>
      <c r="G227" s="4">
        <v>0.030555555555555555</v>
      </c>
      <c r="H227" s="1" t="s">
        <v>112</v>
      </c>
      <c r="I227" s="1" t="s">
        <v>28</v>
      </c>
      <c r="J227" s="4">
        <v>0.28888888888888886</v>
      </c>
      <c r="K227" s="1" t="s">
        <v>486</v>
      </c>
      <c r="L227" s="1" t="s">
        <v>30</v>
      </c>
      <c r="M227" s="4">
        <v>0.5645833333333333</v>
      </c>
      <c r="N227" s="1" t="s">
        <v>124</v>
      </c>
      <c r="O227" s="1" t="s">
        <v>28</v>
      </c>
      <c r="P227" s="4">
        <v>0.8131944444444444</v>
      </c>
      <c r="Q227" s="1" t="s">
        <v>338</v>
      </c>
      <c r="R227" s="1">
        <f t="shared" si="1"/>
        <v>150</v>
      </c>
      <c r="S227" s="1">
        <f t="shared" si="2"/>
        <v>138</v>
      </c>
      <c r="T227" s="5">
        <f t="shared" si="3"/>
        <v>150</v>
      </c>
      <c r="U227" s="5" t="s">
        <v>47</v>
      </c>
    </row>
    <row r="228">
      <c r="A228" s="1" t="s">
        <v>490</v>
      </c>
      <c r="B228" s="2">
        <v>15.0</v>
      </c>
      <c r="C228" s="1" t="s">
        <v>41</v>
      </c>
      <c r="D228" s="1" t="s">
        <v>42</v>
      </c>
      <c r="E228" s="3"/>
      <c r="F228" s="1" t="s">
        <v>30</v>
      </c>
      <c r="G228" s="4">
        <v>0.059027777777777776</v>
      </c>
      <c r="H228" s="1" t="s">
        <v>134</v>
      </c>
      <c r="I228" s="1" t="s">
        <v>28</v>
      </c>
      <c r="J228" s="4">
        <v>0.3159722222222222</v>
      </c>
      <c r="K228" s="1" t="s">
        <v>492</v>
      </c>
      <c r="L228" s="1" t="s">
        <v>30</v>
      </c>
      <c r="M228" s="4">
        <v>0.5854166666666667</v>
      </c>
      <c r="N228" s="1" t="s">
        <v>45</v>
      </c>
      <c r="O228" s="1" t="s">
        <v>28</v>
      </c>
      <c r="P228" s="4">
        <v>0.8347222222222223</v>
      </c>
      <c r="Q228" s="1" t="s">
        <v>67</v>
      </c>
      <c r="R228" s="1">
        <f t="shared" si="1"/>
        <v>145</v>
      </c>
      <c r="S228" s="1">
        <f t="shared" si="2"/>
        <v>130</v>
      </c>
      <c r="T228" s="5">
        <f t="shared" si="3"/>
        <v>145</v>
      </c>
      <c r="U228" s="5" t="s">
        <v>47</v>
      </c>
    </row>
    <row r="229">
      <c r="A229" s="1" t="s">
        <v>490</v>
      </c>
      <c r="B229" s="2">
        <v>16.0</v>
      </c>
      <c r="C229" s="1" t="s">
        <v>55</v>
      </c>
      <c r="D229" s="1" t="s">
        <v>42</v>
      </c>
      <c r="E229" s="3"/>
      <c r="F229" s="1" t="s">
        <v>30</v>
      </c>
      <c r="G229" s="4">
        <v>0.0875</v>
      </c>
      <c r="H229" s="1" t="s">
        <v>118</v>
      </c>
      <c r="I229" s="1" t="s">
        <v>28</v>
      </c>
      <c r="J229" s="4">
        <v>0.3423611111111111</v>
      </c>
      <c r="K229" s="1" t="s">
        <v>493</v>
      </c>
      <c r="L229" s="1" t="s">
        <v>30</v>
      </c>
      <c r="M229" s="4">
        <v>0.6048611111111111</v>
      </c>
      <c r="N229" s="1" t="s">
        <v>200</v>
      </c>
      <c r="O229" s="1" t="s">
        <v>28</v>
      </c>
      <c r="P229" s="4">
        <v>0.8555555555555555</v>
      </c>
      <c r="Q229" s="1" t="s">
        <v>412</v>
      </c>
      <c r="R229" s="1">
        <f t="shared" si="1"/>
        <v>130</v>
      </c>
      <c r="S229" s="1">
        <f t="shared" si="2"/>
        <v>118</v>
      </c>
      <c r="T229" s="5">
        <f t="shared" si="3"/>
        <v>130</v>
      </c>
      <c r="U229" s="5" t="s">
        <v>47</v>
      </c>
    </row>
    <row r="230">
      <c r="A230" s="1" t="s">
        <v>490</v>
      </c>
      <c r="B230" s="2">
        <v>17.0</v>
      </c>
      <c r="C230" s="1" t="s">
        <v>25</v>
      </c>
      <c r="D230" s="6"/>
      <c r="E230" s="3"/>
      <c r="F230" s="1" t="s">
        <v>30</v>
      </c>
      <c r="G230" s="4">
        <v>0.11527777777777778</v>
      </c>
      <c r="H230" s="1" t="s">
        <v>117</v>
      </c>
      <c r="I230" s="1" t="s">
        <v>28</v>
      </c>
      <c r="J230" s="4">
        <v>0.3680555555555556</v>
      </c>
      <c r="K230" s="1" t="s">
        <v>38</v>
      </c>
      <c r="L230" s="1" t="s">
        <v>30</v>
      </c>
      <c r="M230" s="4">
        <v>0.6222222222222222</v>
      </c>
      <c r="N230" s="1" t="s">
        <v>191</v>
      </c>
      <c r="O230" s="1" t="s">
        <v>28</v>
      </c>
      <c r="P230" s="4">
        <v>0.8770833333333333</v>
      </c>
      <c r="Q230" s="1" t="s">
        <v>297</v>
      </c>
      <c r="R230" s="1">
        <f t="shared" si="1"/>
        <v>109</v>
      </c>
      <c r="S230" s="1">
        <f t="shared" si="2"/>
        <v>103</v>
      </c>
      <c r="T230" s="5">
        <f t="shared" si="3"/>
        <v>109</v>
      </c>
      <c r="U230" s="5" t="s">
        <v>90</v>
      </c>
    </row>
    <row r="231">
      <c r="A231" s="1" t="s">
        <v>490</v>
      </c>
      <c r="B231" s="2">
        <v>18.0</v>
      </c>
      <c r="C231" s="1" t="s">
        <v>75</v>
      </c>
      <c r="D231" s="6"/>
      <c r="E231" s="3"/>
      <c r="F231" s="1" t="s">
        <v>30</v>
      </c>
      <c r="G231" s="4">
        <v>0.14444444444444443</v>
      </c>
      <c r="H231" s="1" t="s">
        <v>122</v>
      </c>
      <c r="I231" s="1" t="s">
        <v>28</v>
      </c>
      <c r="J231" s="4">
        <v>0.39375</v>
      </c>
      <c r="K231" s="1" t="s">
        <v>135</v>
      </c>
      <c r="L231" s="1" t="s">
        <v>30</v>
      </c>
      <c r="M231" s="4">
        <v>0.6402777777777777</v>
      </c>
      <c r="N231" s="1" t="s">
        <v>334</v>
      </c>
      <c r="O231" s="1" t="s">
        <v>28</v>
      </c>
      <c r="P231" s="4">
        <v>0.9</v>
      </c>
      <c r="Q231" s="1" t="s">
        <v>78</v>
      </c>
      <c r="R231" s="1">
        <f t="shared" si="1"/>
        <v>85</v>
      </c>
      <c r="S231" s="1">
        <f t="shared" si="2"/>
        <v>87</v>
      </c>
      <c r="T231" s="5">
        <f t="shared" si="3"/>
        <v>87</v>
      </c>
      <c r="U231" s="5" t="s">
        <v>39</v>
      </c>
    </row>
    <row r="232">
      <c r="A232" s="1" t="s">
        <v>490</v>
      </c>
      <c r="B232" s="2">
        <v>19.0</v>
      </c>
      <c r="C232" s="1" t="s">
        <v>86</v>
      </c>
      <c r="D232" s="6"/>
      <c r="E232" s="3"/>
      <c r="F232" s="1" t="s">
        <v>30</v>
      </c>
      <c r="G232" s="4">
        <v>0.17708333333333334</v>
      </c>
      <c r="H232" s="1" t="s">
        <v>327</v>
      </c>
      <c r="I232" s="1" t="s">
        <v>28</v>
      </c>
      <c r="J232" s="4">
        <v>0.4236111111111111</v>
      </c>
      <c r="K232" s="1" t="s">
        <v>183</v>
      </c>
      <c r="L232" s="1" t="s">
        <v>30</v>
      </c>
      <c r="M232" s="4">
        <v>0.6590277777777778</v>
      </c>
      <c r="N232" s="1" t="s">
        <v>427</v>
      </c>
      <c r="O232" s="1" t="s">
        <v>28</v>
      </c>
      <c r="P232" s="4">
        <v>0.9270833333333334</v>
      </c>
      <c r="Q232" s="1" t="s">
        <v>147</v>
      </c>
      <c r="R232" s="1">
        <f t="shared" si="1"/>
        <v>60</v>
      </c>
      <c r="S232" s="1">
        <f t="shared" si="2"/>
        <v>70</v>
      </c>
      <c r="T232" s="5">
        <f t="shared" si="3"/>
        <v>70</v>
      </c>
      <c r="U232" s="5" t="s">
        <v>39</v>
      </c>
    </row>
    <row r="233">
      <c r="A233" s="1" t="s">
        <v>490</v>
      </c>
      <c r="B233" s="2">
        <v>20.0</v>
      </c>
      <c r="C233" s="1" t="s">
        <v>26</v>
      </c>
      <c r="D233" s="6"/>
      <c r="E233" s="7" t="s">
        <v>184</v>
      </c>
      <c r="F233" s="1" t="s">
        <v>30</v>
      </c>
      <c r="G233" s="4">
        <v>0.22083333333333333</v>
      </c>
      <c r="H233" s="1" t="s">
        <v>481</v>
      </c>
      <c r="I233" s="1" t="s">
        <v>28</v>
      </c>
      <c r="J233" s="4">
        <v>0.46805555555555556</v>
      </c>
      <c r="K233" s="1" t="s">
        <v>109</v>
      </c>
      <c r="L233" s="1" t="s">
        <v>30</v>
      </c>
      <c r="M233" s="4">
        <v>0.6840277777777778</v>
      </c>
      <c r="N233" s="1" t="s">
        <v>398</v>
      </c>
      <c r="O233" s="1" t="s">
        <v>28</v>
      </c>
      <c r="P233" s="4">
        <v>0.9645833333333333</v>
      </c>
      <c r="Q233" s="1" t="s">
        <v>135</v>
      </c>
      <c r="R233" s="1">
        <f t="shared" si="1"/>
        <v>36</v>
      </c>
      <c r="S233" s="1">
        <f t="shared" si="2"/>
        <v>54</v>
      </c>
      <c r="T233" s="5">
        <f t="shared" si="3"/>
        <v>54</v>
      </c>
      <c r="U233" s="5" t="s">
        <v>39</v>
      </c>
    </row>
    <row r="234">
      <c r="A234" s="1" t="s">
        <v>490</v>
      </c>
      <c r="B234" s="2">
        <v>21.0</v>
      </c>
      <c r="C234" s="1" t="s">
        <v>34</v>
      </c>
      <c r="D234" s="6"/>
      <c r="E234" s="3"/>
      <c r="F234" s="1" t="s">
        <v>30</v>
      </c>
      <c r="G234" s="4">
        <v>0.29097222222222224</v>
      </c>
      <c r="H234" s="1" t="s">
        <v>427</v>
      </c>
      <c r="I234" s="1" t="s">
        <v>28</v>
      </c>
      <c r="J234" s="4">
        <v>0.5631944444444444</v>
      </c>
      <c r="K234" s="1" t="s">
        <v>323</v>
      </c>
      <c r="L234" s="1" t="s">
        <v>30</v>
      </c>
      <c r="M234" s="4">
        <v>0.7333333333333333</v>
      </c>
      <c r="N234" s="1" t="s">
        <v>29</v>
      </c>
      <c r="R234" s="1">
        <f t="shared" si="1"/>
        <v>26</v>
      </c>
      <c r="S234" s="1">
        <f t="shared" si="2"/>
        <v>3</v>
      </c>
      <c r="T234" s="5">
        <f t="shared" si="3"/>
        <v>26</v>
      </c>
      <c r="U234" s="5" t="s">
        <v>39</v>
      </c>
    </row>
    <row r="235">
      <c r="A235" s="1" t="s">
        <v>490</v>
      </c>
      <c r="B235" s="2">
        <v>22.0</v>
      </c>
      <c r="C235" s="1" t="s">
        <v>41</v>
      </c>
      <c r="D235" s="1" t="s">
        <v>42</v>
      </c>
      <c r="E235" s="3"/>
      <c r="F235" s="1" t="s">
        <v>28</v>
      </c>
      <c r="G235" s="4">
        <v>0.025694444444444443</v>
      </c>
      <c r="H235" s="1" t="s">
        <v>360</v>
      </c>
      <c r="I235" s="1" t="s">
        <v>30</v>
      </c>
      <c r="J235" s="4">
        <v>0.3736111111111111</v>
      </c>
      <c r="K235" s="1" t="s">
        <v>494</v>
      </c>
      <c r="L235" s="1" t="s">
        <v>28</v>
      </c>
      <c r="M235" s="4">
        <v>0.65</v>
      </c>
      <c r="N235" s="1" t="s">
        <v>77</v>
      </c>
      <c r="O235" s="1" t="s">
        <v>30</v>
      </c>
      <c r="P235" s="4">
        <v>0.8118055555555556</v>
      </c>
      <c r="Q235" s="1" t="s">
        <v>222</v>
      </c>
      <c r="R235" s="1">
        <f t="shared" si="1"/>
        <v>64</v>
      </c>
      <c r="S235" s="1">
        <f t="shared" si="2"/>
        <v>10</v>
      </c>
      <c r="T235" s="5">
        <f t="shared" si="3"/>
        <v>64</v>
      </c>
      <c r="U235" s="5" t="s">
        <v>39</v>
      </c>
    </row>
    <row r="236">
      <c r="A236" s="1" t="s">
        <v>490</v>
      </c>
      <c r="B236" s="2">
        <v>23.0</v>
      </c>
      <c r="C236" s="1" t="s">
        <v>55</v>
      </c>
      <c r="D236" s="1" t="s">
        <v>42</v>
      </c>
      <c r="E236" s="3"/>
      <c r="F236" s="1" t="s">
        <v>28</v>
      </c>
      <c r="G236" s="4">
        <v>0.09652777777777778</v>
      </c>
      <c r="H236" s="1" t="s">
        <v>301</v>
      </c>
      <c r="I236" s="1" t="s">
        <v>30</v>
      </c>
      <c r="J236" s="4">
        <v>0.41805555555555557</v>
      </c>
      <c r="K236" s="1" t="s">
        <v>480</v>
      </c>
      <c r="L236" s="1" t="s">
        <v>28</v>
      </c>
      <c r="M236" s="4">
        <v>0.6840277777777778</v>
      </c>
      <c r="N236" s="1" t="s">
        <v>471</v>
      </c>
      <c r="O236" s="1" t="s">
        <v>30</v>
      </c>
      <c r="P236" s="4">
        <v>0.8770833333333333</v>
      </c>
      <c r="Q236" s="1" t="s">
        <v>113</v>
      </c>
      <c r="R236" s="1">
        <f t="shared" si="1"/>
        <v>76</v>
      </c>
      <c r="S236" s="1">
        <f t="shared" si="2"/>
        <v>23</v>
      </c>
      <c r="T236" s="5">
        <f t="shared" si="3"/>
        <v>76</v>
      </c>
      <c r="U236" s="5" t="s">
        <v>39</v>
      </c>
    </row>
    <row r="237">
      <c r="A237" s="1" t="s">
        <v>490</v>
      </c>
      <c r="B237" s="2">
        <v>24.0</v>
      </c>
      <c r="C237" s="1" t="s">
        <v>25</v>
      </c>
      <c r="D237" s="6"/>
      <c r="E237" s="3"/>
      <c r="F237" s="1" t="s">
        <v>28</v>
      </c>
      <c r="G237" s="4">
        <v>0.14444444444444443</v>
      </c>
      <c r="H237" s="1" t="s">
        <v>388</v>
      </c>
      <c r="I237" s="1" t="s">
        <v>30</v>
      </c>
      <c r="J237" s="4">
        <v>0.4465277777777778</v>
      </c>
      <c r="K237" s="1" t="s">
        <v>326</v>
      </c>
      <c r="L237" s="1" t="s">
        <v>28</v>
      </c>
      <c r="M237" s="4">
        <v>0.7055555555555556</v>
      </c>
      <c r="N237" s="1" t="s">
        <v>218</v>
      </c>
      <c r="O237" s="1" t="s">
        <v>30</v>
      </c>
      <c r="P237" s="4">
        <v>0.9180555555555555</v>
      </c>
      <c r="Q237" s="1" t="s">
        <v>331</v>
      </c>
      <c r="R237" s="1">
        <f t="shared" si="1"/>
        <v>94</v>
      </c>
      <c r="S237" s="1">
        <f t="shared" si="2"/>
        <v>41</v>
      </c>
      <c r="T237" s="5">
        <f t="shared" si="3"/>
        <v>94</v>
      </c>
      <c r="U237" s="5" t="s">
        <v>90</v>
      </c>
    </row>
    <row r="238">
      <c r="A238" s="1" t="s">
        <v>490</v>
      </c>
      <c r="B238" s="2">
        <v>25.0</v>
      </c>
      <c r="C238" s="1" t="s">
        <v>75</v>
      </c>
      <c r="D238" s="6"/>
      <c r="E238" s="3"/>
      <c r="F238" s="1" t="s">
        <v>28</v>
      </c>
      <c r="G238" s="4">
        <v>0.17777777777777778</v>
      </c>
      <c r="H238" s="1" t="s">
        <v>385</v>
      </c>
      <c r="I238" s="1" t="s">
        <v>30</v>
      </c>
      <c r="J238" s="4">
        <v>0.46875</v>
      </c>
      <c r="K238" s="1" t="s">
        <v>223</v>
      </c>
      <c r="L238" s="1" t="s">
        <v>28</v>
      </c>
      <c r="M238" s="4">
        <v>0.7243055555555555</v>
      </c>
      <c r="N238" s="1" t="s">
        <v>251</v>
      </c>
      <c r="O238" s="1" t="s">
        <v>30</v>
      </c>
      <c r="P238" s="4">
        <v>0.9472222222222222</v>
      </c>
      <c r="Q238" s="1" t="s">
        <v>483</v>
      </c>
      <c r="R238" s="1">
        <f t="shared" si="1"/>
        <v>112</v>
      </c>
      <c r="S238" s="1">
        <f t="shared" si="2"/>
        <v>59</v>
      </c>
      <c r="T238" s="5">
        <f t="shared" si="3"/>
        <v>112</v>
      </c>
      <c r="U238" s="5" t="s">
        <v>90</v>
      </c>
    </row>
    <row r="239">
      <c r="A239" s="1" t="s">
        <v>490</v>
      </c>
      <c r="B239" s="2">
        <v>26.0</v>
      </c>
      <c r="C239" s="1" t="s">
        <v>86</v>
      </c>
      <c r="D239" s="6"/>
      <c r="E239" s="3"/>
      <c r="F239" s="1" t="s">
        <v>28</v>
      </c>
      <c r="G239" s="4">
        <v>0.20416666666666666</v>
      </c>
      <c r="H239" s="1" t="s">
        <v>211</v>
      </c>
      <c r="I239" s="1" t="s">
        <v>30</v>
      </c>
      <c r="J239" s="4">
        <v>0.4888888888888889</v>
      </c>
      <c r="K239" s="1" t="s">
        <v>31</v>
      </c>
      <c r="L239" s="1" t="s">
        <v>28</v>
      </c>
      <c r="M239" s="4">
        <v>0.7423611111111111</v>
      </c>
      <c r="N239" s="1" t="s">
        <v>307</v>
      </c>
      <c r="O239" s="1" t="s">
        <v>30</v>
      </c>
      <c r="P239" s="4">
        <v>0.9729166666666667</v>
      </c>
      <c r="Q239" s="1" t="s">
        <v>236</v>
      </c>
      <c r="R239" s="1">
        <f t="shared" si="1"/>
        <v>128</v>
      </c>
      <c r="S239" s="1">
        <f t="shared" si="2"/>
        <v>78</v>
      </c>
      <c r="T239" s="5">
        <f t="shared" si="3"/>
        <v>128</v>
      </c>
      <c r="U239" s="5" t="s">
        <v>47</v>
      </c>
    </row>
    <row r="240">
      <c r="A240" s="1" t="s">
        <v>490</v>
      </c>
      <c r="B240" s="2">
        <v>27.0</v>
      </c>
      <c r="C240" s="1" t="s">
        <v>26</v>
      </c>
      <c r="D240" s="6"/>
      <c r="E240" s="3"/>
      <c r="F240" s="1" t="s">
        <v>28</v>
      </c>
      <c r="G240" s="4">
        <v>0.22847222222222222</v>
      </c>
      <c r="H240" s="1" t="s">
        <v>414</v>
      </c>
      <c r="I240" s="1" t="s">
        <v>30</v>
      </c>
      <c r="J240" s="4">
        <v>0.5076388888888889</v>
      </c>
      <c r="K240" s="1" t="s">
        <v>146</v>
      </c>
      <c r="L240" s="1" t="s">
        <v>28</v>
      </c>
      <c r="M240" s="4">
        <v>0.7597222222222222</v>
      </c>
      <c r="N240" s="1" t="s">
        <v>337</v>
      </c>
      <c r="O240" s="1" t="s">
        <v>30</v>
      </c>
      <c r="P240" s="4">
        <v>0.9965277777777778</v>
      </c>
      <c r="Q240" s="1" t="s">
        <v>122</v>
      </c>
      <c r="R240" s="1">
        <f t="shared" si="1"/>
        <v>141</v>
      </c>
      <c r="S240" s="1">
        <f t="shared" si="2"/>
        <v>96</v>
      </c>
      <c r="T240" s="5">
        <f t="shared" si="3"/>
        <v>141</v>
      </c>
      <c r="U240" s="5" t="s">
        <v>47</v>
      </c>
    </row>
    <row r="241">
      <c r="A241" s="1" t="s">
        <v>490</v>
      </c>
      <c r="B241" s="2">
        <v>28.0</v>
      </c>
      <c r="C241" s="1" t="s">
        <v>34</v>
      </c>
      <c r="D241" s="6"/>
      <c r="E241" s="7" t="s">
        <v>35</v>
      </c>
      <c r="F241" s="1" t="s">
        <v>28</v>
      </c>
      <c r="G241" s="4">
        <v>0.25069444444444444</v>
      </c>
      <c r="H241" s="1" t="s">
        <v>455</v>
      </c>
      <c r="I241" s="1" t="s">
        <v>30</v>
      </c>
      <c r="J241" s="4">
        <v>0.5256944444444445</v>
      </c>
      <c r="K241" s="1" t="s">
        <v>45</v>
      </c>
      <c r="L241" s="1" t="s">
        <v>28</v>
      </c>
      <c r="M241" s="4">
        <v>0.7770833333333333</v>
      </c>
      <c r="N241" s="1" t="s">
        <v>385</v>
      </c>
      <c r="R241" s="1">
        <f t="shared" si="1"/>
        <v>149</v>
      </c>
      <c r="S241" s="1">
        <f t="shared" si="2"/>
        <v>66</v>
      </c>
      <c r="T241" s="5">
        <f t="shared" si="3"/>
        <v>149</v>
      </c>
      <c r="U241" s="5" t="s">
        <v>47</v>
      </c>
    </row>
    <row r="242">
      <c r="A242" s="1" t="s">
        <v>490</v>
      </c>
      <c r="B242" s="2">
        <v>29.0</v>
      </c>
      <c r="C242" s="1" t="s">
        <v>41</v>
      </c>
      <c r="D242" s="1" t="s">
        <v>42</v>
      </c>
      <c r="E242" s="3"/>
      <c r="F242" s="1" t="s">
        <v>30</v>
      </c>
      <c r="G242" s="4">
        <v>0.02013888888888889</v>
      </c>
      <c r="H242" s="1" t="s">
        <v>223</v>
      </c>
      <c r="I242" s="1" t="s">
        <v>28</v>
      </c>
      <c r="J242" s="4">
        <v>0.27361111111111114</v>
      </c>
      <c r="K242" s="1" t="s">
        <v>464</v>
      </c>
      <c r="L242" s="1" t="s">
        <v>30</v>
      </c>
      <c r="M242" s="4">
        <v>0.5430555555555555</v>
      </c>
      <c r="N242" s="1" t="s">
        <v>45</v>
      </c>
      <c r="O242" s="1" t="s">
        <v>28</v>
      </c>
      <c r="P242" s="4">
        <v>0.7944444444444444</v>
      </c>
      <c r="Q242" s="1" t="s">
        <v>46</v>
      </c>
      <c r="R242" s="1">
        <f t="shared" si="1"/>
        <v>138</v>
      </c>
      <c r="S242" s="1">
        <f t="shared" si="2"/>
        <v>131</v>
      </c>
      <c r="T242" s="5">
        <f t="shared" si="3"/>
        <v>138</v>
      </c>
      <c r="U242" s="5" t="s">
        <v>47</v>
      </c>
    </row>
    <row r="243">
      <c r="A243" s="1" t="s">
        <v>490</v>
      </c>
      <c r="B243" s="2">
        <v>30.0</v>
      </c>
      <c r="C243" s="1" t="s">
        <v>55</v>
      </c>
      <c r="D243" s="1" t="s">
        <v>42</v>
      </c>
      <c r="E243" s="3"/>
      <c r="F243" s="1" t="s">
        <v>30</v>
      </c>
      <c r="G243" s="4">
        <v>0.044444444444444446</v>
      </c>
      <c r="H243" s="1" t="s">
        <v>31</v>
      </c>
      <c r="I243" s="1" t="s">
        <v>28</v>
      </c>
      <c r="J243" s="4">
        <v>0.2965277777777778</v>
      </c>
      <c r="K243" s="1" t="s">
        <v>416</v>
      </c>
      <c r="L243" s="1" t="s">
        <v>30</v>
      </c>
      <c r="M243" s="4">
        <v>0.5611111111111111</v>
      </c>
      <c r="N243" s="1" t="s">
        <v>146</v>
      </c>
      <c r="O243" s="1" t="s">
        <v>28</v>
      </c>
      <c r="P243" s="4">
        <v>0.8131944444444444</v>
      </c>
      <c r="Q243" s="1" t="s">
        <v>346</v>
      </c>
      <c r="R243" s="1">
        <f t="shared" si="1"/>
        <v>141</v>
      </c>
      <c r="S243" s="1">
        <f t="shared" si="2"/>
        <v>133</v>
      </c>
      <c r="T243" s="5">
        <f t="shared" si="3"/>
        <v>141</v>
      </c>
      <c r="U243" s="5" t="s">
        <v>47</v>
      </c>
    </row>
    <row r="244">
      <c r="A244" s="1" t="s">
        <v>490</v>
      </c>
      <c r="B244" s="2">
        <v>31.0</v>
      </c>
      <c r="C244" s="1" t="s">
        <v>25</v>
      </c>
      <c r="D244" s="6"/>
      <c r="E244" s="3"/>
      <c r="F244" s="1" t="s">
        <v>30</v>
      </c>
      <c r="G244" s="4">
        <v>0.06944444444444445</v>
      </c>
      <c r="H244" s="1" t="s">
        <v>146</v>
      </c>
      <c r="I244" s="1" t="s">
        <v>28</v>
      </c>
      <c r="J244" s="4">
        <v>0.32083333333333336</v>
      </c>
      <c r="K244" s="1" t="s">
        <v>488</v>
      </c>
      <c r="L244" s="1" t="s">
        <v>30</v>
      </c>
      <c r="M244" s="4">
        <v>0.5791666666666667</v>
      </c>
      <c r="N244" s="1" t="s">
        <v>114</v>
      </c>
      <c r="O244" s="1" t="s">
        <v>28</v>
      </c>
      <c r="P244" s="4">
        <v>0.8333333333333334</v>
      </c>
      <c r="Q244" s="1" t="s">
        <v>495</v>
      </c>
      <c r="R244" s="1">
        <f t="shared" si="1"/>
        <v>138</v>
      </c>
      <c r="S244" s="1">
        <f t="shared" si="2"/>
        <v>130</v>
      </c>
      <c r="T244" s="5">
        <f t="shared" si="3"/>
        <v>138</v>
      </c>
      <c r="U244" s="5" t="s">
        <v>47</v>
      </c>
    </row>
    <row r="245">
      <c r="A245" s="1" t="s">
        <v>498</v>
      </c>
      <c r="B245" s="2">
        <v>1.0</v>
      </c>
      <c r="C245" s="1" t="s">
        <v>75</v>
      </c>
      <c r="D245" s="6"/>
      <c r="E245" s="3"/>
      <c r="F245" s="1" t="s">
        <v>30</v>
      </c>
      <c r="G245" s="4">
        <v>0.09583333333333334</v>
      </c>
      <c r="H245" s="1" t="s">
        <v>146</v>
      </c>
      <c r="I245" s="1" t="s">
        <v>28</v>
      </c>
      <c r="J245" s="4">
        <v>0.34652777777777777</v>
      </c>
      <c r="K245" s="1" t="s">
        <v>412</v>
      </c>
      <c r="L245" s="1" t="s">
        <v>30</v>
      </c>
      <c r="M245" s="4">
        <v>0.5979166666666667</v>
      </c>
      <c r="N245" s="1" t="s">
        <v>224</v>
      </c>
      <c r="O245" s="1" t="s">
        <v>28</v>
      </c>
      <c r="P245" s="4">
        <v>0.8548611111111111</v>
      </c>
      <c r="Q245" s="1" t="s">
        <v>497</v>
      </c>
      <c r="R245" s="1">
        <f t="shared" si="1"/>
        <v>126</v>
      </c>
      <c r="S245" s="1">
        <f t="shared" si="2"/>
        <v>121</v>
      </c>
      <c r="T245" s="5">
        <f t="shared" si="3"/>
        <v>126</v>
      </c>
      <c r="U245" s="5" t="s">
        <v>47</v>
      </c>
    </row>
    <row r="246">
      <c r="A246" s="1" t="s">
        <v>498</v>
      </c>
      <c r="B246" s="2">
        <v>2.0</v>
      </c>
      <c r="C246" s="1" t="s">
        <v>86</v>
      </c>
      <c r="D246" s="6"/>
      <c r="E246" s="3"/>
      <c r="F246" s="1" t="s">
        <v>30</v>
      </c>
      <c r="G246" s="4">
        <v>0.125</v>
      </c>
      <c r="H246" s="1" t="s">
        <v>257</v>
      </c>
      <c r="I246" s="1" t="s">
        <v>28</v>
      </c>
      <c r="J246" s="4">
        <v>0.37430555555555556</v>
      </c>
      <c r="K246" s="1" t="s">
        <v>147</v>
      </c>
      <c r="L246" s="1" t="s">
        <v>30</v>
      </c>
      <c r="M246" s="4">
        <v>0.6173611111111111</v>
      </c>
      <c r="N246" s="1" t="s">
        <v>250</v>
      </c>
      <c r="O246" s="1" t="s">
        <v>28</v>
      </c>
      <c r="P246" s="4">
        <v>0.8798611111111111</v>
      </c>
      <c r="Q246" s="1" t="s">
        <v>205</v>
      </c>
      <c r="R246" s="1">
        <f t="shared" si="1"/>
        <v>108</v>
      </c>
      <c r="S246" s="1">
        <f t="shared" si="2"/>
        <v>106</v>
      </c>
      <c r="T246" s="5">
        <f t="shared" si="3"/>
        <v>108</v>
      </c>
      <c r="U246" s="5" t="s">
        <v>90</v>
      </c>
    </row>
    <row r="247">
      <c r="A247" s="1" t="s">
        <v>498</v>
      </c>
      <c r="B247" s="2">
        <v>3.0</v>
      </c>
      <c r="C247" s="1" t="s">
        <v>26</v>
      </c>
      <c r="D247" s="6"/>
      <c r="E247" s="3"/>
      <c r="F247" s="1" t="s">
        <v>30</v>
      </c>
      <c r="G247" s="4">
        <v>0.1597222222222222</v>
      </c>
      <c r="H247" s="1" t="s">
        <v>115</v>
      </c>
      <c r="I247" s="1" t="s">
        <v>28</v>
      </c>
      <c r="J247" s="4">
        <v>0.4076388888888889</v>
      </c>
      <c r="K247" s="1" t="s">
        <v>262</v>
      </c>
      <c r="L247" s="1" t="s">
        <v>30</v>
      </c>
      <c r="M247" s="4">
        <v>0.6395833333333333</v>
      </c>
      <c r="N247" s="1" t="s">
        <v>291</v>
      </c>
      <c r="O247" s="1" t="s">
        <v>28</v>
      </c>
      <c r="P247" s="4">
        <v>0.9111111111111111</v>
      </c>
      <c r="Q247" s="1" t="s">
        <v>297</v>
      </c>
      <c r="R247" s="1">
        <f t="shared" si="1"/>
        <v>83</v>
      </c>
      <c r="S247" s="1">
        <f t="shared" si="2"/>
        <v>89</v>
      </c>
      <c r="T247" s="5">
        <f t="shared" si="3"/>
        <v>89</v>
      </c>
      <c r="U247" s="5" t="s">
        <v>39</v>
      </c>
    </row>
    <row r="248">
      <c r="A248" s="1" t="s">
        <v>498</v>
      </c>
      <c r="B248" s="2">
        <v>4.0</v>
      </c>
      <c r="C248" s="1" t="s">
        <v>34</v>
      </c>
      <c r="D248" s="6"/>
      <c r="E248" s="7" t="s">
        <v>107</v>
      </c>
      <c r="F248" s="1" t="s">
        <v>30</v>
      </c>
      <c r="G248" s="4">
        <v>0.20625</v>
      </c>
      <c r="H248" s="1" t="s">
        <v>122</v>
      </c>
      <c r="I248" s="1" t="s">
        <v>28</v>
      </c>
      <c r="J248" s="4">
        <v>0.45416666666666666</v>
      </c>
      <c r="K248" s="1" t="s">
        <v>173</v>
      </c>
      <c r="L248" s="1" t="s">
        <v>30</v>
      </c>
      <c r="M248" s="4">
        <v>0.66875</v>
      </c>
      <c r="N248" s="1" t="s">
        <v>332</v>
      </c>
      <c r="O248" s="1" t="s">
        <v>28</v>
      </c>
      <c r="P248" s="4">
        <v>0.9548611111111112</v>
      </c>
      <c r="Q248" s="1" t="s">
        <v>337</v>
      </c>
      <c r="R248" s="1">
        <f t="shared" si="1"/>
        <v>58</v>
      </c>
      <c r="S248" s="1">
        <f t="shared" si="2"/>
        <v>69</v>
      </c>
      <c r="T248" s="5">
        <f t="shared" si="3"/>
        <v>69</v>
      </c>
      <c r="U248" s="5" t="s">
        <v>39</v>
      </c>
    </row>
    <row r="249">
      <c r="A249" s="1" t="s">
        <v>498</v>
      </c>
      <c r="B249" s="2">
        <v>5.0</v>
      </c>
      <c r="C249" s="1" t="s">
        <v>41</v>
      </c>
      <c r="D249" s="1" t="s">
        <v>42</v>
      </c>
      <c r="E249" s="3"/>
      <c r="F249" s="1" t="s">
        <v>30</v>
      </c>
      <c r="G249" s="4">
        <v>0.2791666666666667</v>
      </c>
      <c r="H249" s="1" t="s">
        <v>295</v>
      </c>
      <c r="I249" s="1" t="s">
        <v>28</v>
      </c>
      <c r="J249" s="4">
        <v>0.5548611111111111</v>
      </c>
      <c r="K249" s="1" t="s">
        <v>323</v>
      </c>
      <c r="L249" s="1" t="s">
        <v>30</v>
      </c>
      <c r="M249" s="4">
        <v>0.7243055555555555</v>
      </c>
      <c r="N249" s="1" t="s">
        <v>397</v>
      </c>
      <c r="R249" s="1">
        <f t="shared" si="1"/>
        <v>43</v>
      </c>
      <c r="S249" s="1">
        <f t="shared" si="2"/>
        <v>1</v>
      </c>
      <c r="T249" s="5">
        <f t="shared" si="3"/>
        <v>43</v>
      </c>
      <c r="U249" s="5" t="s">
        <v>39</v>
      </c>
    </row>
    <row r="250">
      <c r="A250" s="1" t="s">
        <v>498</v>
      </c>
      <c r="B250" s="2">
        <v>6.0</v>
      </c>
      <c r="C250" s="1" t="s">
        <v>55</v>
      </c>
      <c r="D250" s="1" t="s">
        <v>42</v>
      </c>
      <c r="E250" s="3"/>
      <c r="F250" s="1" t="s">
        <v>28</v>
      </c>
      <c r="G250" s="4">
        <v>0.025694444444444443</v>
      </c>
      <c r="H250" s="1" t="s">
        <v>147</v>
      </c>
      <c r="I250" s="1" t="s">
        <v>30</v>
      </c>
      <c r="J250" s="4">
        <v>0.3625</v>
      </c>
      <c r="K250" s="1" t="s">
        <v>326</v>
      </c>
      <c r="L250" s="1" t="s">
        <v>28</v>
      </c>
      <c r="M250" s="4">
        <v>0.6402777777777777</v>
      </c>
      <c r="N250" s="1" t="s">
        <v>230</v>
      </c>
      <c r="O250" s="1" t="s">
        <v>30</v>
      </c>
      <c r="P250" s="4">
        <v>0.8236111111111111</v>
      </c>
      <c r="Q250" s="1" t="s">
        <v>113</v>
      </c>
      <c r="R250" s="1">
        <f t="shared" si="1"/>
        <v>93</v>
      </c>
      <c r="S250" s="1">
        <f t="shared" si="2"/>
        <v>17</v>
      </c>
      <c r="T250" s="5">
        <f t="shared" si="3"/>
        <v>93</v>
      </c>
      <c r="U250" s="5" t="s">
        <v>90</v>
      </c>
    </row>
    <row r="251">
      <c r="A251" s="1" t="s">
        <v>498</v>
      </c>
      <c r="B251" s="2">
        <v>7.0</v>
      </c>
      <c r="C251" s="1" t="s">
        <v>25</v>
      </c>
      <c r="D251" s="6"/>
      <c r="E251" s="3"/>
      <c r="F251" s="1" t="s">
        <v>28</v>
      </c>
      <c r="G251" s="4">
        <v>0.10208333333333333</v>
      </c>
      <c r="H251" s="1" t="s">
        <v>78</v>
      </c>
      <c r="I251" s="1" t="s">
        <v>30</v>
      </c>
      <c r="J251" s="4">
        <v>0.4125</v>
      </c>
      <c r="K251" s="1" t="s">
        <v>134</v>
      </c>
      <c r="L251" s="1" t="s">
        <v>28</v>
      </c>
      <c r="M251" s="4">
        <v>0.6770833333333334</v>
      </c>
      <c r="N251" s="1" t="s">
        <v>183</v>
      </c>
      <c r="O251" s="1" t="s">
        <v>30</v>
      </c>
      <c r="P251" s="4">
        <v>0.8916666666666667</v>
      </c>
      <c r="Q251" s="1" t="s">
        <v>225</v>
      </c>
      <c r="R251" s="1">
        <f t="shared" si="1"/>
        <v>112</v>
      </c>
      <c r="S251" s="1">
        <f t="shared" si="2"/>
        <v>41</v>
      </c>
      <c r="T251" s="5">
        <f t="shared" si="3"/>
        <v>112</v>
      </c>
      <c r="U251" s="5" t="s">
        <v>90</v>
      </c>
    </row>
    <row r="252">
      <c r="A252" s="1" t="s">
        <v>498</v>
      </c>
      <c r="B252" s="2">
        <v>8.0</v>
      </c>
      <c r="C252" s="1" t="s">
        <v>75</v>
      </c>
      <c r="D252" s="6"/>
      <c r="E252" s="3"/>
      <c r="F252" s="1" t="s">
        <v>28</v>
      </c>
      <c r="G252" s="4">
        <v>0.1527777777777778</v>
      </c>
      <c r="H252" s="1" t="s">
        <v>298</v>
      </c>
      <c r="I252" s="1" t="s">
        <v>30</v>
      </c>
      <c r="J252" s="4">
        <v>0.44722222222222224</v>
      </c>
      <c r="K252" s="1" t="s">
        <v>110</v>
      </c>
      <c r="L252" s="1" t="s">
        <v>28</v>
      </c>
      <c r="M252" s="4">
        <v>0.7027777777777777</v>
      </c>
      <c r="N252" s="1" t="s">
        <v>179</v>
      </c>
      <c r="O252" s="1" t="s">
        <v>30</v>
      </c>
      <c r="P252" s="4">
        <v>0.9333333333333333</v>
      </c>
      <c r="Q252" s="1" t="s">
        <v>422</v>
      </c>
      <c r="R252" s="1">
        <f t="shared" si="1"/>
        <v>136</v>
      </c>
      <c r="S252" s="1">
        <f t="shared" si="2"/>
        <v>69</v>
      </c>
      <c r="T252" s="5">
        <f t="shared" si="3"/>
        <v>136</v>
      </c>
      <c r="U252" s="5" t="s">
        <v>47</v>
      </c>
    </row>
    <row r="253">
      <c r="A253" s="1" t="s">
        <v>498</v>
      </c>
      <c r="B253" s="2">
        <v>9.0</v>
      </c>
      <c r="C253" s="1" t="s">
        <v>86</v>
      </c>
      <c r="D253" s="6"/>
      <c r="E253" s="3"/>
      <c r="F253" s="1" t="s">
        <v>28</v>
      </c>
      <c r="G253" s="4">
        <v>0.18958333333333333</v>
      </c>
      <c r="H253" s="1" t="s">
        <v>417</v>
      </c>
      <c r="I253" s="1" t="s">
        <v>30</v>
      </c>
      <c r="J253" s="4">
        <v>0.47430555555555554</v>
      </c>
      <c r="K253" s="1" t="s">
        <v>182</v>
      </c>
      <c r="L253" s="1" t="s">
        <v>28</v>
      </c>
      <c r="M253" s="4">
        <v>0.725</v>
      </c>
      <c r="N253" s="1" t="s">
        <v>410</v>
      </c>
      <c r="O253" s="1" t="s">
        <v>30</v>
      </c>
      <c r="P253" s="4">
        <v>0.9652777777777778</v>
      </c>
      <c r="Q253" s="1" t="s">
        <v>120</v>
      </c>
      <c r="R253" s="1">
        <f t="shared" si="1"/>
        <v>153</v>
      </c>
      <c r="S253" s="1">
        <f t="shared" si="2"/>
        <v>96</v>
      </c>
      <c r="T253" s="5">
        <f t="shared" si="3"/>
        <v>153</v>
      </c>
      <c r="U253" s="5" t="s">
        <v>47</v>
      </c>
    </row>
    <row r="254">
      <c r="A254" s="1" t="s">
        <v>498</v>
      </c>
      <c r="B254" s="2">
        <v>10.0</v>
      </c>
      <c r="C254" s="1" t="s">
        <v>26</v>
      </c>
      <c r="D254" s="6"/>
      <c r="E254" s="3"/>
      <c r="F254" s="1" t="s">
        <v>28</v>
      </c>
      <c r="G254" s="4">
        <v>0.22083333333333333</v>
      </c>
      <c r="H254" s="1" t="s">
        <v>492</v>
      </c>
      <c r="I254" s="1" t="s">
        <v>30</v>
      </c>
      <c r="J254" s="4">
        <v>0.4979166666666667</v>
      </c>
      <c r="K254" s="1" t="s">
        <v>174</v>
      </c>
      <c r="L254" s="1" t="s">
        <v>28</v>
      </c>
      <c r="M254" s="4">
        <v>0.7458333333333333</v>
      </c>
      <c r="N254" s="1" t="s">
        <v>385</v>
      </c>
      <c r="O254" s="1" t="s">
        <v>30</v>
      </c>
      <c r="P254" s="4">
        <v>0.9930555555555556</v>
      </c>
      <c r="Q254" s="1" t="s">
        <v>114</v>
      </c>
      <c r="R254" s="1">
        <f t="shared" si="1"/>
        <v>163</v>
      </c>
      <c r="S254" s="1">
        <f t="shared" si="2"/>
        <v>117</v>
      </c>
      <c r="T254" s="5">
        <f t="shared" si="3"/>
        <v>163</v>
      </c>
      <c r="U254" s="5" t="s">
        <v>47</v>
      </c>
    </row>
    <row r="255">
      <c r="A255" s="1" t="s">
        <v>498</v>
      </c>
      <c r="B255" s="2">
        <v>11.0</v>
      </c>
      <c r="C255" s="1" t="s">
        <v>34</v>
      </c>
      <c r="D255" s="6"/>
      <c r="E255" s="7" t="s">
        <v>143</v>
      </c>
      <c r="F255" s="1" t="s">
        <v>28</v>
      </c>
      <c r="G255" s="4">
        <v>0.24930555555555556</v>
      </c>
      <c r="H255" s="1" t="s">
        <v>477</v>
      </c>
      <c r="I255" s="1" t="s">
        <v>30</v>
      </c>
      <c r="J255" s="4">
        <v>0.5194444444444445</v>
      </c>
      <c r="K255" s="1" t="s">
        <v>313</v>
      </c>
      <c r="L255" s="1" t="s">
        <v>28</v>
      </c>
      <c r="M255" s="4">
        <v>0.7666666666666667</v>
      </c>
      <c r="N255" s="1" t="s">
        <v>205</v>
      </c>
      <c r="R255" s="1">
        <f t="shared" si="1"/>
        <v>160</v>
      </c>
      <c r="S255" s="1">
        <f t="shared" si="2"/>
        <v>73</v>
      </c>
      <c r="T255" s="5">
        <f t="shared" si="3"/>
        <v>160</v>
      </c>
      <c r="U255" s="5" t="s">
        <v>47</v>
      </c>
    </row>
    <row r="256">
      <c r="A256" s="1" t="s">
        <v>498</v>
      </c>
      <c r="B256" s="2">
        <v>12.0</v>
      </c>
      <c r="C256" s="1" t="s">
        <v>41</v>
      </c>
      <c r="D256" s="1" t="s">
        <v>42</v>
      </c>
      <c r="E256" s="3"/>
      <c r="F256" s="1" t="s">
        <v>30</v>
      </c>
      <c r="G256" s="4">
        <v>0.019444444444444445</v>
      </c>
      <c r="H256" s="1" t="s">
        <v>99</v>
      </c>
      <c r="I256" s="1" t="s">
        <v>28</v>
      </c>
      <c r="J256" s="4">
        <v>0.27569444444444446</v>
      </c>
      <c r="K256" s="1" t="s">
        <v>478</v>
      </c>
      <c r="L256" s="1" t="s">
        <v>30</v>
      </c>
      <c r="M256" s="4">
        <v>0.5381944444444444</v>
      </c>
      <c r="N256" s="1" t="s">
        <v>99</v>
      </c>
      <c r="O256" s="1" t="s">
        <v>28</v>
      </c>
      <c r="P256" s="4">
        <v>0.7861111111111111</v>
      </c>
      <c r="Q256" s="1" t="s">
        <v>497</v>
      </c>
      <c r="R256" s="1">
        <f t="shared" si="1"/>
        <v>149</v>
      </c>
      <c r="S256" s="1">
        <f t="shared" si="2"/>
        <v>136</v>
      </c>
      <c r="T256" s="5">
        <f t="shared" si="3"/>
        <v>149</v>
      </c>
      <c r="U256" s="5" t="s">
        <v>47</v>
      </c>
    </row>
    <row r="257">
      <c r="A257" s="1" t="s">
        <v>498</v>
      </c>
      <c r="B257" s="2">
        <v>13.0</v>
      </c>
      <c r="C257" s="1" t="s">
        <v>55</v>
      </c>
      <c r="D257" s="1" t="s">
        <v>42</v>
      </c>
      <c r="E257" s="3"/>
      <c r="F257" s="1" t="s">
        <v>30</v>
      </c>
      <c r="G257" s="4">
        <v>0.04513888888888889</v>
      </c>
      <c r="H257" s="1" t="s">
        <v>110</v>
      </c>
      <c r="I257" s="1" t="s">
        <v>28</v>
      </c>
      <c r="J257" s="4">
        <v>0.30069444444444443</v>
      </c>
      <c r="K257" s="1" t="s">
        <v>493</v>
      </c>
      <c r="L257" s="1" t="s">
        <v>30</v>
      </c>
      <c r="M257" s="4">
        <v>0.5555555555555556</v>
      </c>
      <c r="N257" s="1" t="s">
        <v>134</v>
      </c>
      <c r="O257" s="1" t="s">
        <v>28</v>
      </c>
      <c r="P257" s="4">
        <v>0.8055555555555556</v>
      </c>
      <c r="Q257" s="1" t="s">
        <v>497</v>
      </c>
      <c r="R257" s="1">
        <f t="shared" si="1"/>
        <v>142</v>
      </c>
      <c r="S257" s="1">
        <f t="shared" si="2"/>
        <v>128</v>
      </c>
      <c r="T257" s="5">
        <f t="shared" si="3"/>
        <v>142</v>
      </c>
      <c r="U257" s="5" t="s">
        <v>47</v>
      </c>
    </row>
    <row r="258">
      <c r="A258" s="1" t="s">
        <v>498</v>
      </c>
      <c r="B258" s="2">
        <v>14.0</v>
      </c>
      <c r="C258" s="1" t="s">
        <v>25</v>
      </c>
      <c r="D258" s="6"/>
      <c r="E258" s="3"/>
      <c r="F258" s="1" t="s">
        <v>30</v>
      </c>
      <c r="G258" s="4">
        <v>0.06944444444444445</v>
      </c>
      <c r="H258" s="1" t="s">
        <v>45</v>
      </c>
      <c r="I258" s="1" t="s">
        <v>28</v>
      </c>
      <c r="J258" s="4">
        <v>0.32430555555555557</v>
      </c>
      <c r="K258" s="1" t="s">
        <v>436</v>
      </c>
      <c r="L258" s="1" t="s">
        <v>30</v>
      </c>
      <c r="M258" s="4">
        <v>0.5722222222222222</v>
      </c>
      <c r="N258" s="1" t="s">
        <v>333</v>
      </c>
      <c r="O258" s="1" t="s">
        <v>28</v>
      </c>
      <c r="P258" s="4">
        <v>0.825</v>
      </c>
      <c r="Q258" s="1" t="s">
        <v>211</v>
      </c>
      <c r="R258" s="1">
        <f t="shared" si="1"/>
        <v>127</v>
      </c>
      <c r="S258" s="1">
        <f t="shared" si="2"/>
        <v>118</v>
      </c>
      <c r="T258" s="5">
        <f t="shared" si="3"/>
        <v>127</v>
      </c>
      <c r="U258" s="5" t="s">
        <v>47</v>
      </c>
    </row>
    <row r="259">
      <c r="A259" s="1" t="s">
        <v>498</v>
      </c>
      <c r="B259" s="2">
        <v>15.0</v>
      </c>
      <c r="C259" s="1" t="s">
        <v>75</v>
      </c>
      <c r="D259" s="6"/>
      <c r="E259" s="3"/>
      <c r="F259" s="1" t="s">
        <v>30</v>
      </c>
      <c r="G259" s="4">
        <v>0.09375</v>
      </c>
      <c r="H259" s="1" t="s">
        <v>257</v>
      </c>
      <c r="I259" s="1" t="s">
        <v>28</v>
      </c>
      <c r="J259" s="4">
        <v>0.3472222222222222</v>
      </c>
      <c r="K259" s="1" t="s">
        <v>267</v>
      </c>
      <c r="L259" s="1" t="s">
        <v>30</v>
      </c>
      <c r="M259" s="4">
        <v>0.5881944444444445</v>
      </c>
      <c r="N259" s="1" t="s">
        <v>250</v>
      </c>
      <c r="O259" s="1" t="s">
        <v>28</v>
      </c>
      <c r="P259" s="4">
        <v>0.8444444444444444</v>
      </c>
      <c r="Q259" s="1" t="s">
        <v>46</v>
      </c>
      <c r="R259" s="1">
        <f t="shared" si="1"/>
        <v>106</v>
      </c>
      <c r="S259" s="1">
        <f t="shared" si="2"/>
        <v>105</v>
      </c>
      <c r="T259" s="5">
        <f t="shared" si="3"/>
        <v>106</v>
      </c>
      <c r="U259" s="5" t="s">
        <v>90</v>
      </c>
    </row>
    <row r="260">
      <c r="A260" s="1" t="s">
        <v>498</v>
      </c>
      <c r="B260" s="2">
        <v>16.0</v>
      </c>
      <c r="C260" s="1" t="s">
        <v>86</v>
      </c>
      <c r="D260" s="6"/>
      <c r="E260" s="3"/>
      <c r="F260" s="1" t="s">
        <v>30</v>
      </c>
      <c r="G260" s="4">
        <v>0.11944444444444445</v>
      </c>
      <c r="H260" s="1" t="s">
        <v>115</v>
      </c>
      <c r="I260" s="1" t="s">
        <v>28</v>
      </c>
      <c r="J260" s="4">
        <v>0.37083333333333335</v>
      </c>
      <c r="K260" s="1" t="s">
        <v>262</v>
      </c>
      <c r="L260" s="1" t="s">
        <v>30</v>
      </c>
      <c r="M260" s="4">
        <v>0.6041666666666666</v>
      </c>
      <c r="N260" s="1" t="s">
        <v>334</v>
      </c>
      <c r="O260" s="1" t="s">
        <v>28</v>
      </c>
      <c r="P260" s="4">
        <v>0.8652777777777778</v>
      </c>
      <c r="Q260" s="1" t="s">
        <v>38</v>
      </c>
      <c r="R260" s="1">
        <f t="shared" si="1"/>
        <v>83</v>
      </c>
      <c r="S260" s="1">
        <f t="shared" si="2"/>
        <v>90</v>
      </c>
      <c r="T260" s="5">
        <f t="shared" si="3"/>
        <v>90</v>
      </c>
      <c r="U260" s="5" t="s">
        <v>39</v>
      </c>
    </row>
    <row r="261">
      <c r="A261" s="1" t="s">
        <v>498</v>
      </c>
      <c r="B261" s="2">
        <v>17.0</v>
      </c>
      <c r="C261" s="1" t="s">
        <v>26</v>
      </c>
      <c r="D261" s="6"/>
      <c r="E261" s="3"/>
      <c r="F261" s="1" t="s">
        <v>30</v>
      </c>
      <c r="G261" s="4">
        <v>0.1486111111111111</v>
      </c>
      <c r="H261" s="1" t="s">
        <v>286</v>
      </c>
      <c r="I261" s="1" t="s">
        <v>28</v>
      </c>
      <c r="J261" s="4">
        <v>0.39791666666666664</v>
      </c>
      <c r="K261" s="1" t="s">
        <v>176</v>
      </c>
      <c r="L261" s="1" t="s">
        <v>30</v>
      </c>
      <c r="M261" s="4">
        <v>0.6208333333333333</v>
      </c>
      <c r="N261" s="1" t="s">
        <v>119</v>
      </c>
      <c r="O261" s="1" t="s">
        <v>28</v>
      </c>
      <c r="P261" s="4">
        <v>0.8888888888888888</v>
      </c>
      <c r="Q261" s="1" t="s">
        <v>388</v>
      </c>
      <c r="R261" s="1">
        <f t="shared" si="1"/>
        <v>59</v>
      </c>
      <c r="S261" s="1">
        <f t="shared" si="2"/>
        <v>72</v>
      </c>
      <c r="T261" s="5">
        <f t="shared" si="3"/>
        <v>72</v>
      </c>
      <c r="U261" s="5" t="s">
        <v>39</v>
      </c>
    </row>
    <row r="262">
      <c r="A262" s="1" t="s">
        <v>498</v>
      </c>
      <c r="B262" s="2">
        <v>18.0</v>
      </c>
      <c r="C262" s="1" t="s">
        <v>34</v>
      </c>
      <c r="D262" s="6"/>
      <c r="E262" s="3"/>
      <c r="F262" s="1" t="s">
        <v>30</v>
      </c>
      <c r="G262" s="4">
        <v>0.18611111111111112</v>
      </c>
      <c r="H262" s="1" t="s">
        <v>334</v>
      </c>
      <c r="I262" s="1" t="s">
        <v>28</v>
      </c>
      <c r="J262" s="4">
        <v>0.4388888888888889</v>
      </c>
      <c r="K262" s="1" t="s">
        <v>157</v>
      </c>
      <c r="L262" s="1" t="s">
        <v>30</v>
      </c>
      <c r="M262" s="4">
        <v>0.6409722222222223</v>
      </c>
      <c r="N262" s="1" t="s">
        <v>331</v>
      </c>
      <c r="O262" s="1" t="s">
        <v>28</v>
      </c>
      <c r="P262" s="4">
        <v>0.9215277777777777</v>
      </c>
      <c r="Q262" s="1" t="s">
        <v>301</v>
      </c>
      <c r="R262" s="1">
        <f t="shared" si="1"/>
        <v>37</v>
      </c>
      <c r="S262" s="1">
        <f t="shared" si="2"/>
        <v>54</v>
      </c>
      <c r="T262" s="5">
        <f t="shared" si="3"/>
        <v>54</v>
      </c>
      <c r="U262" s="5" t="s">
        <v>39</v>
      </c>
    </row>
    <row r="263">
      <c r="A263" s="1" t="s">
        <v>498</v>
      </c>
      <c r="B263" s="2">
        <v>19.0</v>
      </c>
      <c r="C263" s="1" t="s">
        <v>41</v>
      </c>
      <c r="D263" s="1" t="s">
        <v>42</v>
      </c>
      <c r="E263" s="7" t="s">
        <v>184</v>
      </c>
      <c r="F263" s="1" t="s">
        <v>30</v>
      </c>
      <c r="G263" s="4">
        <v>0.25</v>
      </c>
      <c r="H263" s="1" t="s">
        <v>235</v>
      </c>
      <c r="I263" s="1" t="s">
        <v>330</v>
      </c>
      <c r="J263" s="4">
        <v>0.5458333333333333</v>
      </c>
      <c r="K263" s="1" t="s">
        <v>222</v>
      </c>
      <c r="L263" s="1" t="s">
        <v>330</v>
      </c>
      <c r="M263" s="4">
        <v>0.68125</v>
      </c>
      <c r="N263" s="1" t="s">
        <v>29</v>
      </c>
      <c r="O263" s="1" t="s">
        <v>28</v>
      </c>
      <c r="P263" s="4">
        <v>0.9798611111111111</v>
      </c>
      <c r="Q263" s="1" t="s">
        <v>192</v>
      </c>
      <c r="R263" s="1">
        <f t="shared" si="1"/>
        <v>24</v>
      </c>
      <c r="S263" s="1">
        <f t="shared" si="2"/>
        <v>36</v>
      </c>
      <c r="T263" s="5">
        <f t="shared" si="3"/>
        <v>36</v>
      </c>
      <c r="U263" s="5" t="s">
        <v>39</v>
      </c>
    </row>
    <row r="264">
      <c r="A264" s="1" t="s">
        <v>498</v>
      </c>
      <c r="B264" s="2">
        <v>20.0</v>
      </c>
      <c r="C264" s="1" t="s">
        <v>55</v>
      </c>
      <c r="D264" s="1" t="s">
        <v>42</v>
      </c>
      <c r="E264" s="3"/>
      <c r="F264" s="1" t="s">
        <v>30</v>
      </c>
      <c r="G264" s="4">
        <v>0.3486111111111111</v>
      </c>
      <c r="H264" s="1" t="s">
        <v>481</v>
      </c>
      <c r="I264" s="1" t="s">
        <v>28</v>
      </c>
      <c r="J264" s="4">
        <v>0.6368055555555555</v>
      </c>
      <c r="K264" s="1" t="s">
        <v>111</v>
      </c>
      <c r="L264" s="1" t="s">
        <v>30</v>
      </c>
      <c r="M264" s="4">
        <v>0.7881944444444444</v>
      </c>
      <c r="N264" s="1" t="s">
        <v>36</v>
      </c>
      <c r="R264" s="1">
        <f t="shared" si="1"/>
        <v>33</v>
      </c>
      <c r="S264" s="1">
        <f t="shared" si="2"/>
        <v>7</v>
      </c>
      <c r="T264" s="5">
        <f t="shared" si="3"/>
        <v>33</v>
      </c>
      <c r="U264" s="5" t="s">
        <v>39</v>
      </c>
    </row>
    <row r="265">
      <c r="A265" s="1" t="s">
        <v>498</v>
      </c>
      <c r="B265" s="2">
        <v>21.0</v>
      </c>
      <c r="C265" s="1" t="s">
        <v>25</v>
      </c>
      <c r="D265" s="6"/>
      <c r="E265" s="3"/>
      <c r="F265" s="1" t="s">
        <v>28</v>
      </c>
      <c r="G265" s="4">
        <v>0.06944444444444445</v>
      </c>
      <c r="H265" s="1" t="s">
        <v>192</v>
      </c>
      <c r="I265" s="1" t="s">
        <v>30</v>
      </c>
      <c r="J265" s="4">
        <v>0.3972222222222222</v>
      </c>
      <c r="K265" s="1" t="s">
        <v>236</v>
      </c>
      <c r="L265" s="1" t="s">
        <v>28</v>
      </c>
      <c r="M265" s="4">
        <v>0.6631944444444444</v>
      </c>
      <c r="N265" s="1" t="s">
        <v>176</v>
      </c>
      <c r="O265" s="1" t="s">
        <v>30</v>
      </c>
      <c r="P265" s="4">
        <v>0.8645833333333334</v>
      </c>
      <c r="Q265" s="1" t="s">
        <v>187</v>
      </c>
      <c r="R265" s="1">
        <f t="shared" si="1"/>
        <v>66</v>
      </c>
      <c r="S265" s="1">
        <f t="shared" si="2"/>
        <v>24</v>
      </c>
      <c r="T265" s="5">
        <f t="shared" si="3"/>
        <v>66</v>
      </c>
      <c r="U265" s="5" t="s">
        <v>39</v>
      </c>
    </row>
    <row r="266">
      <c r="A266" s="1" t="s">
        <v>498</v>
      </c>
      <c r="B266" s="2">
        <v>22.0</v>
      </c>
      <c r="C266" s="1" t="s">
        <v>75</v>
      </c>
      <c r="D266" s="6"/>
      <c r="E266" s="3"/>
      <c r="F266" s="1" t="s">
        <v>28</v>
      </c>
      <c r="G266" s="4">
        <v>0.12430555555555556</v>
      </c>
      <c r="H266" s="1" t="s">
        <v>135</v>
      </c>
      <c r="I266" s="1" t="s">
        <v>30</v>
      </c>
      <c r="J266" s="4">
        <v>0.42430555555555555</v>
      </c>
      <c r="K266" s="1" t="s">
        <v>191</v>
      </c>
      <c r="L266" s="1" t="s">
        <v>28</v>
      </c>
      <c r="M266" s="4">
        <v>0.68125</v>
      </c>
      <c r="N266" s="1" t="s">
        <v>218</v>
      </c>
      <c r="O266" s="1" t="s">
        <v>30</v>
      </c>
      <c r="P266" s="4">
        <v>0.9048611111111111</v>
      </c>
      <c r="Q266" s="1" t="s">
        <v>116</v>
      </c>
      <c r="R266" s="1">
        <f t="shared" si="1"/>
        <v>84</v>
      </c>
      <c r="S266" s="1">
        <f t="shared" si="2"/>
        <v>45</v>
      </c>
      <c r="T266" s="5">
        <f t="shared" si="3"/>
        <v>84</v>
      </c>
      <c r="U266" s="5" t="s">
        <v>39</v>
      </c>
    </row>
    <row r="267">
      <c r="A267" s="1" t="s">
        <v>498</v>
      </c>
      <c r="B267" s="2">
        <v>23.0</v>
      </c>
      <c r="C267" s="1" t="s">
        <v>86</v>
      </c>
      <c r="D267" s="6"/>
      <c r="E267" s="3"/>
      <c r="F267" s="1" t="s">
        <v>28</v>
      </c>
      <c r="G267" s="4">
        <v>0.15902777777777777</v>
      </c>
      <c r="H267" s="1" t="s">
        <v>337</v>
      </c>
      <c r="I267" s="1" t="s">
        <v>30</v>
      </c>
      <c r="J267" s="4">
        <v>0.4444444444444444</v>
      </c>
      <c r="K267" s="1" t="s">
        <v>224</v>
      </c>
      <c r="L267" s="1" t="s">
        <v>28</v>
      </c>
      <c r="M267" s="4">
        <v>0.6986111111111111</v>
      </c>
      <c r="N267" s="1" t="s">
        <v>179</v>
      </c>
      <c r="O267" s="1" t="s">
        <v>30</v>
      </c>
      <c r="P267" s="4">
        <v>0.9333333333333333</v>
      </c>
      <c r="Q267" s="1" t="s">
        <v>334</v>
      </c>
      <c r="R267" s="1">
        <f t="shared" si="1"/>
        <v>102</v>
      </c>
      <c r="S267" s="1">
        <f t="shared" si="2"/>
        <v>70</v>
      </c>
      <c r="T267" s="5">
        <f t="shared" si="3"/>
        <v>102</v>
      </c>
      <c r="U267" s="5" t="s">
        <v>90</v>
      </c>
    </row>
    <row r="268">
      <c r="A268" s="1" t="s">
        <v>498</v>
      </c>
      <c r="B268" s="2">
        <v>24.0</v>
      </c>
      <c r="C268" s="1" t="s">
        <v>26</v>
      </c>
      <c r="D268" s="6"/>
      <c r="E268" s="3"/>
      <c r="F268" s="1" t="s">
        <v>28</v>
      </c>
      <c r="G268" s="4">
        <v>0.18611111111111112</v>
      </c>
      <c r="H268" s="1" t="s">
        <v>338</v>
      </c>
      <c r="I268" s="1" t="s">
        <v>30</v>
      </c>
      <c r="J268" s="4">
        <v>0.46319444444444446</v>
      </c>
      <c r="K268" s="1" t="s">
        <v>134</v>
      </c>
      <c r="L268" s="1" t="s">
        <v>28</v>
      </c>
      <c r="M268" s="4">
        <v>0.7145833333333333</v>
      </c>
      <c r="N268" s="1" t="s">
        <v>147</v>
      </c>
      <c r="O268" s="1" t="s">
        <v>30</v>
      </c>
      <c r="P268" s="4">
        <v>0.9576388888888889</v>
      </c>
      <c r="Q268" s="1" t="s">
        <v>326</v>
      </c>
      <c r="R268" s="1">
        <f t="shared" si="1"/>
        <v>119</v>
      </c>
      <c r="S268" s="1">
        <f t="shared" si="2"/>
        <v>93</v>
      </c>
      <c r="T268" s="5">
        <f t="shared" si="3"/>
        <v>119</v>
      </c>
      <c r="U268" s="5" t="s">
        <v>90</v>
      </c>
    </row>
    <row r="269">
      <c r="A269" s="1" t="s">
        <v>498</v>
      </c>
      <c r="B269" s="2">
        <v>25.0</v>
      </c>
      <c r="C269" s="1" t="s">
        <v>34</v>
      </c>
      <c r="D269" s="1" t="s">
        <v>499</v>
      </c>
      <c r="E269" s="3"/>
      <c r="F269" s="1" t="s">
        <v>28</v>
      </c>
      <c r="G269" s="4">
        <v>0.21041666666666667</v>
      </c>
      <c r="H269" s="1" t="s">
        <v>497</v>
      </c>
      <c r="I269" s="1" t="s">
        <v>30</v>
      </c>
      <c r="J269" s="4">
        <v>0.48055555555555557</v>
      </c>
      <c r="K269" s="1" t="s">
        <v>37</v>
      </c>
      <c r="L269" s="1" t="s">
        <v>28</v>
      </c>
      <c r="M269" s="4">
        <v>0.73125</v>
      </c>
      <c r="N269" s="1" t="s">
        <v>38</v>
      </c>
      <c r="O269" s="1" t="s">
        <v>30</v>
      </c>
      <c r="P269" s="4">
        <v>0.98125</v>
      </c>
      <c r="Q269" s="1" t="s">
        <v>114</v>
      </c>
      <c r="R269" s="1">
        <f t="shared" si="1"/>
        <v>133</v>
      </c>
      <c r="S269" s="1">
        <f t="shared" si="2"/>
        <v>116</v>
      </c>
      <c r="T269" s="5">
        <f t="shared" si="3"/>
        <v>133</v>
      </c>
      <c r="U269" s="5" t="s">
        <v>47</v>
      </c>
    </row>
    <row r="270">
      <c r="A270" s="1" t="s">
        <v>498</v>
      </c>
      <c r="B270" s="2">
        <v>26.0</v>
      </c>
      <c r="C270" s="1" t="s">
        <v>41</v>
      </c>
      <c r="D270" s="1" t="s">
        <v>42</v>
      </c>
      <c r="E270" s="3"/>
      <c r="F270" s="1" t="s">
        <v>28</v>
      </c>
      <c r="G270" s="4">
        <v>0.23402777777777778</v>
      </c>
      <c r="H270" s="1" t="s">
        <v>488</v>
      </c>
      <c r="I270" s="1" t="s">
        <v>30</v>
      </c>
      <c r="J270" s="4">
        <v>0.4986111111111111</v>
      </c>
      <c r="K270" s="1" t="s">
        <v>277</v>
      </c>
      <c r="L270" s="1" t="s">
        <v>28</v>
      </c>
      <c r="M270" s="4">
        <v>0.7486111111111111</v>
      </c>
      <c r="N270" s="1" t="s">
        <v>59</v>
      </c>
      <c r="R270" s="1">
        <f t="shared" si="1"/>
        <v>139</v>
      </c>
      <c r="S270" s="1">
        <f t="shared" si="2"/>
        <v>74</v>
      </c>
      <c r="T270" s="5">
        <f t="shared" si="3"/>
        <v>139</v>
      </c>
      <c r="U270" s="5" t="s">
        <v>47</v>
      </c>
    </row>
    <row r="271">
      <c r="A271" s="1" t="s">
        <v>498</v>
      </c>
      <c r="B271" s="2">
        <v>27.0</v>
      </c>
      <c r="C271" s="1" t="s">
        <v>55</v>
      </c>
      <c r="D271" s="1" t="s">
        <v>42</v>
      </c>
      <c r="E271" s="7" t="s">
        <v>35</v>
      </c>
      <c r="F271" s="1" t="s">
        <v>30</v>
      </c>
      <c r="G271" s="4">
        <v>0.004861111111111111</v>
      </c>
      <c r="H271" s="1" t="s">
        <v>58</v>
      </c>
      <c r="I271" s="1" t="s">
        <v>28</v>
      </c>
      <c r="J271" s="4">
        <v>0.25833333333333336</v>
      </c>
      <c r="K271" s="1" t="s">
        <v>451</v>
      </c>
      <c r="L271" s="1" t="s">
        <v>30</v>
      </c>
      <c r="M271" s="4">
        <v>0.5166666666666667</v>
      </c>
      <c r="N271" s="1" t="s">
        <v>277</v>
      </c>
      <c r="O271" s="1" t="s">
        <v>28</v>
      </c>
      <c r="P271" s="4">
        <v>0.7673611111111112</v>
      </c>
      <c r="Q271" s="1" t="s">
        <v>488</v>
      </c>
      <c r="R271" s="1">
        <f t="shared" si="1"/>
        <v>146</v>
      </c>
      <c r="S271" s="1">
        <f t="shared" si="2"/>
        <v>139</v>
      </c>
      <c r="T271" s="5">
        <f t="shared" si="3"/>
        <v>146</v>
      </c>
      <c r="U271" s="5" t="s">
        <v>47</v>
      </c>
    </row>
    <row r="272">
      <c r="A272" s="1" t="s">
        <v>498</v>
      </c>
      <c r="B272" s="2">
        <v>28.0</v>
      </c>
      <c r="C272" s="1" t="s">
        <v>25</v>
      </c>
      <c r="D272" s="1" t="s">
        <v>500</v>
      </c>
      <c r="E272" s="3"/>
      <c r="F272" s="1" t="s">
        <v>30</v>
      </c>
      <c r="G272" s="4">
        <v>0.029861111111111113</v>
      </c>
      <c r="H272" s="1" t="s">
        <v>185</v>
      </c>
      <c r="I272" s="1" t="s">
        <v>28</v>
      </c>
      <c r="J272" s="4">
        <v>0.2826388888888889</v>
      </c>
      <c r="K272" s="1" t="s">
        <v>497</v>
      </c>
      <c r="L272" s="1" t="s">
        <v>30</v>
      </c>
      <c r="M272" s="4">
        <v>0.5347222222222222</v>
      </c>
      <c r="N272" s="1" t="s">
        <v>469</v>
      </c>
      <c r="O272" s="1" t="s">
        <v>28</v>
      </c>
      <c r="P272" s="4">
        <v>0.7875</v>
      </c>
      <c r="Q272" s="1" t="s">
        <v>484</v>
      </c>
      <c r="R272" s="1">
        <f t="shared" si="1"/>
        <v>149</v>
      </c>
      <c r="S272" s="1">
        <f t="shared" si="2"/>
        <v>140</v>
      </c>
      <c r="T272" s="5">
        <f t="shared" si="3"/>
        <v>149</v>
      </c>
      <c r="U272" s="5" t="s">
        <v>47</v>
      </c>
    </row>
    <row r="273">
      <c r="A273" s="1" t="s">
        <v>498</v>
      </c>
      <c r="B273" s="2">
        <v>29.0</v>
      </c>
      <c r="C273" s="1" t="s">
        <v>75</v>
      </c>
      <c r="D273" s="6"/>
      <c r="E273" s="3"/>
      <c r="F273" s="1" t="s">
        <v>30</v>
      </c>
      <c r="G273" s="4">
        <v>0.05555555555555555</v>
      </c>
      <c r="H273" s="1" t="s">
        <v>252</v>
      </c>
      <c r="I273" s="1" t="s">
        <v>28</v>
      </c>
      <c r="J273" s="4">
        <v>0.30833333333333335</v>
      </c>
      <c r="K273" s="1" t="s">
        <v>338</v>
      </c>
      <c r="L273" s="1" t="s">
        <v>30</v>
      </c>
      <c r="M273" s="4">
        <v>0.5541666666666667</v>
      </c>
      <c r="N273" s="1" t="s">
        <v>118</v>
      </c>
      <c r="O273" s="1" t="s">
        <v>28</v>
      </c>
      <c r="P273" s="4">
        <v>0.8097222222222222</v>
      </c>
      <c r="Q273" s="1" t="s">
        <v>484</v>
      </c>
      <c r="R273" s="1">
        <f t="shared" si="1"/>
        <v>144</v>
      </c>
      <c r="S273" s="1">
        <f t="shared" si="2"/>
        <v>135</v>
      </c>
      <c r="T273" s="5">
        <f t="shared" si="3"/>
        <v>144</v>
      </c>
      <c r="U273" s="5" t="s">
        <v>47</v>
      </c>
    </row>
    <row r="274">
      <c r="A274" s="1" t="s">
        <v>498</v>
      </c>
      <c r="B274" s="2">
        <v>30.0</v>
      </c>
      <c r="C274" s="1" t="s">
        <v>86</v>
      </c>
      <c r="D274" s="6"/>
      <c r="E274" s="3"/>
      <c r="F274" s="1" t="s">
        <v>30</v>
      </c>
      <c r="G274" s="4">
        <v>0.08333333333333333</v>
      </c>
      <c r="H274" s="1" t="s">
        <v>215</v>
      </c>
      <c r="I274" s="1" t="s">
        <v>28</v>
      </c>
      <c r="J274" s="4">
        <v>0.33541666666666664</v>
      </c>
      <c r="K274" s="1" t="s">
        <v>147</v>
      </c>
      <c r="L274" s="1" t="s">
        <v>30</v>
      </c>
      <c r="M274" s="4">
        <v>0.5736111111111111</v>
      </c>
      <c r="N274" s="1" t="s">
        <v>446</v>
      </c>
      <c r="O274" s="1" t="s">
        <v>28</v>
      </c>
      <c r="P274" s="4">
        <v>0.8340277777777778</v>
      </c>
      <c r="Q274" s="1" t="s">
        <v>488</v>
      </c>
      <c r="R274" s="1">
        <f t="shared" si="1"/>
        <v>128</v>
      </c>
      <c r="S274" s="1">
        <f t="shared" si="2"/>
        <v>123</v>
      </c>
      <c r="T274" s="5">
        <f t="shared" si="3"/>
        <v>128</v>
      </c>
      <c r="U274" s="5" t="s">
        <v>47</v>
      </c>
    </row>
    <row r="275">
      <c r="A275" s="1" t="s">
        <v>502</v>
      </c>
      <c r="B275" s="2">
        <v>1.0</v>
      </c>
      <c r="C275" s="1" t="s">
        <v>26</v>
      </c>
      <c r="D275" s="6"/>
      <c r="E275" s="3"/>
      <c r="F275" s="1" t="s">
        <v>30</v>
      </c>
      <c r="G275" s="4">
        <v>0.11458333333333333</v>
      </c>
      <c r="H275" s="1" t="s">
        <v>182</v>
      </c>
      <c r="I275" s="1" t="s">
        <v>28</v>
      </c>
      <c r="J275" s="4">
        <v>0.3659722222222222</v>
      </c>
      <c r="K275" s="1" t="s">
        <v>192</v>
      </c>
      <c r="L275" s="1" t="s">
        <v>30</v>
      </c>
      <c r="M275" s="4">
        <v>0.5951388888888889</v>
      </c>
      <c r="N275" s="1" t="s">
        <v>295</v>
      </c>
      <c r="O275" s="1" t="s">
        <v>28</v>
      </c>
      <c r="P275" s="4">
        <v>0.8618055555555556</v>
      </c>
      <c r="Q275" s="1" t="s">
        <v>59</v>
      </c>
      <c r="R275" s="1">
        <f t="shared" si="1"/>
        <v>105</v>
      </c>
      <c r="S275" s="1">
        <f t="shared" si="2"/>
        <v>106</v>
      </c>
      <c r="T275" s="5">
        <f t="shared" si="3"/>
        <v>106</v>
      </c>
      <c r="U275" s="5" t="s">
        <v>90</v>
      </c>
    </row>
    <row r="276">
      <c r="A276" s="1" t="s">
        <v>502</v>
      </c>
      <c r="B276" s="2">
        <v>2.0</v>
      </c>
      <c r="C276" s="1" t="s">
        <v>34</v>
      </c>
      <c r="D276" s="6"/>
      <c r="E276" s="3"/>
      <c r="F276" s="1" t="s">
        <v>30</v>
      </c>
      <c r="G276" s="4">
        <v>0.15347222222222223</v>
      </c>
      <c r="H276" s="1" t="s">
        <v>37</v>
      </c>
      <c r="I276" s="1" t="s">
        <v>28</v>
      </c>
      <c r="J276" s="4">
        <v>0.4048611111111111</v>
      </c>
      <c r="K276" s="1" t="s">
        <v>173</v>
      </c>
      <c r="L276" s="1" t="s">
        <v>30</v>
      </c>
      <c r="M276" s="4">
        <v>0.6201388888888889</v>
      </c>
      <c r="N276" s="1" t="s">
        <v>355</v>
      </c>
      <c r="O276" s="1" t="s">
        <v>28</v>
      </c>
      <c r="P276" s="4">
        <v>0.8972222222222223</v>
      </c>
      <c r="Q276" s="1" t="s">
        <v>78</v>
      </c>
      <c r="R276" s="1">
        <f t="shared" si="1"/>
        <v>76</v>
      </c>
      <c r="S276" s="1">
        <f t="shared" si="2"/>
        <v>83</v>
      </c>
      <c r="T276" s="5">
        <f t="shared" si="3"/>
        <v>83</v>
      </c>
      <c r="U276" s="5" t="s">
        <v>39</v>
      </c>
    </row>
    <row r="277">
      <c r="A277" s="1" t="s">
        <v>502</v>
      </c>
      <c r="B277" s="2">
        <v>3.0</v>
      </c>
      <c r="C277" s="1" t="s">
        <v>41</v>
      </c>
      <c r="D277" s="1" t="s">
        <v>42</v>
      </c>
      <c r="E277" s="7" t="s">
        <v>107</v>
      </c>
      <c r="F277" s="1" t="s">
        <v>30</v>
      </c>
      <c r="G277" s="4">
        <v>0.20694444444444443</v>
      </c>
      <c r="H277" s="1" t="s">
        <v>117</v>
      </c>
      <c r="I277" s="1" t="s">
        <v>28</v>
      </c>
      <c r="J277" s="4">
        <v>0.47152777777777777</v>
      </c>
      <c r="K277" s="1" t="s">
        <v>145</v>
      </c>
      <c r="L277" s="1" t="s">
        <v>30</v>
      </c>
      <c r="M277" s="4">
        <v>0.6576388888888889</v>
      </c>
      <c r="N277" s="1" t="s">
        <v>225</v>
      </c>
      <c r="O277" s="1" t="s">
        <v>28</v>
      </c>
      <c r="P277" s="4">
        <v>0.95</v>
      </c>
      <c r="Q277" s="1" t="s">
        <v>307</v>
      </c>
      <c r="R277" s="1">
        <f t="shared" si="1"/>
        <v>52</v>
      </c>
      <c r="S277" s="1">
        <f t="shared" si="2"/>
        <v>60</v>
      </c>
      <c r="T277" s="5">
        <f t="shared" si="3"/>
        <v>60</v>
      </c>
      <c r="U277" s="5" t="s">
        <v>39</v>
      </c>
    </row>
    <row r="278">
      <c r="A278" s="1" t="s">
        <v>502</v>
      </c>
      <c r="B278" s="2">
        <v>4.0</v>
      </c>
      <c r="C278" s="1" t="s">
        <v>55</v>
      </c>
      <c r="D278" s="1" t="s">
        <v>42</v>
      </c>
      <c r="E278" s="3"/>
      <c r="F278" s="1" t="s">
        <v>30</v>
      </c>
      <c r="G278" s="4">
        <v>0.28958333333333336</v>
      </c>
      <c r="H278" s="1" t="s">
        <v>127</v>
      </c>
      <c r="I278" s="1" t="s">
        <v>28</v>
      </c>
      <c r="J278" s="4">
        <v>0.575</v>
      </c>
      <c r="K278" s="1" t="s">
        <v>359</v>
      </c>
      <c r="L278" s="1" t="s">
        <v>30</v>
      </c>
      <c r="M278" s="4">
        <v>0.7444444444444445</v>
      </c>
      <c r="N278" s="1" t="s">
        <v>130</v>
      </c>
      <c r="R278" s="1">
        <f t="shared" si="1"/>
        <v>49</v>
      </c>
      <c r="S278" s="1">
        <f t="shared" si="2"/>
        <v>2</v>
      </c>
      <c r="T278" s="5">
        <f t="shared" si="3"/>
        <v>49</v>
      </c>
      <c r="U278" s="5" t="s">
        <v>39</v>
      </c>
    </row>
    <row r="279">
      <c r="A279" s="1" t="s">
        <v>502</v>
      </c>
      <c r="B279" s="2">
        <v>5.0</v>
      </c>
      <c r="C279" s="1" t="s">
        <v>25</v>
      </c>
      <c r="D279" s="6"/>
      <c r="E279" s="3"/>
      <c r="F279" s="1" t="s">
        <v>28</v>
      </c>
      <c r="G279" s="4">
        <v>0.03194444444444444</v>
      </c>
      <c r="H279" s="1" t="s">
        <v>335</v>
      </c>
      <c r="I279" s="1" t="s">
        <v>30</v>
      </c>
      <c r="J279" s="4">
        <v>0.35833333333333334</v>
      </c>
      <c r="K279" s="1" t="s">
        <v>223</v>
      </c>
      <c r="L279" s="1" t="s">
        <v>28</v>
      </c>
      <c r="M279" s="4">
        <v>0.6291666666666667</v>
      </c>
      <c r="N279" s="1" t="s">
        <v>296</v>
      </c>
      <c r="O279" s="1" t="s">
        <v>30</v>
      </c>
      <c r="P279" s="4">
        <v>0.8423611111111111</v>
      </c>
      <c r="Q279" s="1" t="s">
        <v>225</v>
      </c>
      <c r="R279" s="1">
        <f t="shared" si="1"/>
        <v>92</v>
      </c>
      <c r="S279" s="1">
        <f t="shared" si="2"/>
        <v>29</v>
      </c>
      <c r="T279" s="5">
        <f t="shared" si="3"/>
        <v>92</v>
      </c>
      <c r="U279" s="5" t="s">
        <v>90</v>
      </c>
    </row>
    <row r="280">
      <c r="A280" s="1" t="s">
        <v>502</v>
      </c>
      <c r="B280" s="2">
        <v>6.0</v>
      </c>
      <c r="C280" s="1" t="s">
        <v>75</v>
      </c>
      <c r="D280" s="6"/>
      <c r="E280" s="3"/>
      <c r="F280" s="1" t="s">
        <v>28</v>
      </c>
      <c r="G280" s="4">
        <v>0.10138888888888889</v>
      </c>
      <c r="H280" s="1" t="s">
        <v>267</v>
      </c>
      <c r="I280" s="1" t="s">
        <v>30</v>
      </c>
      <c r="J280" s="4">
        <v>0.3993055555555556</v>
      </c>
      <c r="K280" s="1" t="s">
        <v>469</v>
      </c>
      <c r="L280" s="1" t="s">
        <v>28</v>
      </c>
      <c r="M280" s="4">
        <v>0.6576388888888889</v>
      </c>
      <c r="N280" s="1" t="s">
        <v>100</v>
      </c>
      <c r="O280" s="1" t="s">
        <v>30</v>
      </c>
      <c r="P280" s="4">
        <v>0.8944444444444445</v>
      </c>
      <c r="Q280" s="1" t="s">
        <v>334</v>
      </c>
      <c r="R280" s="1">
        <f t="shared" si="1"/>
        <v>107</v>
      </c>
      <c r="S280" s="1">
        <f t="shared" si="2"/>
        <v>58</v>
      </c>
      <c r="T280" s="5">
        <f t="shared" si="3"/>
        <v>107</v>
      </c>
      <c r="U280" s="5" t="s">
        <v>90</v>
      </c>
    </row>
    <row r="281">
      <c r="A281" s="1" t="s">
        <v>502</v>
      </c>
      <c r="B281" s="2">
        <v>7.0</v>
      </c>
      <c r="C281" s="1" t="s">
        <v>86</v>
      </c>
      <c r="D281" s="6"/>
      <c r="E281" s="3"/>
      <c r="F281" s="1" t="s">
        <v>28</v>
      </c>
      <c r="G281" s="4">
        <v>0.14652777777777778</v>
      </c>
      <c r="H281" s="1" t="s">
        <v>167</v>
      </c>
      <c r="I281" s="1" t="s">
        <v>30</v>
      </c>
      <c r="J281" s="4">
        <v>0.42916666666666664</v>
      </c>
      <c r="K281" s="1" t="s">
        <v>45</v>
      </c>
      <c r="L281" s="1" t="s">
        <v>28</v>
      </c>
      <c r="M281" s="4">
        <v>0.6805555555555556</v>
      </c>
      <c r="N281" s="1" t="s">
        <v>335</v>
      </c>
      <c r="O281" s="1" t="s">
        <v>30</v>
      </c>
      <c r="P281" s="4">
        <v>0.9291666666666667</v>
      </c>
      <c r="Q281" s="1" t="s">
        <v>446</v>
      </c>
      <c r="R281" s="1">
        <f t="shared" si="1"/>
        <v>122</v>
      </c>
      <c r="S281" s="1">
        <f t="shared" si="2"/>
        <v>87</v>
      </c>
      <c r="T281" s="5">
        <f t="shared" si="3"/>
        <v>122</v>
      </c>
      <c r="U281" s="5" t="s">
        <v>90</v>
      </c>
    </row>
    <row r="282">
      <c r="A282" s="1" t="s">
        <v>502</v>
      </c>
      <c r="B282" s="2">
        <v>8.0</v>
      </c>
      <c r="C282" s="1" t="s">
        <v>26</v>
      </c>
      <c r="D282" s="6"/>
      <c r="E282" s="3"/>
      <c r="F282" s="1" t="s">
        <v>28</v>
      </c>
      <c r="G282" s="4">
        <v>0.18125</v>
      </c>
      <c r="H282" s="1" t="s">
        <v>412</v>
      </c>
      <c r="I282" s="1" t="s">
        <v>30</v>
      </c>
      <c r="J282" s="4">
        <v>0.4534722222222222</v>
      </c>
      <c r="K282" s="1" t="s">
        <v>110</v>
      </c>
      <c r="L282" s="1" t="s">
        <v>28</v>
      </c>
      <c r="M282" s="4">
        <v>0.7013888888888888</v>
      </c>
      <c r="N282" s="1" t="s">
        <v>388</v>
      </c>
      <c r="O282" s="1" t="s">
        <v>30</v>
      </c>
      <c r="P282" s="4">
        <v>0.9576388888888889</v>
      </c>
      <c r="Q282" s="1" t="s">
        <v>37</v>
      </c>
      <c r="R282" s="1">
        <f t="shared" si="1"/>
        <v>131</v>
      </c>
      <c r="S282" s="1">
        <f t="shared" si="2"/>
        <v>111</v>
      </c>
      <c r="T282" s="5">
        <f t="shared" si="3"/>
        <v>131</v>
      </c>
      <c r="U282" s="5" t="s">
        <v>47</v>
      </c>
    </row>
    <row r="283">
      <c r="A283" s="1" t="s">
        <v>502</v>
      </c>
      <c r="B283" s="2">
        <v>9.0</v>
      </c>
      <c r="C283" s="1" t="s">
        <v>34</v>
      </c>
      <c r="D283" s="1" t="s">
        <v>264</v>
      </c>
      <c r="E283" s="3"/>
      <c r="F283" s="1" t="s">
        <v>28</v>
      </c>
      <c r="G283" s="4">
        <v>0.2111111111111111</v>
      </c>
      <c r="H283" s="1" t="s">
        <v>205</v>
      </c>
      <c r="I283" s="1" t="s">
        <v>30</v>
      </c>
      <c r="J283" s="4">
        <v>0.47430555555555554</v>
      </c>
      <c r="K283" s="1" t="s">
        <v>186</v>
      </c>
      <c r="L283" s="1" t="s">
        <v>28</v>
      </c>
      <c r="M283" s="4">
        <v>0.7215277777777778</v>
      </c>
      <c r="N283" s="1" t="s">
        <v>38</v>
      </c>
      <c r="O283" s="1" t="s">
        <v>30</v>
      </c>
      <c r="P283" s="4">
        <v>0.9833333333333333</v>
      </c>
      <c r="Q283" s="1" t="s">
        <v>182</v>
      </c>
      <c r="R283" s="1">
        <f t="shared" si="1"/>
        <v>133</v>
      </c>
      <c r="S283" s="1">
        <f t="shared" si="2"/>
        <v>131</v>
      </c>
      <c r="T283" s="5">
        <f t="shared" si="3"/>
        <v>133</v>
      </c>
      <c r="U283" s="5" t="s">
        <v>47</v>
      </c>
    </row>
    <row r="284">
      <c r="A284" s="1" t="s">
        <v>502</v>
      </c>
      <c r="B284" s="2">
        <v>10.0</v>
      </c>
      <c r="C284" s="1" t="s">
        <v>41</v>
      </c>
      <c r="D284" s="1" t="s">
        <v>503</v>
      </c>
      <c r="E284" s="7" t="s">
        <v>143</v>
      </c>
      <c r="F284" s="1" t="s">
        <v>28</v>
      </c>
      <c r="G284" s="4">
        <v>0.23819444444444443</v>
      </c>
      <c r="H284" s="1" t="s">
        <v>67</v>
      </c>
      <c r="I284" s="1" t="s">
        <v>30</v>
      </c>
      <c r="J284" s="4">
        <v>0.4930555555555556</v>
      </c>
      <c r="K284" s="1" t="s">
        <v>277</v>
      </c>
      <c r="L284" s="1" t="s">
        <v>28</v>
      </c>
      <c r="M284" s="4">
        <v>0.7409722222222223</v>
      </c>
      <c r="N284" s="1" t="s">
        <v>67</v>
      </c>
      <c r="R284" s="1">
        <f t="shared" si="1"/>
        <v>128</v>
      </c>
      <c r="S284" s="1">
        <f t="shared" si="2"/>
        <v>71</v>
      </c>
      <c r="T284" s="5">
        <f t="shared" si="3"/>
        <v>128</v>
      </c>
      <c r="U284" s="5" t="s">
        <v>47</v>
      </c>
    </row>
    <row r="285">
      <c r="A285" s="1" t="s">
        <v>502</v>
      </c>
      <c r="B285" s="2">
        <v>11.0</v>
      </c>
      <c r="C285" s="1" t="s">
        <v>55</v>
      </c>
      <c r="D285" s="1" t="s">
        <v>42</v>
      </c>
      <c r="E285" s="3"/>
      <c r="F285" s="1" t="s">
        <v>30</v>
      </c>
      <c r="G285" s="4">
        <v>0.007638888888888889</v>
      </c>
      <c r="H285" s="1" t="s">
        <v>108</v>
      </c>
      <c r="I285" s="1" t="s">
        <v>28</v>
      </c>
      <c r="J285" s="4">
        <v>0.26319444444444445</v>
      </c>
      <c r="K285" s="1" t="s">
        <v>38</v>
      </c>
      <c r="L285" s="1" t="s">
        <v>30</v>
      </c>
      <c r="M285" s="4">
        <v>0.5104166666666666</v>
      </c>
      <c r="N285" s="1" t="s">
        <v>257</v>
      </c>
      <c r="O285" s="1" t="s">
        <v>28</v>
      </c>
      <c r="P285" s="4">
        <v>0.7604166666666666</v>
      </c>
      <c r="Q285" s="1" t="s">
        <v>59</v>
      </c>
      <c r="R285" s="1">
        <f t="shared" si="1"/>
        <v>137</v>
      </c>
      <c r="S285" s="1">
        <f t="shared" si="2"/>
        <v>127</v>
      </c>
      <c r="T285" s="5">
        <f t="shared" si="3"/>
        <v>137</v>
      </c>
      <c r="U285" s="5" t="s">
        <v>47</v>
      </c>
    </row>
    <row r="286">
      <c r="A286" s="1" t="s">
        <v>502</v>
      </c>
      <c r="B286" s="2">
        <v>12.0</v>
      </c>
      <c r="C286" s="1" t="s">
        <v>25</v>
      </c>
      <c r="D286" s="6"/>
      <c r="E286" s="3"/>
      <c r="F286" s="1" t="s">
        <v>30</v>
      </c>
      <c r="G286" s="4">
        <v>0.030555555555555555</v>
      </c>
      <c r="H286" s="1" t="s">
        <v>293</v>
      </c>
      <c r="I286" s="1" t="s">
        <v>28</v>
      </c>
      <c r="J286" s="4">
        <v>0.2875</v>
      </c>
      <c r="K286" s="1" t="s">
        <v>388</v>
      </c>
      <c r="L286" s="1" t="s">
        <v>30</v>
      </c>
      <c r="M286" s="4">
        <v>0.5270833333333333</v>
      </c>
      <c r="N286" s="1" t="s">
        <v>200</v>
      </c>
      <c r="O286" s="1" t="s">
        <v>28</v>
      </c>
      <c r="P286" s="4">
        <v>0.7798611111111111</v>
      </c>
      <c r="Q286" s="1" t="s">
        <v>59</v>
      </c>
      <c r="R286" s="1">
        <f t="shared" si="1"/>
        <v>130</v>
      </c>
      <c r="S286" s="1">
        <f t="shared" si="2"/>
        <v>122</v>
      </c>
      <c r="T286" s="5">
        <f t="shared" si="3"/>
        <v>130</v>
      </c>
      <c r="U286" s="5" t="s">
        <v>47</v>
      </c>
    </row>
    <row r="287">
      <c r="A287" s="1" t="s">
        <v>502</v>
      </c>
      <c r="B287" s="2">
        <v>13.0</v>
      </c>
      <c r="C287" s="1" t="s">
        <v>75</v>
      </c>
      <c r="D287" s="6"/>
      <c r="E287" s="3"/>
      <c r="F287" s="1" t="s">
        <v>30</v>
      </c>
      <c r="G287" s="4">
        <v>0.05347222222222222</v>
      </c>
      <c r="H287" s="1" t="s">
        <v>215</v>
      </c>
      <c r="I287" s="1" t="s">
        <v>28</v>
      </c>
      <c r="J287" s="4">
        <v>0.3104166666666667</v>
      </c>
      <c r="K287" s="1" t="s">
        <v>335</v>
      </c>
      <c r="L287" s="1" t="s">
        <v>30</v>
      </c>
      <c r="M287" s="4">
        <v>0.54375</v>
      </c>
      <c r="N287" s="1" t="s">
        <v>224</v>
      </c>
      <c r="O287" s="1" t="s">
        <v>28</v>
      </c>
      <c r="P287" s="4">
        <v>0.7986111111111112</v>
      </c>
      <c r="Q287" s="1" t="s">
        <v>67</v>
      </c>
      <c r="R287" s="1">
        <f t="shared" si="1"/>
        <v>119</v>
      </c>
      <c r="S287" s="1">
        <f t="shared" si="2"/>
        <v>114</v>
      </c>
      <c r="T287" s="5">
        <f t="shared" si="3"/>
        <v>119</v>
      </c>
      <c r="U287" s="5" t="s">
        <v>90</v>
      </c>
    </row>
    <row r="288">
      <c r="A288" s="1" t="s">
        <v>502</v>
      </c>
      <c r="B288" s="2">
        <v>14.0</v>
      </c>
      <c r="C288" s="1" t="s">
        <v>86</v>
      </c>
      <c r="D288" s="6"/>
      <c r="E288" s="3"/>
      <c r="F288" s="1" t="s">
        <v>30</v>
      </c>
      <c r="G288" s="4">
        <v>0.0763888888888889</v>
      </c>
      <c r="H288" s="1" t="s">
        <v>174</v>
      </c>
      <c r="I288" s="1" t="s">
        <v>28</v>
      </c>
      <c r="J288" s="4">
        <v>0.33402777777777776</v>
      </c>
      <c r="K288" s="1" t="s">
        <v>218</v>
      </c>
      <c r="L288" s="1" t="s">
        <v>30</v>
      </c>
      <c r="M288" s="4">
        <v>0.5611111111111111</v>
      </c>
      <c r="N288" s="1" t="s">
        <v>122</v>
      </c>
      <c r="O288" s="1" t="s">
        <v>28</v>
      </c>
      <c r="P288" s="4">
        <v>0.81875</v>
      </c>
      <c r="Q288" s="1" t="s">
        <v>385</v>
      </c>
      <c r="R288" s="1">
        <f t="shared" si="1"/>
        <v>102</v>
      </c>
      <c r="S288" s="1">
        <f t="shared" si="2"/>
        <v>103</v>
      </c>
      <c r="T288" s="5">
        <f t="shared" si="3"/>
        <v>103</v>
      </c>
      <c r="U288" s="5" t="s">
        <v>90</v>
      </c>
    </row>
    <row r="289">
      <c r="A289" s="1" t="s">
        <v>502</v>
      </c>
      <c r="B289" s="2">
        <v>15.0</v>
      </c>
      <c r="C289" s="1" t="s">
        <v>26</v>
      </c>
      <c r="D289" s="6"/>
      <c r="E289" s="3"/>
      <c r="F289" s="1" t="s">
        <v>30</v>
      </c>
      <c r="G289" s="4">
        <v>0.10069444444444445</v>
      </c>
      <c r="H289" s="1" t="s">
        <v>186</v>
      </c>
      <c r="I289" s="1" t="s">
        <v>28</v>
      </c>
      <c r="J289" s="4">
        <v>0.3576388888888889</v>
      </c>
      <c r="K289" s="1" t="s">
        <v>123</v>
      </c>
      <c r="L289" s="1" t="s">
        <v>30</v>
      </c>
      <c r="M289" s="4">
        <v>0.5791666666666667</v>
      </c>
      <c r="N289" s="1" t="s">
        <v>391</v>
      </c>
      <c r="O289" s="1" t="s">
        <v>28</v>
      </c>
      <c r="P289" s="4">
        <v>0.8402777777777778</v>
      </c>
      <c r="Q289" s="1" t="s">
        <v>337</v>
      </c>
      <c r="R289" s="1">
        <f t="shared" si="1"/>
        <v>83</v>
      </c>
      <c r="S289" s="1">
        <f t="shared" si="2"/>
        <v>89</v>
      </c>
      <c r="T289" s="5">
        <f t="shared" si="3"/>
        <v>89</v>
      </c>
      <c r="U289" s="5" t="s">
        <v>39</v>
      </c>
    </row>
    <row r="290">
      <c r="A290" s="1" t="s">
        <v>502</v>
      </c>
      <c r="B290" s="2">
        <v>16.0</v>
      </c>
      <c r="C290" s="1" t="s">
        <v>34</v>
      </c>
      <c r="D290" s="6"/>
      <c r="E290" s="3"/>
      <c r="F290" s="1" t="s">
        <v>30</v>
      </c>
      <c r="G290" s="4">
        <v>0.12708333333333333</v>
      </c>
      <c r="H290" s="1" t="s">
        <v>114</v>
      </c>
      <c r="I290" s="1" t="s">
        <v>28</v>
      </c>
      <c r="J290" s="4">
        <v>0.3854166666666667</v>
      </c>
      <c r="K290" s="1" t="s">
        <v>57</v>
      </c>
      <c r="L290" s="1" t="s">
        <v>30</v>
      </c>
      <c r="M290" s="4">
        <v>0.5986111111111111</v>
      </c>
      <c r="N290" s="1" t="s">
        <v>241</v>
      </c>
      <c r="O290" s="1" t="s">
        <v>28</v>
      </c>
      <c r="P290" s="4">
        <v>0.8652777777777778</v>
      </c>
      <c r="Q290" s="1" t="s">
        <v>265</v>
      </c>
      <c r="R290" s="1">
        <f t="shared" si="1"/>
        <v>64</v>
      </c>
      <c r="S290" s="1">
        <f t="shared" si="2"/>
        <v>73</v>
      </c>
      <c r="T290" s="5">
        <f t="shared" si="3"/>
        <v>73</v>
      </c>
      <c r="U290" s="5" t="s">
        <v>39</v>
      </c>
    </row>
    <row r="291">
      <c r="A291" s="1" t="s">
        <v>502</v>
      </c>
      <c r="B291" s="2">
        <v>17.0</v>
      </c>
      <c r="C291" s="1" t="s">
        <v>41</v>
      </c>
      <c r="D291" s="1" t="s">
        <v>42</v>
      </c>
      <c r="E291" s="3"/>
      <c r="F291" s="1" t="s">
        <v>30</v>
      </c>
      <c r="G291" s="4">
        <v>0.16041666666666668</v>
      </c>
      <c r="H291" s="1" t="s">
        <v>446</v>
      </c>
      <c r="I291" s="1" t="s">
        <v>28</v>
      </c>
      <c r="J291" s="4">
        <v>0.4263888888888889</v>
      </c>
      <c r="K291" s="1" t="s">
        <v>249</v>
      </c>
      <c r="L291" s="1" t="s">
        <v>30</v>
      </c>
      <c r="M291" s="4">
        <v>0.6222222222222222</v>
      </c>
      <c r="N291" s="1" t="s">
        <v>427</v>
      </c>
      <c r="O291" s="1" t="s">
        <v>28</v>
      </c>
      <c r="P291" s="4">
        <v>0.8958333333333334</v>
      </c>
      <c r="Q291" s="1" t="s">
        <v>131</v>
      </c>
      <c r="R291" s="1">
        <f t="shared" si="1"/>
        <v>45</v>
      </c>
      <c r="S291" s="1">
        <f t="shared" si="2"/>
        <v>55</v>
      </c>
      <c r="T291" s="5">
        <f t="shared" si="3"/>
        <v>55</v>
      </c>
      <c r="U291" s="5" t="s">
        <v>39</v>
      </c>
    </row>
    <row r="292">
      <c r="A292" s="1" t="s">
        <v>502</v>
      </c>
      <c r="B292" s="2">
        <v>18.0</v>
      </c>
      <c r="C292" s="1" t="s">
        <v>55</v>
      </c>
      <c r="D292" s="1" t="s">
        <v>42</v>
      </c>
      <c r="E292" s="3"/>
      <c r="F292" s="1" t="s">
        <v>30</v>
      </c>
      <c r="G292" s="4">
        <v>0.21041666666666667</v>
      </c>
      <c r="H292" s="1" t="s">
        <v>295</v>
      </c>
      <c r="I292" s="1" t="s">
        <v>28</v>
      </c>
      <c r="J292" s="4">
        <v>0.5097222222222222</v>
      </c>
      <c r="K292" s="1" t="s">
        <v>187</v>
      </c>
      <c r="L292" s="1" t="s">
        <v>30</v>
      </c>
      <c r="M292" s="4">
        <v>0.6659722222222222</v>
      </c>
      <c r="N292" s="1" t="s">
        <v>331</v>
      </c>
      <c r="O292" s="1" t="s">
        <v>28</v>
      </c>
      <c r="P292" s="4">
        <v>0.94375</v>
      </c>
      <c r="Q292" s="1" t="s">
        <v>128</v>
      </c>
      <c r="R292" s="1">
        <f t="shared" si="1"/>
        <v>32</v>
      </c>
      <c r="S292" s="1">
        <f t="shared" si="2"/>
        <v>38</v>
      </c>
      <c r="T292" s="5">
        <f t="shared" si="3"/>
        <v>38</v>
      </c>
      <c r="U292" s="5" t="s">
        <v>39</v>
      </c>
    </row>
    <row r="293">
      <c r="A293" s="1" t="s">
        <v>502</v>
      </c>
      <c r="B293" s="2">
        <v>19.0</v>
      </c>
      <c r="C293" s="1" t="s">
        <v>25</v>
      </c>
      <c r="D293" s="6"/>
      <c r="E293" s="7" t="s">
        <v>184</v>
      </c>
      <c r="F293" s="1" t="s">
        <v>30</v>
      </c>
      <c r="G293" s="4">
        <v>0.2916666666666667</v>
      </c>
      <c r="H293" s="1" t="s">
        <v>327</v>
      </c>
      <c r="I293" s="1" t="s">
        <v>28</v>
      </c>
      <c r="J293" s="4">
        <v>0.5868055555555556</v>
      </c>
      <c r="K293" s="1" t="s">
        <v>222</v>
      </c>
      <c r="L293" s="1" t="s">
        <v>30</v>
      </c>
      <c r="M293" s="4">
        <v>0.7597222222222222</v>
      </c>
      <c r="N293" s="1" t="s">
        <v>356</v>
      </c>
      <c r="R293" s="1">
        <f t="shared" si="1"/>
        <v>34</v>
      </c>
      <c r="S293" s="1">
        <f t="shared" si="2"/>
        <v>3</v>
      </c>
      <c r="T293" s="5">
        <f t="shared" si="3"/>
        <v>34</v>
      </c>
      <c r="U293" s="5" t="s">
        <v>39</v>
      </c>
    </row>
    <row r="294">
      <c r="A294" s="1" t="s">
        <v>502</v>
      </c>
      <c r="B294" s="2">
        <v>20.0</v>
      </c>
      <c r="C294" s="1" t="s">
        <v>75</v>
      </c>
      <c r="D294" s="6"/>
      <c r="E294" s="3"/>
      <c r="F294" s="1" t="s">
        <v>28</v>
      </c>
      <c r="G294" s="4">
        <v>0.02361111111111111</v>
      </c>
      <c r="H294" s="1" t="s">
        <v>189</v>
      </c>
      <c r="I294" s="1" t="s">
        <v>30</v>
      </c>
      <c r="J294" s="4">
        <v>0.35138888888888886</v>
      </c>
      <c r="K294" s="1" t="s">
        <v>250</v>
      </c>
      <c r="L294" s="1" t="s">
        <v>28</v>
      </c>
      <c r="M294" s="4">
        <v>0.6229166666666667</v>
      </c>
      <c r="N294" s="1" t="s">
        <v>77</v>
      </c>
      <c r="O294" s="1" t="s">
        <v>30</v>
      </c>
      <c r="P294" s="4">
        <v>0.8381944444444445</v>
      </c>
      <c r="Q294" s="1" t="s">
        <v>332</v>
      </c>
      <c r="R294" s="1">
        <f t="shared" si="1"/>
        <v>60</v>
      </c>
      <c r="S294" s="1">
        <f t="shared" si="2"/>
        <v>26</v>
      </c>
      <c r="T294" s="5">
        <f t="shared" si="3"/>
        <v>60</v>
      </c>
      <c r="U294" s="5" t="s">
        <v>39</v>
      </c>
    </row>
    <row r="295">
      <c r="A295" s="1" t="s">
        <v>502</v>
      </c>
      <c r="B295" s="2">
        <v>21.0</v>
      </c>
      <c r="C295" s="1" t="s">
        <v>86</v>
      </c>
      <c r="D295" s="6"/>
      <c r="E295" s="3"/>
      <c r="F295" s="1" t="s">
        <v>28</v>
      </c>
      <c r="G295" s="4">
        <v>0.08958333333333333</v>
      </c>
      <c r="H295" s="1" t="s">
        <v>100</v>
      </c>
      <c r="I295" s="1" t="s">
        <v>30</v>
      </c>
      <c r="J295" s="4">
        <v>0.38472222222222224</v>
      </c>
      <c r="K295" s="1" t="s">
        <v>120</v>
      </c>
      <c r="L295" s="1" t="s">
        <v>28</v>
      </c>
      <c r="M295" s="4">
        <v>0.6451388888888889</v>
      </c>
      <c r="N295" s="1" t="s">
        <v>181</v>
      </c>
      <c r="O295" s="1" t="s">
        <v>30</v>
      </c>
      <c r="P295" s="4">
        <v>0.8819444444444444</v>
      </c>
      <c r="Q295" s="1" t="s">
        <v>241</v>
      </c>
      <c r="R295" s="1">
        <f t="shared" si="1"/>
        <v>72</v>
      </c>
      <c r="S295" s="1">
        <f t="shared" si="2"/>
        <v>51</v>
      </c>
      <c r="T295" s="5">
        <f t="shared" si="3"/>
        <v>72</v>
      </c>
      <c r="U295" s="5" t="s">
        <v>39</v>
      </c>
    </row>
    <row r="296">
      <c r="A296" s="1" t="s">
        <v>502</v>
      </c>
      <c r="B296" s="2">
        <v>22.0</v>
      </c>
      <c r="C296" s="1" t="s">
        <v>26</v>
      </c>
      <c r="D296" s="6"/>
      <c r="E296" s="3"/>
      <c r="F296" s="1" t="s">
        <v>28</v>
      </c>
      <c r="G296" s="4">
        <v>0.12986111111111112</v>
      </c>
      <c r="H296" s="1" t="s">
        <v>251</v>
      </c>
      <c r="I296" s="1" t="s">
        <v>30</v>
      </c>
      <c r="J296" s="4">
        <v>0.4083333333333333</v>
      </c>
      <c r="K296" s="1" t="s">
        <v>223</v>
      </c>
      <c r="L296" s="1" t="s">
        <v>28</v>
      </c>
      <c r="M296" s="4">
        <v>0.6638888888888889</v>
      </c>
      <c r="N296" s="1" t="s">
        <v>192</v>
      </c>
      <c r="O296" s="1" t="s">
        <v>30</v>
      </c>
      <c r="P296" s="4">
        <v>0.9125</v>
      </c>
      <c r="Q296" s="1" t="s">
        <v>120</v>
      </c>
      <c r="R296" s="1">
        <f t="shared" si="1"/>
        <v>88</v>
      </c>
      <c r="S296" s="1">
        <f t="shared" si="2"/>
        <v>78</v>
      </c>
      <c r="T296" s="5">
        <f t="shared" si="3"/>
        <v>88</v>
      </c>
      <c r="U296" s="5" t="s">
        <v>39</v>
      </c>
    </row>
    <row r="297">
      <c r="A297" s="1" t="s">
        <v>502</v>
      </c>
      <c r="B297" s="2">
        <v>23.0</v>
      </c>
      <c r="C297" s="1" t="s">
        <v>34</v>
      </c>
      <c r="D297" s="6"/>
      <c r="E297" s="3"/>
      <c r="F297" s="1" t="s">
        <v>28</v>
      </c>
      <c r="G297" s="4">
        <v>0.16180555555555556</v>
      </c>
      <c r="H297" s="1" t="s">
        <v>265</v>
      </c>
      <c r="I297" s="1" t="s">
        <v>30</v>
      </c>
      <c r="J297" s="4">
        <v>0.42916666666666664</v>
      </c>
      <c r="K297" s="1" t="s">
        <v>114</v>
      </c>
      <c r="L297" s="1" t="s">
        <v>28</v>
      </c>
      <c r="M297" s="4">
        <v>0.6819444444444445</v>
      </c>
      <c r="N297" s="1" t="s">
        <v>307</v>
      </c>
      <c r="O297" s="1" t="s">
        <v>30</v>
      </c>
      <c r="P297" s="4">
        <v>0.9388888888888889</v>
      </c>
      <c r="Q297" s="1" t="s">
        <v>37</v>
      </c>
      <c r="R297" s="1">
        <f t="shared" si="1"/>
        <v>101</v>
      </c>
      <c r="S297" s="1">
        <f t="shared" si="2"/>
        <v>106</v>
      </c>
      <c r="T297" s="5">
        <f t="shared" si="3"/>
        <v>106</v>
      </c>
      <c r="U297" s="5" t="s">
        <v>90</v>
      </c>
    </row>
    <row r="298">
      <c r="A298" s="1" t="s">
        <v>502</v>
      </c>
      <c r="B298" s="2">
        <v>24.0</v>
      </c>
      <c r="C298" s="1" t="s">
        <v>41</v>
      </c>
      <c r="D298" s="1" t="s">
        <v>42</v>
      </c>
      <c r="E298" s="3"/>
      <c r="F298" s="1" t="s">
        <v>28</v>
      </c>
      <c r="G298" s="4">
        <v>0.18958333333333333</v>
      </c>
      <c r="H298" s="1" t="s">
        <v>410</v>
      </c>
      <c r="I298" s="1" t="s">
        <v>30</v>
      </c>
      <c r="J298" s="4">
        <v>0.4486111111111111</v>
      </c>
      <c r="K298" s="1" t="s">
        <v>146</v>
      </c>
      <c r="L298" s="1" t="s">
        <v>28</v>
      </c>
      <c r="M298" s="4">
        <v>0.7006944444444444</v>
      </c>
      <c r="N298" s="1" t="s">
        <v>167</v>
      </c>
      <c r="O298" s="1" t="s">
        <v>30</v>
      </c>
      <c r="P298" s="4">
        <v>0.9638888888888889</v>
      </c>
      <c r="Q298" s="1" t="s">
        <v>185</v>
      </c>
      <c r="R298" s="1">
        <f t="shared" si="1"/>
        <v>113</v>
      </c>
      <c r="S298" s="1">
        <f t="shared" si="2"/>
        <v>134</v>
      </c>
      <c r="T298" s="5">
        <f t="shared" si="3"/>
        <v>134</v>
      </c>
      <c r="U298" s="5" t="s">
        <v>47</v>
      </c>
    </row>
    <row r="299">
      <c r="A299" s="1" t="s">
        <v>502</v>
      </c>
      <c r="B299" s="2">
        <v>25.0</v>
      </c>
      <c r="C299" s="1" t="s">
        <v>55</v>
      </c>
      <c r="D299" s="1" t="s">
        <v>504</v>
      </c>
      <c r="E299" s="3"/>
      <c r="F299" s="1" t="s">
        <v>28</v>
      </c>
      <c r="G299" s="4">
        <v>0.21666666666666667</v>
      </c>
      <c r="H299" s="1" t="s">
        <v>158</v>
      </c>
      <c r="I299" s="1" t="s">
        <v>30</v>
      </c>
      <c r="J299" s="4">
        <v>0.46875</v>
      </c>
      <c r="K299" s="1" t="s">
        <v>99</v>
      </c>
      <c r="L299" s="1" t="s">
        <v>28</v>
      </c>
      <c r="M299" s="4">
        <v>0.7208333333333333</v>
      </c>
      <c r="N299" s="1" t="s">
        <v>205</v>
      </c>
      <c r="O299" s="1" t="s">
        <v>30</v>
      </c>
      <c r="P299" s="4">
        <v>0.9895833333333334</v>
      </c>
      <c r="Q299" s="1" t="s">
        <v>98</v>
      </c>
      <c r="R299" s="1">
        <f t="shared" si="1"/>
        <v>119</v>
      </c>
      <c r="S299" s="1">
        <f t="shared" si="2"/>
        <v>157</v>
      </c>
      <c r="T299" s="5">
        <f t="shared" si="3"/>
        <v>157</v>
      </c>
      <c r="U299" s="5" t="s">
        <v>47</v>
      </c>
    </row>
    <row r="300">
      <c r="A300" s="1" t="s">
        <v>502</v>
      </c>
      <c r="B300" s="2">
        <v>26.0</v>
      </c>
      <c r="C300" s="1" t="s">
        <v>25</v>
      </c>
      <c r="D300" s="1" t="s">
        <v>264</v>
      </c>
      <c r="E300" s="7" t="s">
        <v>35</v>
      </c>
      <c r="F300" s="1" t="s">
        <v>28</v>
      </c>
      <c r="G300" s="4">
        <v>0.24444444444444444</v>
      </c>
      <c r="H300" s="1" t="s">
        <v>378</v>
      </c>
      <c r="I300" s="1" t="s">
        <v>30</v>
      </c>
      <c r="J300" s="4">
        <v>0.4895833333333333</v>
      </c>
      <c r="K300" s="1" t="s">
        <v>99</v>
      </c>
      <c r="L300" s="1" t="s">
        <v>28</v>
      </c>
      <c r="M300" s="4">
        <v>0.7430555555555556</v>
      </c>
      <c r="N300" s="1" t="s">
        <v>493</v>
      </c>
      <c r="R300" s="1">
        <f t="shared" si="1"/>
        <v>118</v>
      </c>
      <c r="S300" s="1">
        <f t="shared" si="2"/>
        <v>81</v>
      </c>
      <c r="T300" s="5">
        <f t="shared" si="3"/>
        <v>118</v>
      </c>
      <c r="U300" s="5" t="s">
        <v>90</v>
      </c>
    </row>
    <row r="301">
      <c r="A301" s="1" t="s">
        <v>502</v>
      </c>
      <c r="B301" s="2">
        <v>27.0</v>
      </c>
      <c r="C301" s="1" t="s">
        <v>75</v>
      </c>
      <c r="D301" s="6"/>
      <c r="E301" s="3"/>
      <c r="F301" s="1" t="s">
        <v>30</v>
      </c>
      <c r="G301" s="4">
        <v>0.016666666666666666</v>
      </c>
      <c r="H301" s="1" t="s">
        <v>144</v>
      </c>
      <c r="I301" s="1" t="s">
        <v>28</v>
      </c>
      <c r="J301" s="4">
        <v>0.2722222222222222</v>
      </c>
      <c r="K301" s="1" t="s">
        <v>147</v>
      </c>
      <c r="L301" s="1" t="s">
        <v>30</v>
      </c>
      <c r="M301" s="4">
        <v>0.5111111111111111</v>
      </c>
      <c r="N301" s="1" t="s">
        <v>146</v>
      </c>
      <c r="O301" s="1" t="s">
        <v>28</v>
      </c>
      <c r="P301" s="4">
        <v>0.7666666666666667</v>
      </c>
      <c r="Q301" s="1" t="s">
        <v>473</v>
      </c>
      <c r="R301" s="1">
        <f t="shared" si="1"/>
        <v>147</v>
      </c>
      <c r="S301" s="1">
        <f t="shared" si="2"/>
        <v>140</v>
      </c>
      <c r="T301" s="5">
        <f t="shared" si="3"/>
        <v>147</v>
      </c>
      <c r="U301" s="5" t="s">
        <v>47</v>
      </c>
    </row>
    <row r="302">
      <c r="A302" s="1" t="s">
        <v>502</v>
      </c>
      <c r="B302" s="2">
        <v>28.0</v>
      </c>
      <c r="C302" s="1" t="s">
        <v>86</v>
      </c>
      <c r="D302" s="6"/>
      <c r="E302" s="3"/>
      <c r="F302" s="1" t="s">
        <v>30</v>
      </c>
      <c r="G302" s="4">
        <v>0.04583333333333333</v>
      </c>
      <c r="H302" s="1" t="s">
        <v>456</v>
      </c>
      <c r="I302" s="1" t="s">
        <v>28</v>
      </c>
      <c r="J302" s="4">
        <v>0.3013888888888889</v>
      </c>
      <c r="K302" s="1" t="s">
        <v>179</v>
      </c>
      <c r="L302" s="1" t="s">
        <v>30</v>
      </c>
      <c r="M302" s="4">
        <v>0.5333333333333333</v>
      </c>
      <c r="N302" s="1" t="s">
        <v>114</v>
      </c>
      <c r="O302" s="1" t="s">
        <v>28</v>
      </c>
      <c r="P302" s="4">
        <v>0.7930555555555555</v>
      </c>
      <c r="Q302" s="1" t="s">
        <v>451</v>
      </c>
      <c r="R302" s="1">
        <f t="shared" si="1"/>
        <v>140</v>
      </c>
      <c r="S302" s="1">
        <f t="shared" si="2"/>
        <v>134</v>
      </c>
      <c r="T302" s="5">
        <f t="shared" si="3"/>
        <v>140</v>
      </c>
      <c r="U302" s="5" t="s">
        <v>47</v>
      </c>
    </row>
    <row r="303">
      <c r="A303" s="1" t="s">
        <v>502</v>
      </c>
      <c r="B303" s="2">
        <v>29.0</v>
      </c>
      <c r="C303" s="1" t="s">
        <v>26</v>
      </c>
      <c r="D303" s="6"/>
      <c r="E303" s="3"/>
      <c r="F303" s="1" t="s">
        <v>30</v>
      </c>
      <c r="G303" s="4">
        <v>0.07708333333333334</v>
      </c>
      <c r="H303" s="1" t="s">
        <v>475</v>
      </c>
      <c r="I303" s="1" t="s">
        <v>28</v>
      </c>
      <c r="J303" s="4">
        <v>0.3333333333333333</v>
      </c>
      <c r="K303" s="1" t="s">
        <v>100</v>
      </c>
      <c r="L303" s="1" t="s">
        <v>30</v>
      </c>
      <c r="M303" s="4">
        <v>0.5576388888888889</v>
      </c>
      <c r="N303" s="1" t="s">
        <v>115</v>
      </c>
      <c r="O303" s="1" t="s">
        <v>28</v>
      </c>
      <c r="P303" s="4">
        <v>0.8222222222222222</v>
      </c>
      <c r="Q303" s="1" t="s">
        <v>346</v>
      </c>
      <c r="R303" s="1">
        <f t="shared" si="1"/>
        <v>124</v>
      </c>
      <c r="S303" s="1">
        <f t="shared" si="2"/>
        <v>122</v>
      </c>
      <c r="T303" s="5">
        <f t="shared" si="3"/>
        <v>124</v>
      </c>
      <c r="U303" s="5" t="s">
        <v>47</v>
      </c>
    </row>
    <row r="304">
      <c r="A304" s="1" t="s">
        <v>502</v>
      </c>
      <c r="B304" s="2">
        <v>30.0</v>
      </c>
      <c r="C304" s="1" t="s">
        <v>34</v>
      </c>
      <c r="D304" s="6"/>
      <c r="E304" s="3"/>
      <c r="F304" s="1" t="s">
        <v>30</v>
      </c>
      <c r="G304" s="4">
        <v>0.1125</v>
      </c>
      <c r="H304" s="1" t="s">
        <v>505</v>
      </c>
      <c r="I304" s="1" t="s">
        <v>28</v>
      </c>
      <c r="J304" s="4">
        <v>0.3701388888888889</v>
      </c>
      <c r="K304" s="1" t="s">
        <v>230</v>
      </c>
      <c r="L304" s="1" t="s">
        <v>30</v>
      </c>
      <c r="M304" s="4">
        <v>0.5854166666666667</v>
      </c>
      <c r="N304" s="1" t="s">
        <v>122</v>
      </c>
      <c r="O304" s="1" t="s">
        <v>28</v>
      </c>
      <c r="P304" s="4">
        <v>0.8555555555555555</v>
      </c>
      <c r="Q304" s="1" t="s">
        <v>385</v>
      </c>
      <c r="R304" s="1">
        <f t="shared" si="1"/>
        <v>102</v>
      </c>
      <c r="S304" s="1">
        <f t="shared" si="2"/>
        <v>103</v>
      </c>
      <c r="T304" s="5">
        <f t="shared" si="3"/>
        <v>103</v>
      </c>
      <c r="U304" s="5" t="s">
        <v>90</v>
      </c>
    </row>
    <row r="305">
      <c r="A305" s="1" t="s">
        <v>502</v>
      </c>
      <c r="B305" s="2">
        <v>31.0</v>
      </c>
      <c r="C305" s="1" t="s">
        <v>41</v>
      </c>
      <c r="D305" s="1" t="s">
        <v>42</v>
      </c>
      <c r="E305" s="3"/>
      <c r="F305" s="1" t="s">
        <v>30</v>
      </c>
      <c r="G305" s="4">
        <v>0.15555555555555556</v>
      </c>
      <c r="H305" s="1" t="s">
        <v>185</v>
      </c>
      <c r="I305" s="1" t="s">
        <v>28</v>
      </c>
      <c r="J305" s="4">
        <v>0.4173611111111111</v>
      </c>
      <c r="K305" s="1" t="s">
        <v>145</v>
      </c>
      <c r="L305" s="1" t="s">
        <v>30</v>
      </c>
      <c r="M305" s="4">
        <v>0.6208333333333333</v>
      </c>
      <c r="N305" s="1" t="s">
        <v>327</v>
      </c>
      <c r="O305" s="1" t="s">
        <v>28</v>
      </c>
      <c r="P305" s="4">
        <v>0.8965277777777778</v>
      </c>
      <c r="Q305" s="1" t="s">
        <v>267</v>
      </c>
      <c r="R305" s="1">
        <f t="shared" si="1"/>
        <v>79</v>
      </c>
      <c r="S305" s="1">
        <f t="shared" si="2"/>
        <v>81</v>
      </c>
      <c r="T305" s="5">
        <f t="shared" si="3"/>
        <v>81</v>
      </c>
      <c r="U305" s="5" t="s">
        <v>39</v>
      </c>
    </row>
    <row r="306">
      <c r="A306" s="1" t="s">
        <v>507</v>
      </c>
      <c r="B306" s="2">
        <v>1.0</v>
      </c>
      <c r="C306" s="1" t="s">
        <v>55</v>
      </c>
      <c r="D306" s="1" t="s">
        <v>42</v>
      </c>
      <c r="E306" s="3"/>
      <c r="F306" s="1" t="s">
        <v>30</v>
      </c>
      <c r="G306" s="4">
        <v>0.21041666666666667</v>
      </c>
      <c r="H306" s="1" t="s">
        <v>186</v>
      </c>
      <c r="I306" s="1" t="s">
        <v>28</v>
      </c>
      <c r="J306" s="4">
        <v>0.4826388888888889</v>
      </c>
      <c r="K306" s="1" t="s">
        <v>29</v>
      </c>
      <c r="L306" s="1" t="s">
        <v>30</v>
      </c>
      <c r="M306" s="4">
        <v>0.6770833333333334</v>
      </c>
      <c r="N306" s="1" t="s">
        <v>494</v>
      </c>
      <c r="O306" s="1" t="s">
        <v>28</v>
      </c>
      <c r="P306" s="4">
        <v>0.9520833333333333</v>
      </c>
      <c r="Q306" s="1" t="s">
        <v>292</v>
      </c>
      <c r="R306" s="1">
        <f t="shared" si="1"/>
        <v>63</v>
      </c>
      <c r="S306" s="1">
        <f t="shared" si="2"/>
        <v>61</v>
      </c>
      <c r="T306" s="5">
        <f t="shared" si="3"/>
        <v>63</v>
      </c>
      <c r="U306" s="5" t="s">
        <v>39</v>
      </c>
    </row>
    <row r="307">
      <c r="A307" s="1" t="s">
        <v>507</v>
      </c>
      <c r="B307" s="2">
        <v>2.0</v>
      </c>
      <c r="C307" s="1" t="s">
        <v>25</v>
      </c>
      <c r="D307" s="6"/>
      <c r="E307" s="7" t="s">
        <v>107</v>
      </c>
      <c r="F307" s="1" t="s">
        <v>30</v>
      </c>
      <c r="G307" s="4">
        <v>0.2763888888888889</v>
      </c>
      <c r="H307" s="1" t="s">
        <v>37</v>
      </c>
      <c r="I307" s="1" t="s">
        <v>28</v>
      </c>
      <c r="J307" s="4">
        <v>0.55</v>
      </c>
      <c r="K307" s="1" t="s">
        <v>36</v>
      </c>
      <c r="L307" s="1" t="s">
        <v>30</v>
      </c>
      <c r="M307" s="4">
        <v>0.7604166666666666</v>
      </c>
      <c r="N307" s="1" t="s">
        <v>481</v>
      </c>
      <c r="R307" s="1">
        <f t="shared" si="1"/>
        <v>62</v>
      </c>
      <c r="S307" s="1">
        <f t="shared" si="2"/>
        <v>19</v>
      </c>
      <c r="T307" s="5">
        <f t="shared" si="3"/>
        <v>62</v>
      </c>
      <c r="U307" s="5" t="s">
        <v>39</v>
      </c>
    </row>
    <row r="308">
      <c r="A308" s="1" t="s">
        <v>507</v>
      </c>
      <c r="B308" s="2">
        <v>3.0</v>
      </c>
      <c r="C308" s="1" t="s">
        <v>75</v>
      </c>
      <c r="D308" s="6"/>
      <c r="E308" s="3"/>
      <c r="F308" s="1" t="s">
        <v>28</v>
      </c>
      <c r="G308" s="4">
        <v>0.02361111111111111</v>
      </c>
      <c r="H308" s="1" t="s">
        <v>402</v>
      </c>
      <c r="I308" s="1" t="s">
        <v>30</v>
      </c>
      <c r="J308" s="4">
        <v>0.33055555555555555</v>
      </c>
      <c r="K308" s="1" t="s">
        <v>37</v>
      </c>
      <c r="L308" s="1" t="s">
        <v>28</v>
      </c>
      <c r="M308" s="4">
        <v>0.5958333333333333</v>
      </c>
      <c r="N308" s="1" t="s">
        <v>109</v>
      </c>
      <c r="O308" s="1" t="s">
        <v>30</v>
      </c>
      <c r="P308" s="4">
        <v>0.8361111111111111</v>
      </c>
      <c r="Q308" s="1" t="s">
        <v>480</v>
      </c>
      <c r="R308" s="1">
        <f t="shared" si="1"/>
        <v>90</v>
      </c>
      <c r="S308" s="1">
        <f t="shared" si="2"/>
        <v>46</v>
      </c>
      <c r="T308" s="5">
        <f t="shared" si="3"/>
        <v>90</v>
      </c>
      <c r="U308" s="5" t="s">
        <v>39</v>
      </c>
    </row>
    <row r="309">
      <c r="A309" s="1" t="s">
        <v>507</v>
      </c>
      <c r="B309" s="2">
        <v>4.0</v>
      </c>
      <c r="C309" s="1" t="s">
        <v>86</v>
      </c>
      <c r="D309" s="6"/>
      <c r="E309" s="3"/>
      <c r="F309" s="1" t="s">
        <v>28</v>
      </c>
      <c r="G309" s="4">
        <v>0.08611111111111111</v>
      </c>
      <c r="H309" s="1" t="s">
        <v>402</v>
      </c>
      <c r="I309" s="1" t="s">
        <v>30</v>
      </c>
      <c r="J309" s="4">
        <v>0.3701388888888889</v>
      </c>
      <c r="K309" s="1" t="s">
        <v>146</v>
      </c>
      <c r="L309" s="1" t="s">
        <v>28</v>
      </c>
      <c r="M309" s="4">
        <v>0.6270833333333333</v>
      </c>
      <c r="N309" s="1" t="s">
        <v>181</v>
      </c>
      <c r="O309" s="1" t="s">
        <v>30</v>
      </c>
      <c r="P309" s="4">
        <v>0.8840277777777777</v>
      </c>
      <c r="Q309" s="1" t="s">
        <v>117</v>
      </c>
      <c r="R309" s="1">
        <f t="shared" si="1"/>
        <v>91</v>
      </c>
      <c r="S309" s="1">
        <f t="shared" si="2"/>
        <v>72</v>
      </c>
      <c r="T309" s="5">
        <f t="shared" si="3"/>
        <v>91</v>
      </c>
      <c r="U309" s="5" t="s">
        <v>90</v>
      </c>
    </row>
    <row r="310">
      <c r="A310" s="1" t="s">
        <v>507</v>
      </c>
      <c r="B310" s="2">
        <v>5.0</v>
      </c>
      <c r="C310" s="1" t="s">
        <v>26</v>
      </c>
      <c r="D310" s="6"/>
      <c r="E310" s="3"/>
      <c r="F310" s="1" t="s">
        <v>28</v>
      </c>
      <c r="G310" s="4">
        <v>0.13194444444444445</v>
      </c>
      <c r="H310" s="1" t="s">
        <v>262</v>
      </c>
      <c r="I310" s="1" t="s">
        <v>30</v>
      </c>
      <c r="J310" s="4">
        <v>0.40069444444444446</v>
      </c>
      <c r="K310" s="1" t="s">
        <v>146</v>
      </c>
      <c r="L310" s="1" t="s">
        <v>28</v>
      </c>
      <c r="M310" s="4">
        <v>0.6520833333333333</v>
      </c>
      <c r="N310" s="1" t="s">
        <v>192</v>
      </c>
      <c r="O310" s="1" t="s">
        <v>30</v>
      </c>
      <c r="P310" s="4">
        <v>0.91875</v>
      </c>
      <c r="Q310" s="1" t="s">
        <v>99</v>
      </c>
      <c r="R310" s="1">
        <f t="shared" si="1"/>
        <v>94</v>
      </c>
      <c r="S310" s="1">
        <f t="shared" si="2"/>
        <v>97</v>
      </c>
      <c r="T310" s="5">
        <f t="shared" si="3"/>
        <v>97</v>
      </c>
      <c r="U310" s="5" t="s">
        <v>90</v>
      </c>
    </row>
    <row r="311">
      <c r="A311" s="1" t="s">
        <v>507</v>
      </c>
      <c r="B311" s="2">
        <v>6.0</v>
      </c>
      <c r="C311" s="1" t="s">
        <v>34</v>
      </c>
      <c r="D311" s="6"/>
      <c r="E311" s="3"/>
      <c r="F311" s="1" t="s">
        <v>28</v>
      </c>
      <c r="G311" s="4">
        <v>0.16875</v>
      </c>
      <c r="H311" s="1" t="s">
        <v>131</v>
      </c>
      <c r="I311" s="1" t="s">
        <v>30</v>
      </c>
      <c r="J311" s="4">
        <v>0.425</v>
      </c>
      <c r="K311" s="1" t="s">
        <v>146</v>
      </c>
      <c r="L311" s="1" t="s">
        <v>28</v>
      </c>
      <c r="M311" s="4">
        <v>0.6756944444444445</v>
      </c>
      <c r="N311" s="1" t="s">
        <v>135</v>
      </c>
      <c r="O311" s="1" t="s">
        <v>30</v>
      </c>
      <c r="P311" s="4">
        <v>0.9479166666666666</v>
      </c>
      <c r="Q311" s="1" t="s">
        <v>314</v>
      </c>
      <c r="R311" s="1">
        <f t="shared" si="1"/>
        <v>96</v>
      </c>
      <c r="S311" s="1">
        <f t="shared" si="2"/>
        <v>118</v>
      </c>
      <c r="T311" s="5">
        <f t="shared" si="3"/>
        <v>118</v>
      </c>
      <c r="U311" s="5" t="s">
        <v>90</v>
      </c>
    </row>
    <row r="312">
      <c r="A312" s="1" t="s">
        <v>507</v>
      </c>
      <c r="B312" s="2">
        <v>7.0</v>
      </c>
      <c r="C312" s="1" t="s">
        <v>41</v>
      </c>
      <c r="D312" s="1" t="s">
        <v>42</v>
      </c>
      <c r="E312" s="3"/>
      <c r="F312" s="1" t="s">
        <v>28</v>
      </c>
      <c r="G312" s="4">
        <v>0.2</v>
      </c>
      <c r="H312" s="1" t="s">
        <v>131</v>
      </c>
      <c r="I312" s="1" t="s">
        <v>30</v>
      </c>
      <c r="J312" s="4">
        <v>0.4465277777777778</v>
      </c>
      <c r="K312" s="1" t="s">
        <v>37</v>
      </c>
      <c r="L312" s="1" t="s">
        <v>28</v>
      </c>
      <c r="M312" s="4">
        <v>0.6972222222222222</v>
      </c>
      <c r="N312" s="1" t="s">
        <v>147</v>
      </c>
      <c r="O312" s="1" t="s">
        <v>30</v>
      </c>
      <c r="P312" s="4">
        <v>0.9736111111111111</v>
      </c>
      <c r="Q312" s="1" t="s">
        <v>302</v>
      </c>
      <c r="R312" s="1">
        <f t="shared" si="1"/>
        <v>95</v>
      </c>
      <c r="S312" s="1">
        <f t="shared" si="2"/>
        <v>134</v>
      </c>
      <c r="T312" s="5">
        <f t="shared" si="3"/>
        <v>134</v>
      </c>
      <c r="U312" s="5" t="s">
        <v>47</v>
      </c>
    </row>
    <row r="313">
      <c r="A313" s="1" t="s">
        <v>507</v>
      </c>
      <c r="B313" s="2">
        <v>8.0</v>
      </c>
      <c r="C313" s="1" t="s">
        <v>55</v>
      </c>
      <c r="D313" s="1" t="s">
        <v>42</v>
      </c>
      <c r="E313" s="3"/>
      <c r="F313" s="1" t="s">
        <v>28</v>
      </c>
      <c r="G313" s="4">
        <v>0.22847222222222222</v>
      </c>
      <c r="H313" s="1" t="s">
        <v>262</v>
      </c>
      <c r="I313" s="1" t="s">
        <v>30</v>
      </c>
      <c r="J313" s="4">
        <v>0.46597222222222223</v>
      </c>
      <c r="K313" s="1" t="s">
        <v>469</v>
      </c>
      <c r="L313" s="1" t="s">
        <v>28</v>
      </c>
      <c r="M313" s="4">
        <v>0.71875</v>
      </c>
      <c r="N313" s="1" t="s">
        <v>337</v>
      </c>
      <c r="O313" s="1" t="s">
        <v>30</v>
      </c>
      <c r="P313" s="4">
        <v>0.9972222222222222</v>
      </c>
      <c r="Q313" s="1" t="s">
        <v>300</v>
      </c>
      <c r="R313" s="1">
        <f t="shared" si="1"/>
        <v>92</v>
      </c>
      <c r="S313" s="1">
        <f t="shared" si="2"/>
        <v>144</v>
      </c>
      <c r="T313" s="5">
        <f t="shared" si="3"/>
        <v>144</v>
      </c>
      <c r="U313" s="5" t="s">
        <v>47</v>
      </c>
    </row>
    <row r="314">
      <c r="A314" s="1" t="s">
        <v>507</v>
      </c>
      <c r="B314" s="2">
        <v>9.0</v>
      </c>
      <c r="C314" s="1" t="s">
        <v>25</v>
      </c>
      <c r="D314" s="6"/>
      <c r="E314" s="7" t="s">
        <v>143</v>
      </c>
      <c r="F314" s="1" t="s">
        <v>28</v>
      </c>
      <c r="G314" s="4">
        <v>0.2548611111111111</v>
      </c>
      <c r="H314" s="1" t="s">
        <v>100</v>
      </c>
      <c r="I314" s="1" t="s">
        <v>30</v>
      </c>
      <c r="J314" s="4">
        <v>0.48541666666666666</v>
      </c>
      <c r="K314" s="1" t="s">
        <v>257</v>
      </c>
      <c r="L314" s="1" t="s">
        <v>28</v>
      </c>
      <c r="M314" s="4">
        <v>0.7395833333333334</v>
      </c>
      <c r="N314" s="1" t="s">
        <v>78</v>
      </c>
      <c r="R314" s="1">
        <f t="shared" si="1"/>
        <v>86</v>
      </c>
      <c r="S314" s="1">
        <f t="shared" si="2"/>
        <v>62</v>
      </c>
      <c r="T314" s="5">
        <f t="shared" si="3"/>
        <v>86</v>
      </c>
      <c r="U314" s="5" t="s">
        <v>39</v>
      </c>
    </row>
    <row r="315">
      <c r="A315" s="1" t="s">
        <v>507</v>
      </c>
      <c r="B315" s="2">
        <v>10.0</v>
      </c>
      <c r="C315" s="1" t="s">
        <v>75</v>
      </c>
      <c r="D315" s="6"/>
      <c r="E315" s="3"/>
      <c r="F315" s="1" t="s">
        <v>30</v>
      </c>
      <c r="G315" s="4">
        <v>0.02013888888888889</v>
      </c>
      <c r="H315" s="1" t="s">
        <v>260</v>
      </c>
      <c r="I315" s="1" t="s">
        <v>28</v>
      </c>
      <c r="J315" s="4">
        <v>0.2798611111111111</v>
      </c>
      <c r="K315" s="1" t="s">
        <v>181</v>
      </c>
      <c r="L315" s="1" t="s">
        <v>30</v>
      </c>
      <c r="M315" s="4">
        <v>0.5041666666666667</v>
      </c>
      <c r="N315" s="1" t="s">
        <v>114</v>
      </c>
      <c r="O315" s="1" t="s">
        <v>28</v>
      </c>
      <c r="P315" s="4">
        <v>0.7604166666666666</v>
      </c>
      <c r="Q315" s="1" t="s">
        <v>78</v>
      </c>
      <c r="R315" s="1">
        <f t="shared" si="1"/>
        <v>115</v>
      </c>
      <c r="S315" s="1">
        <f t="shared" si="2"/>
        <v>113</v>
      </c>
      <c r="T315" s="5">
        <f t="shared" si="3"/>
        <v>115</v>
      </c>
      <c r="U315" s="5" t="s">
        <v>90</v>
      </c>
    </row>
    <row r="316">
      <c r="A316" s="1" t="s">
        <v>507</v>
      </c>
      <c r="B316" s="2">
        <v>11.0</v>
      </c>
      <c r="C316" s="1" t="s">
        <v>86</v>
      </c>
      <c r="D316" s="6"/>
      <c r="E316" s="3"/>
      <c r="F316" s="1" t="s">
        <v>30</v>
      </c>
      <c r="G316" s="4">
        <v>0.043055555555555555</v>
      </c>
      <c r="H316" s="1" t="s">
        <v>260</v>
      </c>
      <c r="I316" s="1" t="s">
        <v>28</v>
      </c>
      <c r="J316" s="4">
        <v>0.3034722222222222</v>
      </c>
      <c r="K316" s="1" t="s">
        <v>256</v>
      </c>
      <c r="L316" s="1" t="s">
        <v>30</v>
      </c>
      <c r="M316" s="4">
        <v>0.5243055555555556</v>
      </c>
      <c r="N316" s="1" t="s">
        <v>118</v>
      </c>
      <c r="O316" s="1" t="s">
        <v>28</v>
      </c>
      <c r="P316" s="4">
        <v>0.7819444444444444</v>
      </c>
      <c r="Q316" s="1" t="s">
        <v>378</v>
      </c>
      <c r="R316" s="1">
        <f t="shared" si="1"/>
        <v>109</v>
      </c>
      <c r="S316" s="1">
        <f t="shared" si="2"/>
        <v>109</v>
      </c>
      <c r="T316" s="5">
        <f t="shared" si="3"/>
        <v>109</v>
      </c>
      <c r="U316" s="5" t="s">
        <v>90</v>
      </c>
    </row>
    <row r="317">
      <c r="A317" s="1" t="s">
        <v>507</v>
      </c>
      <c r="B317" s="2">
        <v>12.0</v>
      </c>
      <c r="C317" s="1" t="s">
        <v>26</v>
      </c>
      <c r="D317" s="6"/>
      <c r="E317" s="3"/>
      <c r="F317" s="1" t="s">
        <v>30</v>
      </c>
      <c r="G317" s="4">
        <v>0.06597222222222222</v>
      </c>
      <c r="H317" s="1" t="s">
        <v>98</v>
      </c>
      <c r="I317" s="1" t="s">
        <v>28</v>
      </c>
      <c r="J317" s="4">
        <v>0.3277777777777778</v>
      </c>
      <c r="K317" s="1" t="s">
        <v>65</v>
      </c>
      <c r="L317" s="1" t="s">
        <v>30</v>
      </c>
      <c r="M317" s="4">
        <v>0.5444444444444444</v>
      </c>
      <c r="N317" s="1" t="s">
        <v>223</v>
      </c>
      <c r="O317" s="1" t="s">
        <v>28</v>
      </c>
      <c r="P317" s="4">
        <v>0.8034722222222223</v>
      </c>
      <c r="Q317" s="1" t="s">
        <v>388</v>
      </c>
      <c r="R317" s="1">
        <f t="shared" si="1"/>
        <v>99</v>
      </c>
      <c r="S317" s="1">
        <f t="shared" si="2"/>
        <v>102</v>
      </c>
      <c r="T317" s="5">
        <f t="shared" si="3"/>
        <v>102</v>
      </c>
      <c r="U317" s="5" t="s">
        <v>90</v>
      </c>
    </row>
    <row r="318">
      <c r="A318" s="1" t="s">
        <v>507</v>
      </c>
      <c r="B318" s="2">
        <v>13.0</v>
      </c>
      <c r="C318" s="1" t="s">
        <v>34</v>
      </c>
      <c r="D318" s="6"/>
      <c r="E318" s="3"/>
      <c r="F318" s="1" t="s">
        <v>30</v>
      </c>
      <c r="G318" s="4">
        <v>0.08958333333333333</v>
      </c>
      <c r="H318" s="1" t="s">
        <v>129</v>
      </c>
      <c r="I318" s="1" t="s">
        <v>28</v>
      </c>
      <c r="J318" s="4">
        <v>0.3527777777777778</v>
      </c>
      <c r="K318" s="1" t="s">
        <v>359</v>
      </c>
      <c r="L318" s="1" t="s">
        <v>30</v>
      </c>
      <c r="M318" s="4">
        <v>0.5659722222222222</v>
      </c>
      <c r="N318" s="1" t="s">
        <v>333</v>
      </c>
      <c r="O318" s="1" t="s">
        <v>28</v>
      </c>
      <c r="P318" s="4">
        <v>0.8270833333333333</v>
      </c>
      <c r="Q318" s="1" t="s">
        <v>265</v>
      </c>
      <c r="R318" s="1">
        <f t="shared" si="1"/>
        <v>87</v>
      </c>
      <c r="S318" s="1">
        <f t="shared" si="2"/>
        <v>92</v>
      </c>
      <c r="T318" s="5">
        <f t="shared" si="3"/>
        <v>92</v>
      </c>
      <c r="U318" s="5" t="s">
        <v>90</v>
      </c>
    </row>
    <row r="319">
      <c r="A319" s="1" t="s">
        <v>507</v>
      </c>
      <c r="B319" s="2">
        <v>14.0</v>
      </c>
      <c r="C319" s="1" t="s">
        <v>41</v>
      </c>
      <c r="D319" s="1" t="s">
        <v>42</v>
      </c>
      <c r="E319" s="3"/>
      <c r="F319" s="1" t="s">
        <v>30</v>
      </c>
      <c r="G319" s="4">
        <v>0.11527777777777778</v>
      </c>
      <c r="H319" s="1" t="s">
        <v>314</v>
      </c>
      <c r="I319" s="1" t="s">
        <v>28</v>
      </c>
      <c r="J319" s="4">
        <v>0.38055555555555554</v>
      </c>
      <c r="K319" s="1" t="s">
        <v>29</v>
      </c>
      <c r="L319" s="1" t="s">
        <v>30</v>
      </c>
      <c r="M319" s="4">
        <v>0.5895833333333333</v>
      </c>
      <c r="N319" s="1" t="s">
        <v>191</v>
      </c>
      <c r="O319" s="1" t="s">
        <v>28</v>
      </c>
      <c r="P319" s="4">
        <v>0.8527777777777777</v>
      </c>
      <c r="Q319" s="1" t="s">
        <v>251</v>
      </c>
      <c r="R319" s="1">
        <f t="shared" si="1"/>
        <v>73</v>
      </c>
      <c r="S319" s="1">
        <f t="shared" si="2"/>
        <v>78</v>
      </c>
      <c r="T319" s="5">
        <f t="shared" si="3"/>
        <v>78</v>
      </c>
      <c r="U319" s="5" t="s">
        <v>39</v>
      </c>
    </row>
    <row r="320">
      <c r="A320" s="1" t="s">
        <v>507</v>
      </c>
      <c r="B320" s="2">
        <v>15.0</v>
      </c>
      <c r="C320" s="1" t="s">
        <v>55</v>
      </c>
      <c r="D320" s="1" t="s">
        <v>42</v>
      </c>
      <c r="E320" s="3"/>
      <c r="F320" s="1" t="s">
        <v>30</v>
      </c>
      <c r="G320" s="4">
        <v>0.14444444444444443</v>
      </c>
      <c r="H320" s="1" t="s">
        <v>110</v>
      </c>
      <c r="I320" s="1" t="s">
        <v>28</v>
      </c>
      <c r="J320" s="4">
        <v>0.4152777777777778</v>
      </c>
      <c r="K320" s="1" t="s">
        <v>130</v>
      </c>
      <c r="L320" s="1" t="s">
        <v>30</v>
      </c>
      <c r="M320" s="4">
        <v>0.61875</v>
      </c>
      <c r="N320" s="1" t="s">
        <v>391</v>
      </c>
      <c r="O320" s="1" t="s">
        <v>28</v>
      </c>
      <c r="P320" s="4">
        <v>0.8826388888888889</v>
      </c>
      <c r="Q320" s="1" t="s">
        <v>218</v>
      </c>
      <c r="R320" s="1">
        <f t="shared" si="1"/>
        <v>59</v>
      </c>
      <c r="S320" s="1">
        <f t="shared" si="2"/>
        <v>64</v>
      </c>
      <c r="T320" s="5">
        <f t="shared" si="3"/>
        <v>64</v>
      </c>
      <c r="U320" s="5" t="s">
        <v>39</v>
      </c>
    </row>
    <row r="321">
      <c r="A321" s="1" t="s">
        <v>507</v>
      </c>
      <c r="B321" s="2">
        <v>16.0</v>
      </c>
      <c r="C321" s="1" t="s">
        <v>25</v>
      </c>
      <c r="D321" s="6"/>
      <c r="E321" s="3"/>
      <c r="F321" s="1" t="s">
        <v>30</v>
      </c>
      <c r="G321" s="4">
        <v>0.18125</v>
      </c>
      <c r="H321" s="1" t="s">
        <v>257</v>
      </c>
      <c r="I321" s="1" t="s">
        <v>28</v>
      </c>
      <c r="J321" s="4">
        <v>0.46458333333333335</v>
      </c>
      <c r="K321" s="1" t="s">
        <v>278</v>
      </c>
      <c r="L321" s="1" t="s">
        <v>30</v>
      </c>
      <c r="M321" s="4">
        <v>0.6611111111111111</v>
      </c>
      <c r="N321" s="1" t="s">
        <v>422</v>
      </c>
      <c r="O321" s="1" t="s">
        <v>28</v>
      </c>
      <c r="P321" s="4">
        <v>0.9215277777777777</v>
      </c>
      <c r="Q321" s="1" t="s">
        <v>471</v>
      </c>
      <c r="R321" s="1">
        <f t="shared" si="1"/>
        <v>49</v>
      </c>
      <c r="S321" s="1">
        <f t="shared" si="2"/>
        <v>49</v>
      </c>
      <c r="T321" s="5">
        <f t="shared" si="3"/>
        <v>49</v>
      </c>
      <c r="U321" s="5" t="s">
        <v>39</v>
      </c>
    </row>
    <row r="322">
      <c r="A322" s="1" t="s">
        <v>507</v>
      </c>
      <c r="B322" s="2">
        <v>17.0</v>
      </c>
      <c r="C322" s="1" t="s">
        <v>75</v>
      </c>
      <c r="D322" s="6"/>
      <c r="E322" s="7" t="s">
        <v>184</v>
      </c>
      <c r="F322" s="1" t="s">
        <v>30</v>
      </c>
      <c r="G322" s="4">
        <v>0.23055555555555557</v>
      </c>
      <c r="H322" s="1" t="s">
        <v>112</v>
      </c>
      <c r="I322" s="1" t="s">
        <v>28</v>
      </c>
      <c r="J322" s="4">
        <v>0.5222222222222223</v>
      </c>
      <c r="K322" s="1" t="s">
        <v>187</v>
      </c>
      <c r="L322" s="1" t="s">
        <v>30</v>
      </c>
      <c r="M322" s="4">
        <v>0.7256944444444444</v>
      </c>
      <c r="N322" s="1" t="s">
        <v>355</v>
      </c>
      <c r="O322" s="1" t="s">
        <v>28</v>
      </c>
      <c r="P322" s="4">
        <v>0.975</v>
      </c>
      <c r="Q322" s="1" t="s">
        <v>470</v>
      </c>
      <c r="R322" s="1">
        <f t="shared" si="1"/>
        <v>47</v>
      </c>
      <c r="S322" s="1">
        <f t="shared" si="2"/>
        <v>39</v>
      </c>
      <c r="T322" s="5">
        <f t="shared" si="3"/>
        <v>47</v>
      </c>
      <c r="U322" s="5" t="s">
        <v>39</v>
      </c>
    </row>
    <row r="323">
      <c r="A323" s="1" t="s">
        <v>507</v>
      </c>
      <c r="B323" s="2">
        <v>18.0</v>
      </c>
      <c r="C323" s="1" t="s">
        <v>86</v>
      </c>
      <c r="D323" s="6"/>
      <c r="E323" s="3"/>
      <c r="F323" s="1" t="s">
        <v>30</v>
      </c>
      <c r="G323" s="4">
        <v>0.28402777777777777</v>
      </c>
      <c r="H323" s="1" t="s">
        <v>115</v>
      </c>
      <c r="I323" s="1" t="s">
        <v>28</v>
      </c>
      <c r="J323" s="4">
        <v>0.5659722222222222</v>
      </c>
      <c r="K323" s="1" t="s">
        <v>145</v>
      </c>
      <c r="L323" s="1" t="s">
        <v>30</v>
      </c>
      <c r="M323" s="4">
        <v>0.7958333333333333</v>
      </c>
      <c r="N323" s="1" t="s">
        <v>248</v>
      </c>
      <c r="R323" s="1">
        <f t="shared" si="1"/>
        <v>53</v>
      </c>
      <c r="S323" s="1">
        <f t="shared" si="2"/>
        <v>26</v>
      </c>
      <c r="T323" s="5">
        <f t="shared" si="3"/>
        <v>53</v>
      </c>
      <c r="U323" s="5" t="s">
        <v>39</v>
      </c>
    </row>
    <row r="324">
      <c r="A324" s="1" t="s">
        <v>507</v>
      </c>
      <c r="B324" s="2">
        <v>19.0</v>
      </c>
      <c r="C324" s="1" t="s">
        <v>26</v>
      </c>
      <c r="D324" s="6"/>
      <c r="E324" s="3"/>
      <c r="F324" s="1" t="s">
        <v>28</v>
      </c>
      <c r="G324" s="4">
        <v>0.03819444444444445</v>
      </c>
      <c r="H324" s="1" t="s">
        <v>109</v>
      </c>
      <c r="I324" s="1" t="s">
        <v>30</v>
      </c>
      <c r="J324" s="4">
        <v>0.32708333333333334</v>
      </c>
      <c r="K324" s="1" t="s">
        <v>112</v>
      </c>
      <c r="L324" s="1" t="s">
        <v>28</v>
      </c>
      <c r="M324" s="4">
        <v>0.5972222222222222</v>
      </c>
      <c r="N324" s="1" t="s">
        <v>470</v>
      </c>
      <c r="O324" s="1" t="s">
        <v>30</v>
      </c>
      <c r="P324" s="4">
        <v>0.8479166666666667</v>
      </c>
      <c r="Q324" s="1" t="s">
        <v>326</v>
      </c>
      <c r="R324" s="1">
        <f t="shared" si="1"/>
        <v>64</v>
      </c>
      <c r="S324" s="1">
        <f t="shared" si="2"/>
        <v>56</v>
      </c>
      <c r="T324" s="5">
        <f t="shared" si="3"/>
        <v>64</v>
      </c>
      <c r="U324" s="5" t="s">
        <v>39</v>
      </c>
    </row>
    <row r="325">
      <c r="A325" s="1" t="s">
        <v>507</v>
      </c>
      <c r="B325" s="2">
        <v>20.0</v>
      </c>
      <c r="C325" s="1" t="s">
        <v>34</v>
      </c>
      <c r="D325" s="6"/>
      <c r="E325" s="3"/>
      <c r="F325" s="1" t="s">
        <v>28</v>
      </c>
      <c r="G325" s="4">
        <v>0.09097222222222222</v>
      </c>
      <c r="H325" s="1" t="s">
        <v>296</v>
      </c>
      <c r="I325" s="1" t="s">
        <v>30</v>
      </c>
      <c r="J325" s="4">
        <v>0.36041666666666666</v>
      </c>
      <c r="K325" s="1" t="s">
        <v>134</v>
      </c>
      <c r="L325" s="1" t="s">
        <v>28</v>
      </c>
      <c r="M325" s="4">
        <v>0.6229166666666667</v>
      </c>
      <c r="N325" s="1" t="s">
        <v>190</v>
      </c>
      <c r="O325" s="1" t="s">
        <v>30</v>
      </c>
      <c r="P325" s="4">
        <v>0.8861111111111111</v>
      </c>
      <c r="Q325" s="1" t="s">
        <v>469</v>
      </c>
      <c r="R325" s="1">
        <f t="shared" si="1"/>
        <v>70</v>
      </c>
      <c r="S325" s="1">
        <f t="shared" si="2"/>
        <v>84</v>
      </c>
      <c r="T325" s="5">
        <f t="shared" si="3"/>
        <v>84</v>
      </c>
      <c r="U325" s="5" t="s">
        <v>39</v>
      </c>
    </row>
    <row r="326">
      <c r="A326" s="1" t="s">
        <v>507</v>
      </c>
      <c r="B326" s="2">
        <v>21.0</v>
      </c>
      <c r="C326" s="1" t="s">
        <v>41</v>
      </c>
      <c r="D326" s="1" t="s">
        <v>42</v>
      </c>
      <c r="E326" s="3"/>
      <c r="F326" s="1" t="s">
        <v>28</v>
      </c>
      <c r="G326" s="4">
        <v>0.1326388888888889</v>
      </c>
      <c r="H326" s="1" t="s">
        <v>471</v>
      </c>
      <c r="I326" s="1" t="s">
        <v>30</v>
      </c>
      <c r="J326" s="4">
        <v>0.38819444444444445</v>
      </c>
      <c r="K326" s="1" t="s">
        <v>257</v>
      </c>
      <c r="L326" s="1" t="s">
        <v>28</v>
      </c>
      <c r="M326" s="4">
        <v>0.6472222222222223</v>
      </c>
      <c r="N326" s="1" t="s">
        <v>251</v>
      </c>
      <c r="O326" s="1" t="s">
        <v>30</v>
      </c>
      <c r="P326" s="4">
        <v>0.9180555555555555</v>
      </c>
      <c r="Q326" s="1" t="s">
        <v>185</v>
      </c>
      <c r="R326" s="1">
        <f t="shared" si="1"/>
        <v>78</v>
      </c>
      <c r="S326" s="1">
        <f t="shared" si="2"/>
        <v>113</v>
      </c>
      <c r="T326" s="5">
        <f t="shared" si="3"/>
        <v>113</v>
      </c>
      <c r="U326" s="5" t="s">
        <v>90</v>
      </c>
    </row>
    <row r="327">
      <c r="A327" s="1" t="s">
        <v>507</v>
      </c>
      <c r="B327" s="2">
        <v>22.0</v>
      </c>
      <c r="C327" s="1" t="s">
        <v>55</v>
      </c>
      <c r="D327" s="1" t="s">
        <v>42</v>
      </c>
      <c r="E327" s="3"/>
      <c r="F327" s="1" t="s">
        <v>28</v>
      </c>
      <c r="G327" s="4">
        <v>0.16944444444444445</v>
      </c>
      <c r="H327" s="1" t="s">
        <v>190</v>
      </c>
      <c r="I327" s="1" t="s">
        <v>30</v>
      </c>
      <c r="J327" s="4">
        <v>0.41458333333333336</v>
      </c>
      <c r="K327" s="1" t="s">
        <v>146</v>
      </c>
      <c r="L327" s="1" t="s">
        <v>28</v>
      </c>
      <c r="M327" s="4">
        <v>0.6715277777777777</v>
      </c>
      <c r="N327" s="1" t="s">
        <v>32</v>
      </c>
      <c r="O327" s="1" t="s">
        <v>30</v>
      </c>
      <c r="P327" s="4">
        <v>0.9479166666666666</v>
      </c>
      <c r="Q327" s="1" t="s">
        <v>260</v>
      </c>
      <c r="R327" s="1">
        <f t="shared" si="1"/>
        <v>86</v>
      </c>
      <c r="S327" s="1">
        <f t="shared" si="2"/>
        <v>141</v>
      </c>
      <c r="T327" s="5">
        <f t="shared" si="3"/>
        <v>141</v>
      </c>
      <c r="U327" s="5" t="s">
        <v>47</v>
      </c>
    </row>
    <row r="328">
      <c r="A328" s="1" t="s">
        <v>507</v>
      </c>
      <c r="B328" s="2">
        <v>23.0</v>
      </c>
      <c r="C328" s="1" t="s">
        <v>25</v>
      </c>
      <c r="D328" s="6"/>
      <c r="E328" s="3"/>
      <c r="F328" s="1" t="s">
        <v>28</v>
      </c>
      <c r="G328" s="4">
        <v>0.20277777777777778</v>
      </c>
      <c r="H328" s="1" t="s">
        <v>183</v>
      </c>
      <c r="I328" s="1" t="s">
        <v>30</v>
      </c>
      <c r="J328" s="4">
        <v>0.44027777777777777</v>
      </c>
      <c r="K328" s="1" t="s">
        <v>99</v>
      </c>
      <c r="L328" s="1" t="s">
        <v>28</v>
      </c>
      <c r="M328" s="4">
        <v>0.6979166666666666</v>
      </c>
      <c r="N328" s="1" t="s">
        <v>38</v>
      </c>
      <c r="O328" s="1" t="s">
        <v>30</v>
      </c>
      <c r="P328" s="4">
        <v>0.9784722222222222</v>
      </c>
      <c r="Q328" s="1" t="s">
        <v>508</v>
      </c>
      <c r="R328" s="1">
        <f t="shared" si="1"/>
        <v>90</v>
      </c>
      <c r="S328" s="1">
        <f t="shared" si="2"/>
        <v>165</v>
      </c>
      <c r="T328" s="5">
        <f t="shared" si="3"/>
        <v>165</v>
      </c>
      <c r="U328" s="5" t="s">
        <v>47</v>
      </c>
    </row>
    <row r="329">
      <c r="A329" s="1" t="s">
        <v>507</v>
      </c>
      <c r="B329" s="2">
        <v>24.0</v>
      </c>
      <c r="C329" s="1" t="s">
        <v>75</v>
      </c>
      <c r="D329" s="6"/>
      <c r="E329" s="7" t="s">
        <v>35</v>
      </c>
      <c r="F329" s="1" t="s">
        <v>28</v>
      </c>
      <c r="G329" s="4">
        <v>0.23541666666666666</v>
      </c>
      <c r="H329" s="1" t="s">
        <v>183</v>
      </c>
      <c r="I329" s="1" t="s">
        <v>30</v>
      </c>
      <c r="J329" s="4">
        <v>0.4666666666666667</v>
      </c>
      <c r="K329" s="1" t="s">
        <v>45</v>
      </c>
      <c r="L329" s="1" t="s">
        <v>28</v>
      </c>
      <c r="M329" s="4">
        <v>0.7256944444444444</v>
      </c>
      <c r="N329" s="1" t="s">
        <v>205</v>
      </c>
      <c r="R329" s="1">
        <f t="shared" si="1"/>
        <v>91</v>
      </c>
      <c r="S329" s="1">
        <f t="shared" si="2"/>
        <v>73</v>
      </c>
      <c r="T329" s="5">
        <f t="shared" si="3"/>
        <v>91</v>
      </c>
      <c r="U329" s="5" t="s">
        <v>90</v>
      </c>
    </row>
    <row r="330">
      <c r="A330" s="1" t="s">
        <v>507</v>
      </c>
      <c r="B330" s="2">
        <v>25.0</v>
      </c>
      <c r="C330" s="1" t="s">
        <v>86</v>
      </c>
      <c r="D330" s="6"/>
      <c r="E330" s="3"/>
      <c r="F330" s="1" t="s">
        <v>30</v>
      </c>
      <c r="G330" s="4">
        <v>0.009722222222222222</v>
      </c>
      <c r="H330" s="1" t="s">
        <v>509</v>
      </c>
      <c r="I330" s="1" t="s">
        <v>28</v>
      </c>
      <c r="J330" s="4">
        <v>0.26875</v>
      </c>
      <c r="K330" s="1" t="s">
        <v>214</v>
      </c>
      <c r="L330" s="1" t="s">
        <v>30</v>
      </c>
      <c r="M330" s="4">
        <v>0.49375</v>
      </c>
      <c r="N330" s="1" t="s">
        <v>99</v>
      </c>
      <c r="O330" s="1" t="s">
        <v>28</v>
      </c>
      <c r="P330" s="4">
        <v>0.7555555555555555</v>
      </c>
      <c r="Q330" s="1" t="s">
        <v>497</v>
      </c>
      <c r="R330" s="1">
        <f t="shared" si="1"/>
        <v>137</v>
      </c>
      <c r="S330" s="1">
        <f t="shared" si="2"/>
        <v>136</v>
      </c>
      <c r="T330" s="5">
        <f t="shared" si="3"/>
        <v>137</v>
      </c>
      <c r="U330" s="5" t="s">
        <v>47</v>
      </c>
    </row>
    <row r="331">
      <c r="A331" s="1" t="s">
        <v>507</v>
      </c>
      <c r="B331" s="2">
        <v>26.0</v>
      </c>
      <c r="C331" s="1" t="s">
        <v>26</v>
      </c>
      <c r="D331" s="6"/>
      <c r="E331" s="3"/>
      <c r="F331" s="1" t="s">
        <v>30</v>
      </c>
      <c r="G331" s="4">
        <v>0.04236111111111111</v>
      </c>
      <c r="H331" s="1" t="s">
        <v>510</v>
      </c>
      <c r="I331" s="1" t="s">
        <v>28</v>
      </c>
      <c r="J331" s="4">
        <v>0.3020833333333333</v>
      </c>
      <c r="K331" s="1" t="s">
        <v>123</v>
      </c>
      <c r="L331" s="1" t="s">
        <v>30</v>
      </c>
      <c r="M331" s="4">
        <v>0.5222222222222223</v>
      </c>
      <c r="N331" s="1" t="s">
        <v>146</v>
      </c>
      <c r="O331" s="1" t="s">
        <v>28</v>
      </c>
      <c r="P331" s="4">
        <v>0.7868055555555555</v>
      </c>
      <c r="Q331" s="1" t="s">
        <v>346</v>
      </c>
      <c r="R331" s="1">
        <f t="shared" si="1"/>
        <v>133</v>
      </c>
      <c r="S331" s="1">
        <f t="shared" si="2"/>
        <v>133</v>
      </c>
      <c r="T331" s="5">
        <f t="shared" si="3"/>
        <v>133</v>
      </c>
      <c r="U331" s="5" t="s">
        <v>47</v>
      </c>
    </row>
    <row r="332">
      <c r="A332" s="1" t="s">
        <v>507</v>
      </c>
      <c r="B332" s="2">
        <v>27.0</v>
      </c>
      <c r="C332" s="1" t="s">
        <v>34</v>
      </c>
      <c r="D332" s="6"/>
      <c r="E332" s="3"/>
      <c r="F332" s="1" t="s">
        <v>30</v>
      </c>
      <c r="G332" s="4">
        <v>0.07777777777777778</v>
      </c>
      <c r="H332" s="1" t="s">
        <v>76</v>
      </c>
      <c r="I332" s="1" t="s">
        <v>28</v>
      </c>
      <c r="J332" s="4">
        <v>0.3375</v>
      </c>
      <c r="K332" s="1" t="s">
        <v>77</v>
      </c>
      <c r="L332" s="1" t="s">
        <v>30</v>
      </c>
      <c r="M332" s="4">
        <v>0.5534722222222223</v>
      </c>
      <c r="N332" s="1" t="s">
        <v>257</v>
      </c>
      <c r="O332" s="1" t="s">
        <v>28</v>
      </c>
      <c r="P332" s="4">
        <v>0.8201388888888889</v>
      </c>
      <c r="Q332" s="1" t="s">
        <v>46</v>
      </c>
      <c r="R332" s="1">
        <f t="shared" si="1"/>
        <v>123</v>
      </c>
      <c r="S332" s="1">
        <f t="shared" si="2"/>
        <v>125</v>
      </c>
      <c r="T332" s="5">
        <f t="shared" si="3"/>
        <v>125</v>
      </c>
      <c r="U332" s="5" t="s">
        <v>47</v>
      </c>
    </row>
    <row r="333">
      <c r="A333" s="1" t="s">
        <v>507</v>
      </c>
      <c r="B333" s="2">
        <v>28.0</v>
      </c>
      <c r="C333" s="1" t="s">
        <v>41</v>
      </c>
      <c r="D333" s="1" t="s">
        <v>42</v>
      </c>
      <c r="E333" s="3"/>
      <c r="F333" s="1" t="s">
        <v>30</v>
      </c>
      <c r="G333" s="4">
        <v>0.11527777777777778</v>
      </c>
      <c r="H333" s="1" t="s">
        <v>511</v>
      </c>
      <c r="I333" s="1" t="s">
        <v>28</v>
      </c>
      <c r="J333" s="4">
        <v>0.375</v>
      </c>
      <c r="K333" s="1" t="s">
        <v>44</v>
      </c>
      <c r="L333" s="1" t="s">
        <v>30</v>
      </c>
      <c r="M333" s="4">
        <v>0.5888888888888889</v>
      </c>
      <c r="N333" s="1" t="s">
        <v>200</v>
      </c>
      <c r="O333" s="1" t="s">
        <v>28</v>
      </c>
      <c r="P333" s="4">
        <v>0.85625</v>
      </c>
      <c r="Q333" s="1" t="s">
        <v>78</v>
      </c>
      <c r="R333" s="1">
        <f t="shared" si="1"/>
        <v>109</v>
      </c>
      <c r="S333" s="1">
        <f t="shared" si="2"/>
        <v>110</v>
      </c>
      <c r="T333" s="5">
        <f t="shared" si="3"/>
        <v>110</v>
      </c>
      <c r="U333" s="5" t="s">
        <v>90</v>
      </c>
    </row>
    <row r="334">
      <c r="A334" s="1" t="s">
        <v>507</v>
      </c>
      <c r="B334" s="2">
        <v>29.0</v>
      </c>
      <c r="C334" s="1" t="s">
        <v>55</v>
      </c>
      <c r="D334" s="1" t="s">
        <v>42</v>
      </c>
      <c r="E334" s="3"/>
      <c r="F334" s="1" t="s">
        <v>30</v>
      </c>
      <c r="G334" s="4">
        <v>0.15486111111111112</v>
      </c>
      <c r="H334" s="1" t="s">
        <v>177</v>
      </c>
      <c r="I334" s="1" t="s">
        <v>28</v>
      </c>
      <c r="J334" s="4">
        <v>0.4166666666666667</v>
      </c>
      <c r="K334" s="1" t="s">
        <v>222</v>
      </c>
      <c r="L334" s="1" t="s">
        <v>30</v>
      </c>
      <c r="M334" s="4">
        <v>0.63125</v>
      </c>
      <c r="N334" s="1" t="s">
        <v>224</v>
      </c>
      <c r="O334" s="1" t="s">
        <v>28</v>
      </c>
      <c r="P334" s="4">
        <v>0.8958333333333334</v>
      </c>
      <c r="Q334" s="1" t="s">
        <v>135</v>
      </c>
      <c r="R334" s="1">
        <f t="shared" si="1"/>
        <v>95</v>
      </c>
      <c r="S334" s="1">
        <f t="shared" si="2"/>
        <v>91</v>
      </c>
      <c r="T334" s="5">
        <f t="shared" si="3"/>
        <v>95</v>
      </c>
      <c r="U334" s="5" t="s">
        <v>90</v>
      </c>
    </row>
    <row r="335">
      <c r="A335" s="1" t="s">
        <v>507</v>
      </c>
      <c r="B335" s="2">
        <v>30.0</v>
      </c>
      <c r="C335" s="1" t="s">
        <v>25</v>
      </c>
      <c r="D335" s="6"/>
      <c r="E335" s="3"/>
      <c r="F335" s="1" t="s">
        <v>30</v>
      </c>
      <c r="G335" s="4">
        <v>0.1986111111111111</v>
      </c>
      <c r="H335" s="1" t="s">
        <v>129</v>
      </c>
      <c r="I335" s="1" t="s">
        <v>28</v>
      </c>
      <c r="J335" s="4">
        <v>0.4618055555555556</v>
      </c>
      <c r="K335" s="1" t="s">
        <v>426</v>
      </c>
      <c r="L335" s="1" t="s">
        <v>30</v>
      </c>
      <c r="M335" s="4">
        <v>0.6833333333333333</v>
      </c>
      <c r="N335" s="1" t="s">
        <v>120</v>
      </c>
      <c r="O335" s="1" t="s">
        <v>28</v>
      </c>
      <c r="P335" s="4">
        <v>0.9430555555555555</v>
      </c>
      <c r="Q335" s="1" t="s">
        <v>218</v>
      </c>
      <c r="R335" s="1">
        <f t="shared" si="1"/>
        <v>83</v>
      </c>
      <c r="S335" s="1">
        <f t="shared" si="2"/>
        <v>73</v>
      </c>
      <c r="T335" s="5">
        <f t="shared" si="3"/>
        <v>83</v>
      </c>
      <c r="U335" s="5" t="s">
        <v>39</v>
      </c>
    </row>
    <row r="336">
      <c r="A336" s="1" t="s">
        <v>24</v>
      </c>
      <c r="B336" s="2">
        <v>1.0</v>
      </c>
      <c r="C336" s="1" t="s">
        <v>75</v>
      </c>
      <c r="D336" s="6"/>
      <c r="E336" s="7" t="s">
        <v>107</v>
      </c>
      <c r="F336" s="1" t="s">
        <v>30</v>
      </c>
      <c r="G336" s="4">
        <v>0.24375</v>
      </c>
      <c r="H336" s="1" t="s">
        <v>174</v>
      </c>
      <c r="I336" s="1" t="s">
        <v>28</v>
      </c>
      <c r="J336" s="4">
        <v>0.5083333333333333</v>
      </c>
      <c r="K336" s="1" t="s">
        <v>145</v>
      </c>
      <c r="L336" s="1" t="s">
        <v>30</v>
      </c>
      <c r="M336" s="4">
        <v>0.7458333333333333</v>
      </c>
      <c r="N336" s="1" t="s">
        <v>120</v>
      </c>
      <c r="O336" s="1" t="s">
        <v>28</v>
      </c>
      <c r="P336" s="4">
        <v>0.9986111111111111</v>
      </c>
      <c r="Q336" s="1" t="s">
        <v>256</v>
      </c>
      <c r="R336" s="1">
        <f t="shared" si="1"/>
        <v>76</v>
      </c>
      <c r="S336" s="1">
        <f t="shared" si="2"/>
        <v>61</v>
      </c>
      <c r="T336" s="5">
        <f t="shared" si="3"/>
        <v>76</v>
      </c>
      <c r="U336" s="5" t="s">
        <v>39</v>
      </c>
    </row>
    <row r="337">
      <c r="A337" s="1" t="s">
        <v>24</v>
      </c>
      <c r="B337" s="2">
        <v>2.0</v>
      </c>
      <c r="C337" s="1" t="s">
        <v>86</v>
      </c>
      <c r="D337" s="6"/>
      <c r="E337" s="3"/>
      <c r="F337" s="1" t="s">
        <v>30</v>
      </c>
      <c r="G337" s="4">
        <v>0.2861111111111111</v>
      </c>
      <c r="H337" s="1" t="s">
        <v>186</v>
      </c>
      <c r="I337" s="1" t="s">
        <v>28</v>
      </c>
      <c r="J337" s="4">
        <v>0.5506944444444445</v>
      </c>
      <c r="K337" s="1" t="s">
        <v>111</v>
      </c>
      <c r="L337" s="1" t="s">
        <v>30</v>
      </c>
      <c r="M337" s="4">
        <v>0.8104166666666667</v>
      </c>
      <c r="N337" s="1" t="s">
        <v>115</v>
      </c>
      <c r="R337" s="1">
        <f t="shared" si="1"/>
        <v>74</v>
      </c>
      <c r="S337" s="1">
        <f t="shared" si="2"/>
        <v>45</v>
      </c>
      <c r="T337" s="5">
        <f t="shared" si="3"/>
        <v>74</v>
      </c>
      <c r="U337" s="5" t="s">
        <v>39</v>
      </c>
    </row>
    <row r="338">
      <c r="A338" s="1" t="s">
        <v>24</v>
      </c>
      <c r="B338" s="2">
        <v>3.0</v>
      </c>
      <c r="C338" s="1" t="s">
        <v>26</v>
      </c>
      <c r="D338" s="6"/>
      <c r="E338" s="3"/>
      <c r="F338" s="1" t="s">
        <v>28</v>
      </c>
      <c r="G338" s="4">
        <v>0.05694444444444444</v>
      </c>
      <c r="H338" s="1" t="s">
        <v>111</v>
      </c>
      <c r="I338" s="1" t="s">
        <v>30</v>
      </c>
      <c r="J338" s="4">
        <v>0.32569444444444445</v>
      </c>
      <c r="K338" s="1" t="s">
        <v>37</v>
      </c>
      <c r="L338" s="1" t="s">
        <v>28</v>
      </c>
      <c r="M338" s="4">
        <v>0.5881944444444445</v>
      </c>
      <c r="N338" s="1" t="s">
        <v>173</v>
      </c>
      <c r="O338" s="1" t="s">
        <v>30</v>
      </c>
      <c r="P338" s="4">
        <v>0.8645833333333334</v>
      </c>
      <c r="Q338" s="1" t="s">
        <v>37</v>
      </c>
      <c r="R338" s="1">
        <f t="shared" si="1"/>
        <v>69</v>
      </c>
      <c r="S338" s="1">
        <f t="shared" si="2"/>
        <v>76</v>
      </c>
      <c r="T338" s="5">
        <f t="shared" si="3"/>
        <v>76</v>
      </c>
      <c r="U338" s="5" t="s">
        <v>39</v>
      </c>
    </row>
    <row r="339">
      <c r="A339" s="1" t="s">
        <v>24</v>
      </c>
      <c r="B339" s="2">
        <v>4.0</v>
      </c>
      <c r="C339" s="1" t="s">
        <v>34</v>
      </c>
      <c r="D339" s="6"/>
      <c r="E339" s="3"/>
      <c r="F339" s="1" t="s">
        <v>28</v>
      </c>
      <c r="G339" s="4">
        <v>0.11041666666666666</v>
      </c>
      <c r="H339" s="1" t="s">
        <v>44</v>
      </c>
      <c r="I339" s="1" t="s">
        <v>30</v>
      </c>
      <c r="J339" s="4">
        <v>0.36041666666666666</v>
      </c>
      <c r="K339" s="1" t="s">
        <v>31</v>
      </c>
      <c r="L339" s="1" t="s">
        <v>28</v>
      </c>
      <c r="M339" s="4">
        <v>0.6208333333333333</v>
      </c>
      <c r="N339" s="1" t="s">
        <v>181</v>
      </c>
      <c r="O339" s="1" t="s">
        <v>30</v>
      </c>
      <c r="P339" s="4">
        <v>0.90625</v>
      </c>
      <c r="Q339" s="1" t="s">
        <v>182</v>
      </c>
      <c r="R339" s="1">
        <f t="shared" si="1"/>
        <v>62</v>
      </c>
      <c r="S339" s="1">
        <f t="shared" si="2"/>
        <v>94</v>
      </c>
      <c r="T339" s="5">
        <f t="shared" si="3"/>
        <v>94</v>
      </c>
      <c r="U339" s="5" t="s">
        <v>90</v>
      </c>
    </row>
    <row r="340">
      <c r="A340" s="1" t="s">
        <v>24</v>
      </c>
      <c r="B340" s="2">
        <v>5.0</v>
      </c>
      <c r="C340" s="1" t="s">
        <v>41</v>
      </c>
      <c r="D340" s="1" t="s">
        <v>42</v>
      </c>
      <c r="E340" s="3"/>
      <c r="F340" s="1" t="s">
        <v>28</v>
      </c>
      <c r="G340" s="4">
        <v>0.15555555555555556</v>
      </c>
      <c r="H340" s="1" t="s">
        <v>359</v>
      </c>
      <c r="I340" s="1" t="s">
        <v>30</v>
      </c>
      <c r="J340" s="4">
        <v>0.3909722222222222</v>
      </c>
      <c r="K340" s="1" t="s">
        <v>114</v>
      </c>
      <c r="L340" s="1" t="s">
        <v>28</v>
      </c>
      <c r="M340" s="4">
        <v>0.6506944444444445</v>
      </c>
      <c r="N340" s="1" t="s">
        <v>402</v>
      </c>
      <c r="O340" s="1" t="s">
        <v>30</v>
      </c>
      <c r="P340" s="4">
        <v>0.9395833333333333</v>
      </c>
      <c r="Q340" s="1" t="s">
        <v>386</v>
      </c>
      <c r="R340" s="1">
        <f t="shared" si="1"/>
        <v>60</v>
      </c>
      <c r="S340" s="1">
        <f t="shared" si="2"/>
        <v>111</v>
      </c>
      <c r="T340" s="5">
        <f t="shared" si="3"/>
        <v>111</v>
      </c>
      <c r="U340" s="5" t="s">
        <v>90</v>
      </c>
    </row>
    <row r="341">
      <c r="A341" s="1" t="s">
        <v>24</v>
      </c>
      <c r="B341" s="2">
        <v>6.0</v>
      </c>
      <c r="C341" s="1" t="s">
        <v>55</v>
      </c>
      <c r="D341" s="1" t="s">
        <v>42</v>
      </c>
      <c r="E341" s="3"/>
      <c r="F341" s="1" t="s">
        <v>28</v>
      </c>
      <c r="G341" s="4">
        <v>0.19236111111111112</v>
      </c>
      <c r="H341" s="1" t="s">
        <v>359</v>
      </c>
      <c r="I341" s="1" t="s">
        <v>30</v>
      </c>
      <c r="J341" s="4">
        <v>0.41805555555555557</v>
      </c>
      <c r="K341" s="1" t="s">
        <v>114</v>
      </c>
      <c r="L341" s="1" t="s">
        <v>28</v>
      </c>
      <c r="M341" s="4">
        <v>0.6770833333333334</v>
      </c>
      <c r="N341" s="1" t="s">
        <v>292</v>
      </c>
      <c r="O341" s="1" t="s">
        <v>30</v>
      </c>
      <c r="P341" s="4">
        <v>0.9673611111111111</v>
      </c>
      <c r="Q341" s="1" t="s">
        <v>98</v>
      </c>
      <c r="R341" s="1">
        <f t="shared" si="1"/>
        <v>60</v>
      </c>
      <c r="S341" s="1">
        <f t="shared" si="2"/>
        <v>125</v>
      </c>
      <c r="T341" s="5">
        <f t="shared" si="3"/>
        <v>125</v>
      </c>
      <c r="U341" s="5" t="s">
        <v>47</v>
      </c>
    </row>
    <row r="342">
      <c r="A342" s="1" t="s">
        <v>24</v>
      </c>
      <c r="B342" s="2">
        <v>7.0</v>
      </c>
      <c r="C342" s="1" t="s">
        <v>25</v>
      </c>
      <c r="D342" s="6"/>
      <c r="E342" s="3"/>
      <c r="F342" s="1" t="s">
        <v>28</v>
      </c>
      <c r="G342" s="4">
        <v>0.22361111111111112</v>
      </c>
      <c r="H342" s="1" t="s">
        <v>359</v>
      </c>
      <c r="I342" s="1" t="s">
        <v>30</v>
      </c>
      <c r="J342" s="4">
        <v>0.44305555555555554</v>
      </c>
      <c r="K342" s="1" t="s">
        <v>31</v>
      </c>
      <c r="L342" s="1" t="s">
        <v>28</v>
      </c>
      <c r="M342" s="4">
        <v>0.7027777777777777</v>
      </c>
      <c r="N342" s="1" t="s">
        <v>335</v>
      </c>
      <c r="O342" s="1" t="s">
        <v>30</v>
      </c>
      <c r="P342" s="4">
        <v>0.9923611111111111</v>
      </c>
      <c r="Q342" s="1" t="s">
        <v>475</v>
      </c>
      <c r="R342" s="1">
        <f t="shared" si="1"/>
        <v>61</v>
      </c>
      <c r="S342" s="1">
        <f t="shared" si="2"/>
        <v>137</v>
      </c>
      <c r="T342" s="5">
        <f t="shared" si="3"/>
        <v>137</v>
      </c>
      <c r="U342" s="5" t="s">
        <v>47</v>
      </c>
    </row>
    <row r="343">
      <c r="A343" s="1" t="s">
        <v>24</v>
      </c>
      <c r="B343" s="2">
        <v>8.0</v>
      </c>
      <c r="C343" s="1" t="s">
        <v>75</v>
      </c>
      <c r="D343" s="6"/>
      <c r="E343" s="3"/>
      <c r="F343" s="1" t="s">
        <v>28</v>
      </c>
      <c r="G343" s="4">
        <v>0.25069444444444444</v>
      </c>
      <c r="H343" s="1" t="s">
        <v>359</v>
      </c>
      <c r="I343" s="1" t="s">
        <v>30</v>
      </c>
      <c r="J343" s="4">
        <v>0.4666666666666667</v>
      </c>
      <c r="K343" s="1" t="s">
        <v>469</v>
      </c>
      <c r="L343" s="1" t="s">
        <v>28</v>
      </c>
      <c r="M343" s="4">
        <v>0.7270833333333333</v>
      </c>
      <c r="N343" s="1" t="s">
        <v>89</v>
      </c>
      <c r="R343" s="1">
        <f t="shared" si="1"/>
        <v>63</v>
      </c>
      <c r="S343" s="1">
        <f t="shared" si="2"/>
        <v>49</v>
      </c>
      <c r="T343" s="5">
        <f t="shared" si="3"/>
        <v>63</v>
      </c>
      <c r="U343" s="5" t="s">
        <v>39</v>
      </c>
    </row>
    <row r="344">
      <c r="A344" s="1" t="s">
        <v>24</v>
      </c>
      <c r="B344" s="2">
        <v>9.0</v>
      </c>
      <c r="C344" s="1" t="s">
        <v>86</v>
      </c>
      <c r="D344" s="6"/>
      <c r="E344" s="7" t="s">
        <v>143</v>
      </c>
      <c r="F344" s="1" t="s">
        <v>30</v>
      </c>
      <c r="G344" s="4">
        <v>0.015277777777777777</v>
      </c>
      <c r="H344" s="1" t="s">
        <v>456</v>
      </c>
      <c r="I344" s="1" t="s">
        <v>28</v>
      </c>
      <c r="J344" s="4">
        <v>0.27569444444444446</v>
      </c>
      <c r="K344" s="1" t="s">
        <v>145</v>
      </c>
      <c r="L344" s="1" t="s">
        <v>30</v>
      </c>
      <c r="M344" s="4">
        <v>0.4895833333333333</v>
      </c>
      <c r="N344" s="1" t="s">
        <v>37</v>
      </c>
      <c r="O344" s="1" t="s">
        <v>28</v>
      </c>
      <c r="P344" s="4">
        <v>0.7506944444444444</v>
      </c>
      <c r="Q344" s="1" t="s">
        <v>307</v>
      </c>
      <c r="R344" s="1">
        <f t="shared" si="1"/>
        <v>103</v>
      </c>
      <c r="S344" s="1">
        <f t="shared" si="2"/>
        <v>106</v>
      </c>
      <c r="T344" s="5">
        <f t="shared" si="3"/>
        <v>106</v>
      </c>
      <c r="U344" s="5" t="s">
        <v>90</v>
      </c>
    </row>
    <row r="345">
      <c r="A345" s="1" t="s">
        <v>24</v>
      </c>
      <c r="B345" s="2">
        <v>10.0</v>
      </c>
      <c r="C345" s="1" t="s">
        <v>26</v>
      </c>
      <c r="D345" s="6"/>
      <c r="E345" s="3"/>
      <c r="F345" s="1" t="s">
        <v>30</v>
      </c>
      <c r="G345" s="4">
        <v>0.03819444444444445</v>
      </c>
      <c r="H345" s="1" t="s">
        <v>156</v>
      </c>
      <c r="I345" s="1" t="s">
        <v>28</v>
      </c>
      <c r="J345" s="4">
        <v>0.29930555555555555</v>
      </c>
      <c r="K345" s="1" t="s">
        <v>36</v>
      </c>
      <c r="L345" s="1" t="s">
        <v>30</v>
      </c>
      <c r="M345" s="4">
        <v>0.5131944444444444</v>
      </c>
      <c r="N345" s="1" t="s">
        <v>146</v>
      </c>
      <c r="O345" s="1" t="s">
        <v>28</v>
      </c>
      <c r="P345" s="4">
        <v>0.7736111111111111</v>
      </c>
      <c r="Q345" s="1" t="s">
        <v>195</v>
      </c>
      <c r="R345" s="1">
        <f t="shared" si="1"/>
        <v>103</v>
      </c>
      <c r="S345" s="1">
        <f t="shared" si="2"/>
        <v>108</v>
      </c>
      <c r="T345" s="5">
        <f t="shared" si="3"/>
        <v>108</v>
      </c>
      <c r="U345" s="5" t="s">
        <v>90</v>
      </c>
    </row>
    <row r="346">
      <c r="A346" s="1" t="s">
        <v>24</v>
      </c>
      <c r="B346" s="2">
        <v>11.0</v>
      </c>
      <c r="C346" s="1" t="s">
        <v>34</v>
      </c>
      <c r="D346" s="6"/>
      <c r="E346" s="3"/>
      <c r="F346" s="1" t="s">
        <v>30</v>
      </c>
      <c r="G346" s="4">
        <v>0.06041666666666667</v>
      </c>
      <c r="H346" s="1" t="s">
        <v>456</v>
      </c>
      <c r="I346" s="1" t="s">
        <v>28</v>
      </c>
      <c r="J346" s="4">
        <v>0.3229166666666667</v>
      </c>
      <c r="K346" s="1" t="s">
        <v>426</v>
      </c>
      <c r="L346" s="1" t="s">
        <v>30</v>
      </c>
      <c r="M346" s="4">
        <v>0.5361111111111111</v>
      </c>
      <c r="N346" s="1" t="s">
        <v>37</v>
      </c>
      <c r="O346" s="1" t="s">
        <v>28</v>
      </c>
      <c r="P346" s="4">
        <v>0.7965277777777777</v>
      </c>
      <c r="Q346" s="1" t="s">
        <v>265</v>
      </c>
      <c r="R346" s="1">
        <f t="shared" si="1"/>
        <v>100</v>
      </c>
      <c r="S346" s="1">
        <f t="shared" si="2"/>
        <v>105</v>
      </c>
      <c r="T346" s="5">
        <f t="shared" si="3"/>
        <v>105</v>
      </c>
      <c r="U346" s="5" t="s">
        <v>90</v>
      </c>
    </row>
    <row r="347">
      <c r="A347" s="1" t="s">
        <v>24</v>
      </c>
      <c r="B347" s="2">
        <v>12.0</v>
      </c>
      <c r="C347" s="1" t="s">
        <v>41</v>
      </c>
      <c r="D347" s="1" t="s">
        <v>42</v>
      </c>
      <c r="E347" s="3"/>
      <c r="F347" s="1" t="s">
        <v>30</v>
      </c>
      <c r="G347" s="4">
        <v>0.08333333333333333</v>
      </c>
      <c r="H347" s="1" t="s">
        <v>475</v>
      </c>
      <c r="I347" s="1" t="s">
        <v>28</v>
      </c>
      <c r="J347" s="4">
        <v>0.3458333333333333</v>
      </c>
      <c r="K347" s="1" t="s">
        <v>29</v>
      </c>
      <c r="L347" s="1" t="s">
        <v>30</v>
      </c>
      <c r="M347" s="4">
        <v>0.5604166666666667</v>
      </c>
      <c r="N347" s="1" t="s">
        <v>469</v>
      </c>
      <c r="O347" s="1" t="s">
        <v>28</v>
      </c>
      <c r="P347" s="4">
        <v>0.8201388888888889</v>
      </c>
      <c r="Q347" s="1" t="s">
        <v>301</v>
      </c>
      <c r="R347" s="1">
        <f t="shared" si="1"/>
        <v>94</v>
      </c>
      <c r="S347" s="1">
        <f t="shared" si="2"/>
        <v>101</v>
      </c>
      <c r="T347" s="5">
        <f t="shared" si="3"/>
        <v>101</v>
      </c>
      <c r="U347" s="5" t="s">
        <v>90</v>
      </c>
    </row>
    <row r="348">
      <c r="A348" s="1" t="s">
        <v>24</v>
      </c>
      <c r="B348" s="2">
        <v>13.0</v>
      </c>
      <c r="C348" s="1" t="s">
        <v>55</v>
      </c>
      <c r="D348" s="1" t="s">
        <v>42</v>
      </c>
      <c r="E348" s="3"/>
      <c r="F348" s="1" t="s">
        <v>30</v>
      </c>
      <c r="G348" s="4">
        <v>0.10625</v>
      </c>
      <c r="H348" s="1" t="s">
        <v>300</v>
      </c>
      <c r="I348" s="1" t="s">
        <v>28</v>
      </c>
      <c r="J348" s="4">
        <v>0.36944444444444446</v>
      </c>
      <c r="K348" s="1" t="s">
        <v>113</v>
      </c>
      <c r="L348" s="1" t="s">
        <v>30</v>
      </c>
      <c r="M348" s="4">
        <v>0.5861111111111111</v>
      </c>
      <c r="N348" s="1" t="s">
        <v>114</v>
      </c>
      <c r="O348" s="1" t="s">
        <v>28</v>
      </c>
      <c r="P348" s="4">
        <v>0.8451388888888889</v>
      </c>
      <c r="Q348" s="1" t="s">
        <v>251</v>
      </c>
      <c r="R348" s="1">
        <f t="shared" si="1"/>
        <v>87</v>
      </c>
      <c r="S348" s="1">
        <f t="shared" si="2"/>
        <v>93</v>
      </c>
      <c r="T348" s="5">
        <f t="shared" si="3"/>
        <v>93</v>
      </c>
      <c r="U348" s="5" t="s">
        <v>90</v>
      </c>
    </row>
    <row r="349">
      <c r="A349" s="1" t="s">
        <v>24</v>
      </c>
      <c r="B349" s="2">
        <v>14.0</v>
      </c>
      <c r="C349" s="1" t="s">
        <v>25</v>
      </c>
      <c r="D349" s="6"/>
      <c r="E349" s="3"/>
      <c r="F349" s="1" t="s">
        <v>30</v>
      </c>
      <c r="G349" s="4">
        <v>0.13125</v>
      </c>
      <c r="H349" s="1" t="s">
        <v>302</v>
      </c>
      <c r="I349" s="1" t="s">
        <v>28</v>
      </c>
      <c r="J349" s="4">
        <v>0.3958333333333333</v>
      </c>
      <c r="K349" s="1" t="s">
        <v>397</v>
      </c>
      <c r="L349" s="1" t="s">
        <v>30</v>
      </c>
      <c r="M349" s="4">
        <v>0.6152777777777778</v>
      </c>
      <c r="N349" s="1" t="s">
        <v>112</v>
      </c>
      <c r="O349" s="1" t="s">
        <v>28</v>
      </c>
      <c r="P349" s="4">
        <v>0.8722222222222222</v>
      </c>
      <c r="Q349" s="1" t="s">
        <v>218</v>
      </c>
      <c r="R349" s="1">
        <f t="shared" si="1"/>
        <v>80</v>
      </c>
      <c r="S349" s="1">
        <f t="shared" si="2"/>
        <v>81</v>
      </c>
      <c r="T349" s="5">
        <f t="shared" si="3"/>
        <v>81</v>
      </c>
      <c r="U349" s="5" t="s">
        <v>39</v>
      </c>
    </row>
    <row r="350">
      <c r="A350" s="1" t="s">
        <v>24</v>
      </c>
      <c r="B350" s="2">
        <v>15.0</v>
      </c>
      <c r="C350" s="1" t="s">
        <v>75</v>
      </c>
      <c r="D350" s="6"/>
      <c r="E350" s="3"/>
      <c r="F350" s="1" t="s">
        <v>30</v>
      </c>
      <c r="G350" s="4">
        <v>0.15763888888888888</v>
      </c>
      <c r="H350" s="1" t="s">
        <v>108</v>
      </c>
      <c r="I350" s="1" t="s">
        <v>28</v>
      </c>
      <c r="J350" s="4">
        <v>0.4263888888888889</v>
      </c>
      <c r="K350" s="1" t="s">
        <v>397</v>
      </c>
      <c r="L350" s="1" t="s">
        <v>30</v>
      </c>
      <c r="M350" s="4">
        <v>0.6506944444444445</v>
      </c>
      <c r="N350" s="1" t="s">
        <v>117</v>
      </c>
      <c r="O350" s="1" t="s">
        <v>28</v>
      </c>
      <c r="P350" s="4">
        <v>0.9034722222222222</v>
      </c>
      <c r="Q350" s="1" t="s">
        <v>178</v>
      </c>
      <c r="R350" s="1">
        <f t="shared" si="1"/>
        <v>73</v>
      </c>
      <c r="S350" s="1">
        <f t="shared" si="2"/>
        <v>70</v>
      </c>
      <c r="T350" s="5">
        <f t="shared" si="3"/>
        <v>73</v>
      </c>
      <c r="U350" s="5" t="s">
        <v>39</v>
      </c>
    </row>
    <row r="351">
      <c r="A351" s="1" t="s">
        <v>24</v>
      </c>
      <c r="B351" s="2">
        <v>16.0</v>
      </c>
      <c r="C351" s="1" t="s">
        <v>86</v>
      </c>
      <c r="D351" s="6"/>
      <c r="E351" s="3"/>
      <c r="F351" s="1" t="s">
        <v>30</v>
      </c>
      <c r="G351" s="4">
        <v>0.18819444444444444</v>
      </c>
      <c r="H351" s="1" t="s">
        <v>182</v>
      </c>
      <c r="I351" s="1" t="s">
        <v>28</v>
      </c>
      <c r="J351" s="4">
        <v>0.4618055555555556</v>
      </c>
      <c r="K351" s="1" t="s">
        <v>29</v>
      </c>
      <c r="L351" s="1" t="s">
        <v>30</v>
      </c>
      <c r="M351" s="4">
        <v>0.6951388888888889</v>
      </c>
      <c r="N351" s="1" t="s">
        <v>446</v>
      </c>
      <c r="O351" s="1" t="s">
        <v>28</v>
      </c>
      <c r="P351" s="4">
        <v>0.9416666666666667</v>
      </c>
      <c r="Q351" s="1" t="s">
        <v>109</v>
      </c>
      <c r="R351" s="1">
        <f t="shared" si="1"/>
        <v>69</v>
      </c>
      <c r="S351" s="1">
        <f t="shared" si="2"/>
        <v>58</v>
      </c>
      <c r="T351" s="5">
        <f t="shared" si="3"/>
        <v>69</v>
      </c>
      <c r="U351" s="5" t="s">
        <v>39</v>
      </c>
    </row>
    <row r="352">
      <c r="A352" s="1" t="s">
        <v>24</v>
      </c>
      <c r="B352" s="2">
        <v>17.0</v>
      </c>
      <c r="C352" s="1" t="s">
        <v>26</v>
      </c>
      <c r="D352" s="6"/>
      <c r="E352" s="7" t="s">
        <v>184</v>
      </c>
      <c r="F352" s="1" t="s">
        <v>30</v>
      </c>
      <c r="G352" s="4">
        <v>0.22291666666666668</v>
      </c>
      <c r="H352" s="1" t="s">
        <v>186</v>
      </c>
      <c r="I352" s="1" t="s">
        <v>28</v>
      </c>
      <c r="J352" s="4">
        <v>0.5006944444444444</v>
      </c>
      <c r="K352" s="1" t="s">
        <v>145</v>
      </c>
      <c r="L352" s="1" t="s">
        <v>30</v>
      </c>
      <c r="M352" s="4">
        <v>0.7493055555555556</v>
      </c>
      <c r="N352" s="1" t="s">
        <v>224</v>
      </c>
      <c r="O352" s="1" t="s">
        <v>28</v>
      </c>
      <c r="P352" s="4">
        <v>0.9888888888888889</v>
      </c>
      <c r="Q352" s="1" t="s">
        <v>359</v>
      </c>
      <c r="R352" s="1">
        <f t="shared" si="1"/>
        <v>68</v>
      </c>
      <c r="S352" s="1">
        <f t="shared" si="2"/>
        <v>52</v>
      </c>
      <c r="T352" s="5">
        <f t="shared" si="3"/>
        <v>68</v>
      </c>
      <c r="U352" s="5" t="s">
        <v>39</v>
      </c>
    </row>
    <row r="353">
      <c r="A353" s="1" t="s">
        <v>24</v>
      </c>
      <c r="B353" s="2">
        <v>18.0</v>
      </c>
      <c r="C353" s="1" t="s">
        <v>34</v>
      </c>
      <c r="D353" s="6"/>
      <c r="E353" s="3"/>
      <c r="F353" s="1" t="s">
        <v>30</v>
      </c>
      <c r="G353" s="4">
        <v>0.2625</v>
      </c>
      <c r="H353" s="1" t="s">
        <v>146</v>
      </c>
      <c r="I353" s="1" t="s">
        <v>28</v>
      </c>
      <c r="J353" s="4">
        <v>0.5395833333333333</v>
      </c>
      <c r="K353" s="1" t="s">
        <v>111</v>
      </c>
      <c r="L353" s="1" t="s">
        <v>30</v>
      </c>
      <c r="M353" s="4">
        <v>0.8055555555555556</v>
      </c>
      <c r="N353" s="1" t="s">
        <v>134</v>
      </c>
      <c r="R353" s="1">
        <f t="shared" si="1"/>
        <v>70</v>
      </c>
      <c r="S353" s="1">
        <f t="shared" si="2"/>
        <v>50</v>
      </c>
      <c r="T353" s="5">
        <f t="shared" si="3"/>
        <v>70</v>
      </c>
      <c r="U353" s="5" t="s">
        <v>39</v>
      </c>
    </row>
    <row r="354">
      <c r="A354" s="1" t="s">
        <v>24</v>
      </c>
      <c r="B354" s="2">
        <v>19.0</v>
      </c>
      <c r="C354" s="1" t="s">
        <v>41</v>
      </c>
      <c r="D354" s="1" t="s">
        <v>42</v>
      </c>
      <c r="E354" s="3"/>
      <c r="F354" s="1" t="s">
        <v>28</v>
      </c>
      <c r="G354" s="4">
        <v>0.04513888888888889</v>
      </c>
      <c r="H354" s="1" t="s">
        <v>249</v>
      </c>
      <c r="I354" s="1" t="s">
        <v>30</v>
      </c>
      <c r="J354" s="4">
        <v>0.3034722222222222</v>
      </c>
      <c r="K354" s="1" t="s">
        <v>257</v>
      </c>
      <c r="L354" s="1" t="s">
        <v>28</v>
      </c>
      <c r="M354" s="4">
        <v>0.5763888888888888</v>
      </c>
      <c r="N354" s="1" t="s">
        <v>123</v>
      </c>
      <c r="O354" s="1" t="s">
        <v>30</v>
      </c>
      <c r="P354" s="4">
        <v>0.85625</v>
      </c>
      <c r="Q354" s="1" t="s">
        <v>88</v>
      </c>
      <c r="R354" s="1">
        <f t="shared" si="1"/>
        <v>57</v>
      </c>
      <c r="S354" s="1">
        <f t="shared" si="2"/>
        <v>85</v>
      </c>
      <c r="T354" s="5">
        <f t="shared" si="3"/>
        <v>85</v>
      </c>
      <c r="U354" s="5" t="s">
        <v>39</v>
      </c>
    </row>
    <row r="355">
      <c r="A355" s="1" t="s">
        <v>24</v>
      </c>
      <c r="B355" s="2">
        <v>20.0</v>
      </c>
      <c r="C355" s="1" t="s">
        <v>55</v>
      </c>
      <c r="D355" s="1" t="s">
        <v>42</v>
      </c>
      <c r="E355" s="3"/>
      <c r="F355" s="1" t="s">
        <v>28</v>
      </c>
      <c r="G355" s="4">
        <v>0.10208333333333333</v>
      </c>
      <c r="H355" s="1" t="s">
        <v>29</v>
      </c>
      <c r="I355" s="1" t="s">
        <v>30</v>
      </c>
      <c r="J355" s="4">
        <v>0.34375</v>
      </c>
      <c r="K355" s="1" t="s">
        <v>114</v>
      </c>
      <c r="L355" s="1" t="s">
        <v>28</v>
      </c>
      <c r="M355" s="4">
        <v>0.6125</v>
      </c>
      <c r="N355" s="1" t="s">
        <v>218</v>
      </c>
      <c r="O355" s="1" t="s">
        <v>30</v>
      </c>
      <c r="P355" s="4">
        <v>0.8993055555555556</v>
      </c>
      <c r="Q355" s="1" t="s">
        <v>219</v>
      </c>
      <c r="R355" s="1">
        <f t="shared" si="1"/>
        <v>54</v>
      </c>
      <c r="S355" s="1">
        <f t="shared" si="2"/>
        <v>111</v>
      </c>
      <c r="T355" s="5">
        <f t="shared" si="3"/>
        <v>111</v>
      </c>
      <c r="U355" s="5" t="s">
        <v>90</v>
      </c>
    </row>
    <row r="356">
      <c r="A356" s="1" t="s">
        <v>24</v>
      </c>
      <c r="B356" s="2">
        <v>21.0</v>
      </c>
      <c r="C356" s="1" t="s">
        <v>25</v>
      </c>
      <c r="D356" s="6"/>
      <c r="E356" s="3"/>
      <c r="F356" s="1" t="s">
        <v>28</v>
      </c>
      <c r="G356" s="4">
        <v>0.15347222222222223</v>
      </c>
      <c r="H356" s="1" t="s">
        <v>426</v>
      </c>
      <c r="I356" s="1" t="s">
        <v>30</v>
      </c>
      <c r="J356" s="4">
        <v>0.38125</v>
      </c>
      <c r="K356" s="1" t="s">
        <v>31</v>
      </c>
      <c r="L356" s="1" t="s">
        <v>28</v>
      </c>
      <c r="M356" s="4">
        <v>0.6479166666666667</v>
      </c>
      <c r="N356" s="1" t="s">
        <v>335</v>
      </c>
      <c r="O356" s="1" t="s">
        <v>30</v>
      </c>
      <c r="P356" s="4">
        <v>0.9381944444444444</v>
      </c>
      <c r="Q356" s="1" t="s">
        <v>415</v>
      </c>
      <c r="R356" s="1">
        <f t="shared" si="1"/>
        <v>57</v>
      </c>
      <c r="S356" s="1">
        <f t="shared" si="2"/>
        <v>139</v>
      </c>
      <c r="T356" s="5">
        <f t="shared" si="3"/>
        <v>139</v>
      </c>
      <c r="U356" s="5" t="s">
        <v>47</v>
      </c>
    </row>
    <row r="357">
      <c r="A357" s="1" t="s">
        <v>24</v>
      </c>
      <c r="B357" s="2">
        <v>22.0</v>
      </c>
      <c r="C357" s="1" t="s">
        <v>75</v>
      </c>
      <c r="D357" s="6"/>
      <c r="E357" s="3"/>
      <c r="F357" s="1" t="s">
        <v>28</v>
      </c>
      <c r="G357" s="4">
        <v>0.19652777777777777</v>
      </c>
      <c r="H357" s="1" t="s">
        <v>359</v>
      </c>
      <c r="I357" s="1" t="s">
        <v>30</v>
      </c>
      <c r="J357" s="4">
        <v>0.4173611111111111</v>
      </c>
      <c r="K357" s="1" t="s">
        <v>469</v>
      </c>
      <c r="L357" s="1" t="s">
        <v>28</v>
      </c>
      <c r="M357" s="4">
        <v>0.6826388888888889</v>
      </c>
      <c r="N357" s="1" t="s">
        <v>434</v>
      </c>
      <c r="O357" s="1" t="s">
        <v>30</v>
      </c>
      <c r="P357" s="4">
        <v>0.9743055555555555</v>
      </c>
      <c r="Q357" s="1" t="s">
        <v>513</v>
      </c>
      <c r="R357" s="1">
        <f t="shared" si="1"/>
        <v>63</v>
      </c>
      <c r="S357" s="1">
        <f t="shared" si="2"/>
        <v>164</v>
      </c>
      <c r="T357" s="5">
        <f t="shared" si="3"/>
        <v>164</v>
      </c>
      <c r="U357" s="5" t="s">
        <v>47</v>
      </c>
    </row>
    <row r="358">
      <c r="A358" s="1" t="s">
        <v>24</v>
      </c>
      <c r="B358" s="2">
        <v>23.0</v>
      </c>
      <c r="C358" s="1" t="s">
        <v>86</v>
      </c>
      <c r="D358" s="6"/>
      <c r="E358" s="3"/>
      <c r="F358" s="1" t="s">
        <v>28</v>
      </c>
      <c r="G358" s="4">
        <v>0.23472222222222222</v>
      </c>
      <c r="H358" s="1" t="s">
        <v>157</v>
      </c>
      <c r="I358" s="1" t="s">
        <v>30</v>
      </c>
      <c r="J358" s="4">
        <v>0.45208333333333334</v>
      </c>
      <c r="K358" s="1" t="s">
        <v>277</v>
      </c>
      <c r="L358" s="1" t="s">
        <v>28</v>
      </c>
      <c r="M358" s="4">
        <v>0.7180555555555556</v>
      </c>
      <c r="N358" s="1" t="s">
        <v>436</v>
      </c>
      <c r="R358" s="1">
        <f t="shared" si="1"/>
        <v>69</v>
      </c>
      <c r="S358" s="1">
        <f t="shared" si="2"/>
        <v>68</v>
      </c>
      <c r="T358" s="5">
        <f t="shared" si="3"/>
        <v>69</v>
      </c>
      <c r="U358" s="5" t="s">
        <v>39</v>
      </c>
    </row>
    <row r="359">
      <c r="A359" s="1" t="s">
        <v>24</v>
      </c>
      <c r="B359" s="2">
        <v>24.0</v>
      </c>
      <c r="C359" s="1" t="s">
        <v>26</v>
      </c>
      <c r="D359" s="6"/>
      <c r="E359" s="7" t="s">
        <v>35</v>
      </c>
      <c r="F359" s="1" t="s">
        <v>30</v>
      </c>
      <c r="G359" s="4">
        <v>0.009722222222222222</v>
      </c>
      <c r="H359" s="1" t="s">
        <v>43</v>
      </c>
      <c r="I359" s="1" t="s">
        <v>28</v>
      </c>
      <c r="J359" s="4">
        <v>0.26944444444444443</v>
      </c>
      <c r="K359" s="1" t="s">
        <v>111</v>
      </c>
      <c r="L359" s="1" t="s">
        <v>30</v>
      </c>
      <c r="M359" s="4">
        <v>0.4861111111111111</v>
      </c>
      <c r="N359" s="1" t="s">
        <v>186</v>
      </c>
      <c r="O359" s="1" t="s">
        <v>28</v>
      </c>
      <c r="P359" s="4">
        <v>0.7520833333333333</v>
      </c>
      <c r="Q359" s="1" t="s">
        <v>298</v>
      </c>
      <c r="R359" s="1">
        <f t="shared" si="1"/>
        <v>128</v>
      </c>
      <c r="S359" s="1">
        <f t="shared" si="2"/>
        <v>135</v>
      </c>
      <c r="T359" s="5">
        <f t="shared" si="3"/>
        <v>135</v>
      </c>
      <c r="U359" s="5" t="s">
        <v>47</v>
      </c>
    </row>
    <row r="360">
      <c r="A360" s="1" t="s">
        <v>24</v>
      </c>
      <c r="B360" s="2">
        <v>25.0</v>
      </c>
      <c r="C360" s="1" t="s">
        <v>34</v>
      </c>
      <c r="D360" s="1" t="s">
        <v>514</v>
      </c>
      <c r="E360" s="3"/>
      <c r="F360" s="1" t="s">
        <v>30</v>
      </c>
      <c r="G360" s="4">
        <v>0.04375</v>
      </c>
      <c r="H360" s="1" t="s">
        <v>515</v>
      </c>
      <c r="I360" s="1" t="s">
        <v>28</v>
      </c>
      <c r="J360" s="4">
        <v>0.3020833333333333</v>
      </c>
      <c r="K360" s="1" t="s">
        <v>65</v>
      </c>
      <c r="L360" s="1" t="s">
        <v>30</v>
      </c>
      <c r="M360" s="4">
        <v>0.5208333333333334</v>
      </c>
      <c r="N360" s="1" t="s">
        <v>58</v>
      </c>
      <c r="O360" s="1" t="s">
        <v>28</v>
      </c>
      <c r="P360" s="4">
        <v>0.7861111111111111</v>
      </c>
      <c r="Q360" s="1" t="s">
        <v>346</v>
      </c>
      <c r="R360" s="1">
        <f t="shared" si="1"/>
        <v>133</v>
      </c>
      <c r="S360" s="1">
        <f t="shared" si="2"/>
        <v>140</v>
      </c>
      <c r="T360" s="5">
        <f t="shared" si="3"/>
        <v>140</v>
      </c>
      <c r="U360" s="5" t="s">
        <v>47</v>
      </c>
    </row>
    <row r="361">
      <c r="A361" s="1" t="s">
        <v>24</v>
      </c>
      <c r="B361" s="2">
        <v>26.0</v>
      </c>
      <c r="C361" s="1" t="s">
        <v>41</v>
      </c>
      <c r="D361" s="1" t="s">
        <v>42</v>
      </c>
      <c r="E361" s="3"/>
      <c r="F361" s="1" t="s">
        <v>30</v>
      </c>
      <c r="G361" s="4">
        <v>0.07777777777777778</v>
      </c>
      <c r="H361" s="1" t="s">
        <v>516</v>
      </c>
      <c r="I361" s="1" t="s">
        <v>28</v>
      </c>
      <c r="J361" s="4">
        <v>0.3347222222222222</v>
      </c>
      <c r="K361" s="1" t="s">
        <v>77</v>
      </c>
      <c r="L361" s="1" t="s">
        <v>30</v>
      </c>
      <c r="M361" s="4">
        <v>0.5555555555555556</v>
      </c>
      <c r="N361" s="1" t="s">
        <v>66</v>
      </c>
      <c r="O361" s="1" t="s">
        <v>28</v>
      </c>
      <c r="P361" s="4">
        <v>0.8194444444444444</v>
      </c>
      <c r="Q361" s="1" t="s">
        <v>59</v>
      </c>
      <c r="R361" s="1">
        <f t="shared" si="1"/>
        <v>132</v>
      </c>
      <c r="S361" s="1">
        <f t="shared" si="2"/>
        <v>139</v>
      </c>
      <c r="T361" s="5">
        <f t="shared" si="3"/>
        <v>139</v>
      </c>
      <c r="U361" s="5" t="s">
        <v>47</v>
      </c>
    </row>
    <row r="362">
      <c r="A362" s="1" t="s">
        <v>24</v>
      </c>
      <c r="B362" s="2">
        <v>27.0</v>
      </c>
      <c r="C362" s="1" t="s">
        <v>55</v>
      </c>
      <c r="D362" s="1" t="s">
        <v>42</v>
      </c>
      <c r="E362" s="3"/>
      <c r="F362" s="1" t="s">
        <v>30</v>
      </c>
      <c r="G362" s="4">
        <v>0.11041666666666666</v>
      </c>
      <c r="H362" s="1" t="s">
        <v>510</v>
      </c>
      <c r="I362" s="1" t="s">
        <v>28</v>
      </c>
      <c r="J362" s="4">
        <v>0.3659722222222222</v>
      </c>
      <c r="K362" s="1" t="s">
        <v>77</v>
      </c>
      <c r="L362" s="1" t="s">
        <v>30</v>
      </c>
      <c r="M362" s="4">
        <v>0.5916666666666667</v>
      </c>
      <c r="N362" s="1" t="s">
        <v>313</v>
      </c>
      <c r="O362" s="1" t="s">
        <v>28</v>
      </c>
      <c r="P362" s="4">
        <v>0.8527777777777777</v>
      </c>
      <c r="Q362" s="1" t="s">
        <v>216</v>
      </c>
      <c r="R362" s="1">
        <f t="shared" si="1"/>
        <v>126</v>
      </c>
      <c r="S362" s="1">
        <f t="shared" si="2"/>
        <v>128</v>
      </c>
      <c r="T362" s="5">
        <f t="shared" si="3"/>
        <v>128</v>
      </c>
      <c r="U362" s="5" t="s">
        <v>47</v>
      </c>
    </row>
    <row r="363">
      <c r="A363" s="1" t="s">
        <v>24</v>
      </c>
      <c r="B363" s="2">
        <v>28.0</v>
      </c>
      <c r="C363" s="1" t="s">
        <v>25</v>
      </c>
      <c r="D363" s="6"/>
      <c r="E363" s="3"/>
      <c r="F363" s="1" t="s">
        <v>30</v>
      </c>
      <c r="G363" s="4">
        <v>0.1423611111111111</v>
      </c>
      <c r="H363" s="1" t="s">
        <v>511</v>
      </c>
      <c r="I363" s="1" t="s">
        <v>28</v>
      </c>
      <c r="J363" s="4">
        <v>0.39791666666666664</v>
      </c>
      <c r="K363" s="1" t="s">
        <v>77</v>
      </c>
      <c r="L363" s="1" t="s">
        <v>30</v>
      </c>
      <c r="M363" s="4">
        <v>0.6298611111111111</v>
      </c>
      <c r="N363" s="1" t="s">
        <v>88</v>
      </c>
      <c r="O363" s="1" t="s">
        <v>28</v>
      </c>
      <c r="P363" s="4">
        <v>0.8875</v>
      </c>
      <c r="Q363" s="1" t="s">
        <v>89</v>
      </c>
      <c r="R363" s="1">
        <f t="shared" si="1"/>
        <v>115</v>
      </c>
      <c r="S363" s="1">
        <f t="shared" si="2"/>
        <v>111</v>
      </c>
      <c r="T363" s="5">
        <f t="shared" si="3"/>
        <v>115</v>
      </c>
      <c r="U363" s="5" t="s">
        <v>90</v>
      </c>
    </row>
    <row r="364">
      <c r="A364" s="1" t="s">
        <v>24</v>
      </c>
      <c r="B364" s="2">
        <v>29.0</v>
      </c>
      <c r="C364" s="1" t="s">
        <v>75</v>
      </c>
      <c r="D364" s="6"/>
      <c r="E364" s="3"/>
      <c r="F364" s="1" t="s">
        <v>30</v>
      </c>
      <c r="G364" s="4">
        <v>0.17291666666666666</v>
      </c>
      <c r="H364" s="1" t="s">
        <v>132</v>
      </c>
      <c r="I364" s="1" t="s">
        <v>28</v>
      </c>
      <c r="J364" s="4">
        <v>0.42986111111111114</v>
      </c>
      <c r="K364" s="1" t="s">
        <v>77</v>
      </c>
      <c r="L364" s="1" t="s">
        <v>30</v>
      </c>
      <c r="M364" s="4">
        <v>0.6715277777777777</v>
      </c>
      <c r="N364" s="1" t="s">
        <v>277</v>
      </c>
      <c r="O364" s="1" t="s">
        <v>28</v>
      </c>
      <c r="P364" s="4">
        <v>0.9243055555555556</v>
      </c>
      <c r="Q364" s="1" t="s">
        <v>183</v>
      </c>
      <c r="R364" s="1">
        <f t="shared" si="1"/>
        <v>102</v>
      </c>
      <c r="S364" s="1">
        <f t="shared" si="2"/>
        <v>89</v>
      </c>
      <c r="T364" s="5">
        <f t="shared" si="3"/>
        <v>102</v>
      </c>
      <c r="U364" s="5" t="s">
        <v>90</v>
      </c>
    </row>
    <row r="365">
      <c r="A365" s="1" t="s">
        <v>24</v>
      </c>
      <c r="B365" s="2">
        <v>30.0</v>
      </c>
      <c r="C365" s="1" t="s">
        <v>86</v>
      </c>
      <c r="D365" s="6"/>
      <c r="E365" s="3"/>
      <c r="F365" s="1" t="s">
        <v>30</v>
      </c>
      <c r="G365" s="4">
        <v>0.20347222222222222</v>
      </c>
      <c r="H365" s="1" t="s">
        <v>215</v>
      </c>
      <c r="I365" s="1" t="s">
        <v>28</v>
      </c>
      <c r="J365" s="4">
        <v>0.46458333333333335</v>
      </c>
      <c r="K365" s="1" t="s">
        <v>77</v>
      </c>
      <c r="L365" s="1" t="s">
        <v>30</v>
      </c>
      <c r="M365" s="4">
        <v>0.7180555555555556</v>
      </c>
      <c r="N365" s="1" t="s">
        <v>257</v>
      </c>
      <c r="O365" s="1" t="s">
        <v>28</v>
      </c>
      <c r="P365" s="4">
        <v>0.9659722222222222</v>
      </c>
      <c r="Q365" s="1" t="s">
        <v>111</v>
      </c>
      <c r="R365" s="1">
        <f t="shared" si="1"/>
        <v>89</v>
      </c>
      <c r="S365" s="1">
        <f t="shared" si="2"/>
        <v>67</v>
      </c>
      <c r="T365" s="5">
        <f t="shared" si="3"/>
        <v>89</v>
      </c>
      <c r="U365" s="5" t="s">
        <v>39</v>
      </c>
    </row>
    <row r="366">
      <c r="A366" s="1" t="s">
        <v>24</v>
      </c>
      <c r="B366" s="2">
        <v>31.0</v>
      </c>
      <c r="C366" s="1" t="s">
        <v>26</v>
      </c>
      <c r="D366" s="6"/>
      <c r="E366" s="7" t="s">
        <v>107</v>
      </c>
      <c r="F366" s="1" t="s">
        <v>30</v>
      </c>
      <c r="G366" s="4">
        <v>0.23472222222222222</v>
      </c>
      <c r="H366" s="1" t="s">
        <v>110</v>
      </c>
      <c r="I366" s="1" t="s">
        <v>28</v>
      </c>
      <c r="J366" s="4">
        <v>0.5013888888888889</v>
      </c>
      <c r="K366" s="1" t="s">
        <v>77</v>
      </c>
      <c r="L366" s="1" t="s">
        <v>30</v>
      </c>
      <c r="M366" s="4">
        <v>0.7743055555555556</v>
      </c>
      <c r="N366" s="1" t="s">
        <v>114</v>
      </c>
      <c r="R366" s="1">
        <f t="shared" si="1"/>
        <v>77</v>
      </c>
      <c r="S366" s="1">
        <f t="shared" si="2"/>
        <v>51</v>
      </c>
      <c r="T366" s="5">
        <f t="shared" si="3"/>
        <v>77</v>
      </c>
      <c r="U366" s="5" t="s">
        <v>39</v>
      </c>
    </row>
  </sheetData>
  <mergeCells count="12">
    <mergeCell ref="Z87:AF87"/>
    <mergeCell ref="Z99:AF99"/>
    <mergeCell ref="Z111:AF111"/>
    <mergeCell ref="Z123:AF123"/>
    <mergeCell ref="Z135:AF135"/>
    <mergeCell ref="Z3:AF3"/>
    <mergeCell ref="Z15:AF15"/>
    <mergeCell ref="Z27:AF27"/>
    <mergeCell ref="Z39:AF39"/>
    <mergeCell ref="Z51:AF51"/>
    <mergeCell ref="Z63:AF63"/>
    <mergeCell ref="Z75:AF7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7" t="s">
        <v>143</v>
      </c>
    </row>
    <row r="2">
      <c r="A2" s="7" t="s">
        <v>887</v>
      </c>
    </row>
    <row r="3">
      <c r="A3" s="7" t="s">
        <v>888</v>
      </c>
    </row>
    <row r="4">
      <c r="A4" s="7" t="s">
        <v>889</v>
      </c>
    </row>
    <row r="5">
      <c r="A5" s="7" t="s">
        <v>890</v>
      </c>
    </row>
    <row r="6">
      <c r="A6" s="7" t="s">
        <v>891</v>
      </c>
    </row>
    <row r="7">
      <c r="A7" s="7" t="s">
        <v>892</v>
      </c>
    </row>
    <row r="8">
      <c r="A8" s="1" t="s">
        <v>893</v>
      </c>
    </row>
    <row r="9">
      <c r="A9" s="7" t="s">
        <v>184</v>
      </c>
    </row>
    <row r="10">
      <c r="A10" s="1" t="s">
        <v>894</v>
      </c>
    </row>
    <row r="11">
      <c r="A11" s="1" t="s">
        <v>895</v>
      </c>
    </row>
    <row r="12">
      <c r="A12" s="1" t="s">
        <v>896</v>
      </c>
    </row>
    <row r="13">
      <c r="A13" s="1" t="s">
        <v>897</v>
      </c>
    </row>
    <row r="14">
      <c r="A14" s="1" t="s">
        <v>898</v>
      </c>
    </row>
    <row r="15">
      <c r="A15" s="7" t="s">
        <v>35</v>
      </c>
    </row>
    <row r="16">
      <c r="A16" s="7" t="s">
        <v>899</v>
      </c>
    </row>
    <row r="17">
      <c r="A17" s="7" t="s">
        <v>900</v>
      </c>
    </row>
    <row r="18">
      <c r="A18" s="7" t="s">
        <v>901</v>
      </c>
    </row>
    <row r="19">
      <c r="A19" s="7" t="s">
        <v>902</v>
      </c>
    </row>
    <row r="20">
      <c r="A20" s="7" t="s">
        <v>903</v>
      </c>
    </row>
    <row r="21">
      <c r="A21" s="7" t="s">
        <v>904</v>
      </c>
    </row>
    <row r="22">
      <c r="A22" s="1" t="s">
        <v>893</v>
      </c>
    </row>
    <row r="23">
      <c r="A23" s="7" t="s">
        <v>107</v>
      </c>
    </row>
    <row r="24">
      <c r="A24" s="1" t="s">
        <v>905</v>
      </c>
    </row>
    <row r="25">
      <c r="A25" s="1" t="s">
        <v>896</v>
      </c>
    </row>
    <row r="26">
      <c r="A26" s="1" t="s">
        <v>906</v>
      </c>
    </row>
    <row r="27">
      <c r="A27" s="1" t="s">
        <v>898</v>
      </c>
    </row>
    <row r="28">
      <c r="A28" s="1" t="s">
        <v>891</v>
      </c>
    </row>
    <row r="29">
      <c r="A29" s="1" t="s">
        <v>907</v>
      </c>
    </row>
    <row r="30">
      <c r="A30" s="1" t="s">
        <v>908</v>
      </c>
    </row>
    <row r="31">
      <c r="A31" s="7" t="s">
        <v>143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517</v>
      </c>
      <c r="B1" s="1" t="s">
        <v>519</v>
      </c>
      <c r="C1" s="1" t="s">
        <v>909</v>
      </c>
      <c r="D1" s="1" t="s">
        <v>910</v>
      </c>
      <c r="E1" s="1" t="s">
        <v>911</v>
      </c>
      <c r="F1" s="1" t="s">
        <v>520</v>
      </c>
      <c r="G1" s="1" t="s">
        <v>521</v>
      </c>
      <c r="H1" s="1" t="s">
        <v>518</v>
      </c>
    </row>
    <row r="3">
      <c r="A3" s="1" t="s">
        <v>912</v>
      </c>
      <c r="B3" s="17">
        <v>46023.0</v>
      </c>
      <c r="D3" s="17">
        <v>46023.0</v>
      </c>
      <c r="F3" s="1" t="b">
        <v>1</v>
      </c>
    </row>
    <row r="5">
      <c r="A5" s="1" t="s">
        <v>913</v>
      </c>
      <c r="B5" s="17">
        <v>46025.0</v>
      </c>
      <c r="D5" s="17">
        <v>46025.0</v>
      </c>
      <c r="F5" s="1" t="b">
        <v>1</v>
      </c>
    </row>
    <row r="7">
      <c r="A7" s="1" t="s">
        <v>913</v>
      </c>
      <c r="B7" s="17">
        <v>46026.0</v>
      </c>
      <c r="D7" s="17">
        <v>46026.0</v>
      </c>
      <c r="F7" s="1" t="b">
        <v>1</v>
      </c>
    </row>
    <row r="9">
      <c r="A9" s="1" t="s">
        <v>913</v>
      </c>
      <c r="B9" s="17">
        <v>46032.0</v>
      </c>
      <c r="D9" s="17">
        <v>46032.0</v>
      </c>
      <c r="F9" s="1" t="b">
        <v>1</v>
      </c>
    </row>
    <row r="11">
      <c r="A11" s="1" t="s">
        <v>913</v>
      </c>
      <c r="B11" s="17">
        <v>46033.0</v>
      </c>
      <c r="D11" s="17">
        <v>46033.0</v>
      </c>
      <c r="F11" s="1" t="b">
        <v>1</v>
      </c>
    </row>
    <row r="13">
      <c r="A13" s="1" t="s">
        <v>913</v>
      </c>
      <c r="B13" s="17">
        <v>46039.0</v>
      </c>
      <c r="D13" s="17">
        <v>46039.0</v>
      </c>
      <c r="F13" s="1" t="b">
        <v>1</v>
      </c>
    </row>
    <row r="15">
      <c r="A15" s="1" t="s">
        <v>913</v>
      </c>
      <c r="B15" s="17">
        <v>46040.0</v>
      </c>
      <c r="D15" s="17">
        <v>46040.0</v>
      </c>
      <c r="F15" s="1" t="b">
        <v>1</v>
      </c>
    </row>
    <row r="17">
      <c r="A17" s="1" t="s">
        <v>913</v>
      </c>
      <c r="B17" s="17">
        <v>46046.0</v>
      </c>
      <c r="D17" s="17">
        <v>46046.0</v>
      </c>
      <c r="F17" s="1" t="b">
        <v>1</v>
      </c>
    </row>
    <row r="19">
      <c r="A19" s="1" t="s">
        <v>913</v>
      </c>
      <c r="B19" s="17">
        <v>46047.0</v>
      </c>
      <c r="D19" s="17">
        <v>46047.0</v>
      </c>
      <c r="F19" s="1" t="b">
        <v>1</v>
      </c>
    </row>
    <row r="21">
      <c r="A21" s="1" t="s">
        <v>913</v>
      </c>
      <c r="B21" s="17">
        <v>46053.0</v>
      </c>
      <c r="D21" s="17">
        <v>46053.0</v>
      </c>
      <c r="F21" s="1" t="b">
        <v>1</v>
      </c>
    </row>
    <row r="23">
      <c r="A23" s="1" t="s">
        <v>913</v>
      </c>
      <c r="B23" s="17">
        <v>46054.0</v>
      </c>
      <c r="D23" s="17">
        <v>46054.0</v>
      </c>
      <c r="F23" s="1" t="b">
        <v>1</v>
      </c>
    </row>
    <row r="25">
      <c r="A25" s="1" t="s">
        <v>913</v>
      </c>
      <c r="B25" s="17">
        <v>46060.0</v>
      </c>
      <c r="D25" s="17">
        <v>46060.0</v>
      </c>
      <c r="F25" s="1" t="b">
        <v>1</v>
      </c>
    </row>
    <row r="27">
      <c r="A27" s="1" t="s">
        <v>913</v>
      </c>
      <c r="B27" s="17">
        <v>46061.0</v>
      </c>
      <c r="D27" s="17">
        <v>46061.0</v>
      </c>
      <c r="F27" s="1" t="b">
        <v>1</v>
      </c>
    </row>
    <row r="29">
      <c r="A29" s="1" t="s">
        <v>913</v>
      </c>
      <c r="B29" s="17">
        <v>46067.0</v>
      </c>
      <c r="D29" s="17">
        <v>46067.0</v>
      </c>
      <c r="F29" s="1" t="b">
        <v>1</v>
      </c>
    </row>
    <row r="31">
      <c r="A31" s="1" t="s">
        <v>914</v>
      </c>
      <c r="B31" s="17">
        <v>46068.0</v>
      </c>
      <c r="D31" s="17">
        <v>46068.0</v>
      </c>
      <c r="F31" s="1" t="b">
        <v>1</v>
      </c>
    </row>
    <row r="33">
      <c r="A33" s="1" t="s">
        <v>915</v>
      </c>
      <c r="B33" s="17">
        <v>46069.0</v>
      </c>
      <c r="D33" s="17">
        <v>46069.0</v>
      </c>
      <c r="F33" s="1" t="b">
        <v>1</v>
      </c>
    </row>
    <row r="35">
      <c r="A35" s="1" t="s">
        <v>916</v>
      </c>
      <c r="B35" s="17">
        <v>46070.0</v>
      </c>
      <c r="D35" s="17">
        <v>46070.0</v>
      </c>
      <c r="F35" s="1" t="b">
        <v>1</v>
      </c>
    </row>
    <row r="37">
      <c r="A37" s="1" t="s">
        <v>916</v>
      </c>
      <c r="B37" s="17">
        <v>46071.0</v>
      </c>
      <c r="D37" s="17">
        <v>46071.0</v>
      </c>
      <c r="F37" s="1" t="b">
        <v>1</v>
      </c>
    </row>
    <row r="39">
      <c r="A39" s="1" t="s">
        <v>916</v>
      </c>
      <c r="B39" s="17">
        <v>46072.0</v>
      </c>
      <c r="D39" s="17">
        <v>46072.0</v>
      </c>
      <c r="F39" s="1" t="b">
        <v>1</v>
      </c>
    </row>
    <row r="41">
      <c r="A41" s="1" t="s">
        <v>917</v>
      </c>
      <c r="B41" s="17">
        <v>46073.0</v>
      </c>
      <c r="D41" s="17">
        <v>46073.0</v>
      </c>
      <c r="F41" s="1" t="b">
        <v>1</v>
      </c>
    </row>
    <row r="43">
      <c r="A43" s="1" t="s">
        <v>913</v>
      </c>
      <c r="B43" s="17">
        <v>46074.0</v>
      </c>
      <c r="D43" s="17">
        <v>46074.0</v>
      </c>
      <c r="F43" s="1" t="b">
        <v>1</v>
      </c>
    </row>
    <row r="45">
      <c r="A45" s="1" t="s">
        <v>913</v>
      </c>
      <c r="B45" s="17">
        <v>46075.0</v>
      </c>
      <c r="D45" s="17">
        <v>46075.0</v>
      </c>
      <c r="F45" s="1" t="b">
        <v>1</v>
      </c>
    </row>
    <row r="47">
      <c r="A47" s="1" t="s">
        <v>917</v>
      </c>
      <c r="B47" s="17">
        <v>46080.0</v>
      </c>
      <c r="D47" s="17">
        <v>46080.0</v>
      </c>
      <c r="F47" s="1" t="b">
        <v>1</v>
      </c>
    </row>
    <row r="49">
      <c r="A49" s="1" t="s">
        <v>918</v>
      </c>
      <c r="B49" s="17">
        <v>46081.0</v>
      </c>
      <c r="D49" s="17">
        <v>46081.0</v>
      </c>
      <c r="F49" s="1" t="b">
        <v>1</v>
      </c>
    </row>
    <row r="51">
      <c r="A51" s="1" t="s">
        <v>913</v>
      </c>
      <c r="B51" s="17">
        <v>46082.0</v>
      </c>
      <c r="D51" s="17">
        <v>46082.0</v>
      </c>
      <c r="F51" s="1" t="b">
        <v>1</v>
      </c>
    </row>
    <row r="53">
      <c r="A53" s="1" t="s">
        <v>913</v>
      </c>
      <c r="B53" s="17">
        <v>46088.0</v>
      </c>
      <c r="D53" s="17">
        <v>46088.0</v>
      </c>
      <c r="F53" s="1" t="b">
        <v>1</v>
      </c>
    </row>
    <row r="55">
      <c r="A55" s="1" t="s">
        <v>913</v>
      </c>
      <c r="B55" s="17">
        <v>46089.0</v>
      </c>
      <c r="D55" s="17">
        <v>46089.0</v>
      </c>
      <c r="F55" s="1" t="b">
        <v>1</v>
      </c>
    </row>
    <row r="57">
      <c r="A57" s="1" t="s">
        <v>913</v>
      </c>
      <c r="B57" s="17">
        <v>46095.0</v>
      </c>
      <c r="D57" s="17">
        <v>46095.0</v>
      </c>
      <c r="F57" s="1" t="b">
        <v>1</v>
      </c>
    </row>
    <row r="59">
      <c r="A59" s="1" t="s">
        <v>913</v>
      </c>
      <c r="B59" s="17">
        <v>46096.0</v>
      </c>
      <c r="D59" s="17">
        <v>46096.0</v>
      </c>
      <c r="F59" s="1" t="b">
        <v>1</v>
      </c>
    </row>
    <row r="61">
      <c r="A61" s="1" t="s">
        <v>913</v>
      </c>
      <c r="B61" s="17">
        <v>46102.0</v>
      </c>
      <c r="D61" s="17">
        <v>46102.0</v>
      </c>
      <c r="F61" s="1" t="b">
        <v>1</v>
      </c>
    </row>
    <row r="63">
      <c r="A63" s="1" t="s">
        <v>913</v>
      </c>
      <c r="B63" s="17">
        <v>46103.0</v>
      </c>
      <c r="D63" s="17">
        <v>46103.0</v>
      </c>
      <c r="F63" s="1" t="b">
        <v>1</v>
      </c>
    </row>
    <row r="65">
      <c r="A65" s="1" t="s">
        <v>913</v>
      </c>
      <c r="B65" s="17">
        <v>46109.0</v>
      </c>
      <c r="D65" s="17">
        <v>46109.0</v>
      </c>
      <c r="F65" s="1" t="b">
        <v>1</v>
      </c>
    </row>
    <row r="67">
      <c r="A67" s="1" t="s">
        <v>913</v>
      </c>
      <c r="B67" s="17">
        <v>46110.0</v>
      </c>
      <c r="D67" s="17">
        <v>46110.0</v>
      </c>
      <c r="F67" s="1" t="b">
        <v>1</v>
      </c>
    </row>
    <row r="69">
      <c r="A69" s="1" t="s">
        <v>917</v>
      </c>
      <c r="B69" s="17">
        <v>46115.0</v>
      </c>
      <c r="D69" s="17">
        <v>46115.0</v>
      </c>
      <c r="F69" s="1" t="b">
        <v>1</v>
      </c>
    </row>
    <row r="71">
      <c r="A71" s="1" t="s">
        <v>919</v>
      </c>
      <c r="B71" s="17">
        <v>46116.0</v>
      </c>
      <c r="D71" s="17">
        <v>46116.0</v>
      </c>
      <c r="F71" s="1" t="b">
        <v>1</v>
      </c>
    </row>
    <row r="73">
      <c r="A73" s="1" t="s">
        <v>920</v>
      </c>
      <c r="B73" s="17">
        <v>46117.0</v>
      </c>
      <c r="D73" s="17">
        <v>46117.0</v>
      </c>
      <c r="F73" s="1" t="b">
        <v>1</v>
      </c>
    </row>
    <row r="75">
      <c r="A75" s="1" t="s">
        <v>917</v>
      </c>
      <c r="B75" s="17">
        <v>46118.0</v>
      </c>
      <c r="D75" s="17">
        <v>46118.0</v>
      </c>
      <c r="F75" s="1" t="b">
        <v>1</v>
      </c>
    </row>
    <row r="77">
      <c r="A77" s="1" t="s">
        <v>913</v>
      </c>
      <c r="B77" s="17">
        <v>46123.0</v>
      </c>
      <c r="D77" s="17">
        <v>46123.0</v>
      </c>
      <c r="F77" s="1" t="b">
        <v>1</v>
      </c>
    </row>
    <row r="79">
      <c r="A79" s="1" t="s">
        <v>913</v>
      </c>
      <c r="B79" s="17">
        <v>46124.0</v>
      </c>
      <c r="D79" s="17">
        <v>46124.0</v>
      </c>
      <c r="F79" s="1" t="b">
        <v>1</v>
      </c>
    </row>
    <row r="81">
      <c r="A81" s="1" t="s">
        <v>913</v>
      </c>
      <c r="B81" s="17">
        <v>46130.0</v>
      </c>
      <c r="D81" s="17">
        <v>46130.0</v>
      </c>
      <c r="F81" s="1" t="b">
        <v>1</v>
      </c>
    </row>
    <row r="83">
      <c r="A83" s="1" t="s">
        <v>913</v>
      </c>
      <c r="B83" s="17">
        <v>46131.0</v>
      </c>
      <c r="D83" s="17">
        <v>46131.0</v>
      </c>
      <c r="F83" s="1" t="b">
        <v>1</v>
      </c>
    </row>
    <row r="85">
      <c r="A85" s="1" t="s">
        <v>913</v>
      </c>
      <c r="B85" s="17">
        <v>46137.0</v>
      </c>
      <c r="D85" s="17">
        <v>46137.0</v>
      </c>
      <c r="F85" s="1" t="b">
        <v>1</v>
      </c>
    </row>
    <row r="87">
      <c r="A87" s="1" t="s">
        <v>913</v>
      </c>
      <c r="B87" s="17">
        <v>46138.0</v>
      </c>
      <c r="D87" s="17">
        <v>46138.0</v>
      </c>
      <c r="F87" s="1" t="b">
        <v>1</v>
      </c>
    </row>
    <row r="89">
      <c r="A89" s="1" t="s">
        <v>921</v>
      </c>
      <c r="B89" s="17">
        <v>46143.0</v>
      </c>
      <c r="D89" s="17">
        <v>46143.0</v>
      </c>
      <c r="F89" s="1" t="b">
        <v>1</v>
      </c>
    </row>
    <row r="91">
      <c r="A91" s="1" t="s">
        <v>913</v>
      </c>
      <c r="B91" s="17">
        <v>46144.0</v>
      </c>
      <c r="D91" s="17">
        <v>46144.0</v>
      </c>
      <c r="F91" s="1" t="b">
        <v>1</v>
      </c>
    </row>
    <row r="93">
      <c r="A93" s="1" t="s">
        <v>913</v>
      </c>
      <c r="B93" s="17">
        <v>46145.0</v>
      </c>
      <c r="D93" s="17">
        <v>46145.0</v>
      </c>
      <c r="F93" s="1" t="b">
        <v>1</v>
      </c>
    </row>
    <row r="95">
      <c r="A95" s="1" t="s">
        <v>913</v>
      </c>
      <c r="B95" s="17">
        <v>46151.0</v>
      </c>
      <c r="D95" s="17">
        <v>46151.0</v>
      </c>
      <c r="F95" s="1" t="b">
        <v>1</v>
      </c>
    </row>
    <row r="97">
      <c r="A97" s="1" t="s">
        <v>913</v>
      </c>
      <c r="B97" s="17">
        <v>46152.0</v>
      </c>
      <c r="D97" s="17">
        <v>46152.0</v>
      </c>
      <c r="F97" s="1" t="b">
        <v>1</v>
      </c>
    </row>
    <row r="99">
      <c r="A99" s="1" t="s">
        <v>913</v>
      </c>
      <c r="B99" s="17">
        <v>46158.0</v>
      </c>
      <c r="D99" s="17">
        <v>46158.0</v>
      </c>
      <c r="F99" s="1" t="b">
        <v>1</v>
      </c>
    </row>
    <row r="101">
      <c r="A101" s="1" t="s">
        <v>913</v>
      </c>
      <c r="B101" s="17">
        <v>46159.0</v>
      </c>
      <c r="D101" s="17">
        <v>46159.0</v>
      </c>
      <c r="F101" s="1" t="b">
        <v>1</v>
      </c>
    </row>
    <row r="103">
      <c r="A103" s="1" t="s">
        <v>913</v>
      </c>
      <c r="B103" s="17">
        <v>46165.0</v>
      </c>
      <c r="D103" s="17">
        <v>46165.0</v>
      </c>
      <c r="F103" s="1" t="b">
        <v>1</v>
      </c>
    </row>
    <row r="105">
      <c r="A105" s="1" t="s">
        <v>913</v>
      </c>
      <c r="B105" s="17">
        <v>46166.0</v>
      </c>
      <c r="D105" s="17">
        <v>46166.0</v>
      </c>
      <c r="F105" s="1" t="b">
        <v>1</v>
      </c>
    </row>
    <row r="107">
      <c r="A107" s="1" t="s">
        <v>913</v>
      </c>
      <c r="B107" s="17">
        <v>46172.0</v>
      </c>
      <c r="D107" s="17">
        <v>46172.0</v>
      </c>
      <c r="F107" s="1" t="b">
        <v>1</v>
      </c>
    </row>
    <row r="109">
      <c r="A109" s="1" t="s">
        <v>913</v>
      </c>
      <c r="B109" s="17">
        <v>46173.0</v>
      </c>
      <c r="D109" s="17">
        <v>46173.0</v>
      </c>
      <c r="F109" s="1" t="b">
        <v>1</v>
      </c>
    </row>
    <row r="111">
      <c r="A111" s="1" t="s">
        <v>913</v>
      </c>
      <c r="B111" s="17">
        <v>46179.0</v>
      </c>
      <c r="D111" s="17">
        <v>46179.0</v>
      </c>
      <c r="F111" s="1" t="b">
        <v>1</v>
      </c>
    </row>
    <row r="113">
      <c r="A113" s="1" t="s">
        <v>913</v>
      </c>
      <c r="B113" s="17">
        <v>46180.0</v>
      </c>
      <c r="D113" s="17">
        <v>46180.0</v>
      </c>
      <c r="F113" s="1" t="b">
        <v>1</v>
      </c>
    </row>
    <row r="115">
      <c r="A115" s="1" t="s">
        <v>913</v>
      </c>
      <c r="B115" s="17">
        <v>46186.0</v>
      </c>
      <c r="D115" s="17">
        <v>46186.0</v>
      </c>
      <c r="F115" s="1" t="b">
        <v>1</v>
      </c>
    </row>
    <row r="117">
      <c r="A117" s="1" t="s">
        <v>913</v>
      </c>
      <c r="B117" s="17">
        <v>46187.0</v>
      </c>
      <c r="D117" s="17">
        <v>46187.0</v>
      </c>
      <c r="F117" s="1" t="b">
        <v>1</v>
      </c>
    </row>
    <row r="119">
      <c r="A119" s="1" t="s">
        <v>922</v>
      </c>
      <c r="B119" s="17">
        <v>46192.0</v>
      </c>
      <c r="D119" s="17">
        <v>46192.0</v>
      </c>
      <c r="F119" s="1" t="b">
        <v>1</v>
      </c>
    </row>
    <row r="121">
      <c r="A121" s="1" t="s">
        <v>913</v>
      </c>
      <c r="B121" s="17">
        <v>46193.0</v>
      </c>
      <c r="D121" s="17">
        <v>46193.0</v>
      </c>
      <c r="F121" s="1" t="b">
        <v>1</v>
      </c>
    </row>
    <row r="123">
      <c r="A123" s="1" t="s">
        <v>913</v>
      </c>
      <c r="B123" s="17">
        <v>46194.0</v>
      </c>
      <c r="D123" s="17">
        <v>46194.0</v>
      </c>
      <c r="F123" s="1" t="b">
        <v>1</v>
      </c>
    </row>
    <row r="125">
      <c r="A125" s="1" t="s">
        <v>913</v>
      </c>
      <c r="B125" s="17">
        <v>46200.0</v>
      </c>
      <c r="D125" s="17">
        <v>46200.0</v>
      </c>
      <c r="F125" s="1" t="b">
        <v>1</v>
      </c>
    </row>
    <row r="127">
      <c r="A127" s="1" t="s">
        <v>913</v>
      </c>
      <c r="B127" s="17">
        <v>46201.0</v>
      </c>
      <c r="D127" s="17">
        <v>46201.0</v>
      </c>
      <c r="F127" s="1" t="b">
        <v>1</v>
      </c>
    </row>
    <row r="129">
      <c r="A129" s="1" t="s">
        <v>913</v>
      </c>
      <c r="B129" s="17">
        <v>46207.0</v>
      </c>
      <c r="D129" s="17">
        <v>46207.0</v>
      </c>
      <c r="F129" s="1" t="b">
        <v>1</v>
      </c>
    </row>
    <row r="131">
      <c r="A131" s="1" t="s">
        <v>913</v>
      </c>
      <c r="B131" s="17">
        <v>46208.0</v>
      </c>
      <c r="D131" s="17">
        <v>46208.0</v>
      </c>
      <c r="F131" s="1" t="b">
        <v>1</v>
      </c>
    </row>
    <row r="133">
      <c r="A133" s="1" t="s">
        <v>913</v>
      </c>
      <c r="B133" s="17">
        <v>46214.0</v>
      </c>
      <c r="D133" s="17">
        <v>46214.0</v>
      </c>
      <c r="F133" s="1" t="b">
        <v>1</v>
      </c>
    </row>
    <row r="135">
      <c r="A135" s="1" t="s">
        <v>913</v>
      </c>
      <c r="B135" s="17">
        <v>46215.0</v>
      </c>
      <c r="D135" s="17">
        <v>46215.0</v>
      </c>
      <c r="F135" s="1" t="b">
        <v>1</v>
      </c>
    </row>
    <row r="137">
      <c r="A137" s="1" t="s">
        <v>913</v>
      </c>
      <c r="B137" s="17">
        <v>46221.0</v>
      </c>
      <c r="D137" s="17">
        <v>46221.0</v>
      </c>
      <c r="F137" s="1" t="b">
        <v>1</v>
      </c>
    </row>
    <row r="139">
      <c r="A139" s="1" t="s">
        <v>913</v>
      </c>
      <c r="B139" s="17">
        <v>46222.0</v>
      </c>
      <c r="D139" s="17">
        <v>46222.0</v>
      </c>
      <c r="F139" s="1" t="b">
        <v>1</v>
      </c>
    </row>
    <row r="141">
      <c r="A141" s="1" t="s">
        <v>913</v>
      </c>
      <c r="B141" s="17">
        <v>46228.0</v>
      </c>
      <c r="D141" s="17">
        <v>46228.0</v>
      </c>
      <c r="F141" s="1" t="b">
        <v>1</v>
      </c>
    </row>
    <row r="143">
      <c r="A143" s="1" t="s">
        <v>913</v>
      </c>
      <c r="B143" s="17">
        <v>46229.0</v>
      </c>
      <c r="D143" s="17">
        <v>46229.0</v>
      </c>
      <c r="F143" s="1" t="b">
        <v>1</v>
      </c>
    </row>
    <row r="145">
      <c r="A145" s="1" t="s">
        <v>913</v>
      </c>
      <c r="B145" s="17">
        <v>46235.0</v>
      </c>
      <c r="D145" s="17">
        <v>46235.0</v>
      </c>
      <c r="F145" s="1" t="b">
        <v>1</v>
      </c>
    </row>
    <row r="147">
      <c r="A147" s="1" t="s">
        <v>913</v>
      </c>
      <c r="B147" s="17">
        <v>46236.0</v>
      </c>
      <c r="D147" s="17">
        <v>46236.0</v>
      </c>
      <c r="F147" s="1" t="b">
        <v>1</v>
      </c>
    </row>
    <row r="149">
      <c r="A149" s="1" t="s">
        <v>913</v>
      </c>
      <c r="B149" s="17">
        <v>46242.0</v>
      </c>
      <c r="D149" s="17">
        <v>46242.0</v>
      </c>
      <c r="F149" s="1" t="b">
        <v>1</v>
      </c>
    </row>
    <row r="151">
      <c r="A151" s="1" t="s">
        <v>913</v>
      </c>
      <c r="B151" s="17">
        <v>46243.0</v>
      </c>
      <c r="D151" s="17">
        <v>46243.0</v>
      </c>
      <c r="F151" s="1" t="b">
        <v>1</v>
      </c>
    </row>
    <row r="153">
      <c r="A153" s="1" t="s">
        <v>913</v>
      </c>
      <c r="B153" s="17">
        <v>46249.0</v>
      </c>
      <c r="D153" s="17">
        <v>46249.0</v>
      </c>
      <c r="F153" s="1" t="b">
        <v>1</v>
      </c>
    </row>
    <row r="155">
      <c r="A155" s="1" t="s">
        <v>913</v>
      </c>
      <c r="B155" s="17">
        <v>46250.0</v>
      </c>
      <c r="D155" s="17">
        <v>46250.0</v>
      </c>
      <c r="F155" s="1" t="b">
        <v>1</v>
      </c>
    </row>
    <row r="157">
      <c r="A157" s="1" t="s">
        <v>913</v>
      </c>
      <c r="B157" s="17">
        <v>46256.0</v>
      </c>
      <c r="D157" s="17">
        <v>46256.0</v>
      </c>
      <c r="F157" s="1" t="b">
        <v>1</v>
      </c>
    </row>
    <row r="159">
      <c r="A159" s="1" t="s">
        <v>913</v>
      </c>
      <c r="B159" s="17">
        <v>46257.0</v>
      </c>
      <c r="D159" s="17">
        <v>46257.0</v>
      </c>
      <c r="F159" s="1" t="b">
        <v>1</v>
      </c>
    </row>
    <row r="161">
      <c r="A161" s="1" t="s">
        <v>913</v>
      </c>
      <c r="B161" s="17">
        <v>46263.0</v>
      </c>
      <c r="D161" s="17">
        <v>46263.0</v>
      </c>
      <c r="F161" s="1" t="b">
        <v>1</v>
      </c>
    </row>
    <row r="163">
      <c r="A163" s="1" t="s">
        <v>913</v>
      </c>
      <c r="B163" s="17">
        <v>46264.0</v>
      </c>
      <c r="D163" s="17">
        <v>46264.0</v>
      </c>
      <c r="F163" s="1" t="b">
        <v>1</v>
      </c>
    </row>
    <row r="165">
      <c r="A165" s="1" t="s">
        <v>913</v>
      </c>
      <c r="B165" s="17">
        <v>46270.0</v>
      </c>
      <c r="D165" s="17">
        <v>46270.0</v>
      </c>
      <c r="F165" s="1" t="b">
        <v>1</v>
      </c>
    </row>
    <row r="167">
      <c r="A167" s="1" t="s">
        <v>913</v>
      </c>
      <c r="B167" s="17">
        <v>46271.0</v>
      </c>
      <c r="D167" s="17">
        <v>46271.0</v>
      </c>
      <c r="F167" s="1" t="b">
        <v>1</v>
      </c>
    </row>
    <row r="169">
      <c r="A169" s="1" t="s">
        <v>913</v>
      </c>
      <c r="B169" s="17">
        <v>46277.0</v>
      </c>
      <c r="D169" s="17">
        <v>46277.0</v>
      </c>
      <c r="F169" s="1" t="b">
        <v>1</v>
      </c>
    </row>
    <row r="171">
      <c r="A171" s="1" t="s">
        <v>913</v>
      </c>
      <c r="B171" s="17">
        <v>46278.0</v>
      </c>
      <c r="D171" s="17">
        <v>46278.0</v>
      </c>
      <c r="F171" s="1" t="b">
        <v>1</v>
      </c>
    </row>
    <row r="173">
      <c r="A173" s="1" t="s">
        <v>913</v>
      </c>
      <c r="B173" s="17">
        <v>46284.0</v>
      </c>
      <c r="D173" s="17">
        <v>46284.0</v>
      </c>
      <c r="F173" s="1" t="b">
        <v>1</v>
      </c>
    </row>
    <row r="175">
      <c r="A175" s="1" t="s">
        <v>913</v>
      </c>
      <c r="B175" s="17">
        <v>46285.0</v>
      </c>
      <c r="D175" s="17">
        <v>46285.0</v>
      </c>
      <c r="F175" s="1" t="b">
        <v>1</v>
      </c>
    </row>
    <row r="177">
      <c r="A177" s="1" t="s">
        <v>923</v>
      </c>
      <c r="B177" s="17">
        <v>46290.0</v>
      </c>
      <c r="D177" s="17">
        <v>46290.0</v>
      </c>
      <c r="F177" s="1" t="b">
        <v>1</v>
      </c>
    </row>
    <row r="179">
      <c r="A179" s="1" t="s">
        <v>913</v>
      </c>
      <c r="B179" s="17">
        <v>46291.0</v>
      </c>
      <c r="D179" s="17">
        <v>46291.0</v>
      </c>
      <c r="F179" s="1" t="b">
        <v>1</v>
      </c>
    </row>
    <row r="181">
      <c r="A181" s="1" t="s">
        <v>913</v>
      </c>
      <c r="B181" s="17">
        <v>46292.0</v>
      </c>
      <c r="D181" s="17">
        <v>46292.0</v>
      </c>
      <c r="F181" s="1" t="b">
        <v>1</v>
      </c>
    </row>
    <row r="183">
      <c r="A183" s="1" t="s">
        <v>924</v>
      </c>
      <c r="B183" s="17">
        <v>46293.0</v>
      </c>
      <c r="D183" s="17">
        <v>46293.0</v>
      </c>
      <c r="F183" s="1" t="b">
        <v>1</v>
      </c>
    </row>
    <row r="185">
      <c r="A185" s="1" t="s">
        <v>913</v>
      </c>
      <c r="B185" s="17">
        <v>46298.0</v>
      </c>
      <c r="D185" s="17">
        <v>46298.0</v>
      </c>
      <c r="F185" s="1" t="b">
        <v>1</v>
      </c>
    </row>
    <row r="187">
      <c r="A187" s="1" t="s">
        <v>913</v>
      </c>
      <c r="B187" s="17">
        <v>46299.0</v>
      </c>
      <c r="D187" s="17">
        <v>46299.0</v>
      </c>
      <c r="F187" s="1" t="b">
        <v>1</v>
      </c>
    </row>
    <row r="189">
      <c r="A189" s="1" t="s">
        <v>917</v>
      </c>
      <c r="B189" s="17">
        <v>46304.0</v>
      </c>
      <c r="D189" s="17">
        <v>46304.0</v>
      </c>
      <c r="F189" s="1" t="b">
        <v>1</v>
      </c>
    </row>
    <row r="191">
      <c r="A191" s="1" t="s">
        <v>925</v>
      </c>
      <c r="B191" s="17">
        <v>46305.0</v>
      </c>
      <c r="D191" s="17">
        <v>46305.0</v>
      </c>
      <c r="F191" s="1" t="b">
        <v>1</v>
      </c>
    </row>
    <row r="193">
      <c r="A193" s="1" t="s">
        <v>913</v>
      </c>
      <c r="B193" s="17">
        <v>46306.0</v>
      </c>
      <c r="D193" s="17">
        <v>46306.0</v>
      </c>
      <c r="F193" s="1" t="b">
        <v>1</v>
      </c>
    </row>
    <row r="195">
      <c r="A195" s="1" t="s">
        <v>913</v>
      </c>
      <c r="B195" s="17">
        <v>46312.0</v>
      </c>
      <c r="D195" s="17">
        <v>46312.0</v>
      </c>
      <c r="F195" s="1" t="b">
        <v>1</v>
      </c>
    </row>
    <row r="197">
      <c r="A197" s="1" t="s">
        <v>913</v>
      </c>
      <c r="B197" s="17">
        <v>46313.0</v>
      </c>
      <c r="D197" s="17">
        <v>46313.0</v>
      </c>
      <c r="F197" s="1" t="b">
        <v>1</v>
      </c>
    </row>
    <row r="199">
      <c r="A199" s="1" t="s">
        <v>913</v>
      </c>
      <c r="B199" s="17">
        <v>46319.0</v>
      </c>
      <c r="D199" s="17">
        <v>46319.0</v>
      </c>
      <c r="F199" s="1" t="b">
        <v>1</v>
      </c>
    </row>
    <row r="201">
      <c r="A201" s="1" t="s">
        <v>926</v>
      </c>
      <c r="B201" s="17">
        <v>46320.0</v>
      </c>
      <c r="D201" s="17">
        <v>46320.0</v>
      </c>
      <c r="F201" s="1" t="b">
        <v>1</v>
      </c>
    </row>
    <row r="203">
      <c r="A203" s="1" t="s">
        <v>917</v>
      </c>
      <c r="B203" s="17">
        <v>46321.0</v>
      </c>
      <c r="D203" s="17">
        <v>46321.0</v>
      </c>
      <c r="F203" s="1" t="b">
        <v>1</v>
      </c>
    </row>
    <row r="205">
      <c r="A205" s="1" t="s">
        <v>913</v>
      </c>
      <c r="B205" s="17">
        <v>46326.0</v>
      </c>
      <c r="D205" s="17">
        <v>46326.0</v>
      </c>
      <c r="F205" s="1" t="b">
        <v>1</v>
      </c>
    </row>
    <row r="207">
      <c r="A207" s="1" t="s">
        <v>913</v>
      </c>
      <c r="B207" s="17">
        <v>46327.0</v>
      </c>
      <c r="D207" s="17">
        <v>46327.0</v>
      </c>
      <c r="F207" s="1" t="b">
        <v>1</v>
      </c>
    </row>
    <row r="209">
      <c r="A209" s="1" t="s">
        <v>913</v>
      </c>
      <c r="B209" s="17">
        <v>46333.0</v>
      </c>
      <c r="D209" s="17">
        <v>46333.0</v>
      </c>
      <c r="F209" s="1" t="b">
        <v>1</v>
      </c>
    </row>
    <row r="211">
      <c r="A211" s="1" t="s">
        <v>913</v>
      </c>
      <c r="B211" s="17">
        <v>46334.0</v>
      </c>
      <c r="D211" s="17">
        <v>46334.0</v>
      </c>
      <c r="F211" s="1" t="b">
        <v>1</v>
      </c>
    </row>
    <row r="213">
      <c r="A213" s="1" t="s">
        <v>913</v>
      </c>
      <c r="B213" s="17">
        <v>46340.0</v>
      </c>
      <c r="D213" s="17">
        <v>46340.0</v>
      </c>
      <c r="F213" s="1" t="b">
        <v>1</v>
      </c>
    </row>
    <row r="215">
      <c r="A215" s="1" t="s">
        <v>913</v>
      </c>
      <c r="B215" s="17">
        <v>46341.0</v>
      </c>
      <c r="D215" s="17">
        <v>46341.0</v>
      </c>
      <c r="F215" s="1" t="b">
        <v>1</v>
      </c>
    </row>
    <row r="217">
      <c r="A217" s="1" t="s">
        <v>913</v>
      </c>
      <c r="B217" s="17">
        <v>46347.0</v>
      </c>
      <c r="D217" s="17">
        <v>46347.0</v>
      </c>
      <c r="F217" s="1" t="b">
        <v>1</v>
      </c>
    </row>
    <row r="219">
      <c r="A219" s="1" t="s">
        <v>913</v>
      </c>
      <c r="B219" s="17">
        <v>46348.0</v>
      </c>
      <c r="D219" s="17">
        <v>46348.0</v>
      </c>
      <c r="F219" s="1" t="b">
        <v>1</v>
      </c>
    </row>
    <row r="221">
      <c r="A221" s="1" t="s">
        <v>913</v>
      </c>
      <c r="B221" s="17">
        <v>46354.0</v>
      </c>
      <c r="D221" s="17">
        <v>46354.0</v>
      </c>
      <c r="F221" s="1" t="b">
        <v>1</v>
      </c>
    </row>
    <row r="223">
      <c r="A223" s="1" t="s">
        <v>913</v>
      </c>
      <c r="B223" s="17">
        <v>46355.0</v>
      </c>
      <c r="D223" s="17">
        <v>46355.0</v>
      </c>
      <c r="F223" s="1" t="b">
        <v>1</v>
      </c>
    </row>
    <row r="225">
      <c r="A225" s="1" t="s">
        <v>913</v>
      </c>
      <c r="B225" s="17">
        <v>46361.0</v>
      </c>
      <c r="D225" s="17">
        <v>46361.0</v>
      </c>
      <c r="F225" s="1" t="b">
        <v>1</v>
      </c>
    </row>
    <row r="227">
      <c r="A227" s="1" t="s">
        <v>913</v>
      </c>
      <c r="B227" s="17">
        <v>46362.0</v>
      </c>
      <c r="D227" s="17">
        <v>46362.0</v>
      </c>
      <c r="F227" s="1" t="b">
        <v>1</v>
      </c>
    </row>
    <row r="229">
      <c r="A229" s="1" t="s">
        <v>913</v>
      </c>
      <c r="B229" s="17">
        <v>46368.0</v>
      </c>
      <c r="D229" s="17">
        <v>46368.0</v>
      </c>
      <c r="F229" s="1" t="b">
        <v>1</v>
      </c>
    </row>
    <row r="231">
      <c r="A231" s="1" t="s">
        <v>913</v>
      </c>
      <c r="B231" s="17">
        <v>46369.0</v>
      </c>
      <c r="D231" s="17">
        <v>46369.0</v>
      </c>
      <c r="F231" s="1" t="b">
        <v>1</v>
      </c>
    </row>
    <row r="233">
      <c r="A233" s="1" t="s">
        <v>913</v>
      </c>
      <c r="B233" s="17">
        <v>46375.0</v>
      </c>
      <c r="D233" s="17">
        <v>46375.0</v>
      </c>
      <c r="F233" s="1" t="b">
        <v>1</v>
      </c>
    </row>
    <row r="235">
      <c r="A235" s="1" t="s">
        <v>913</v>
      </c>
      <c r="B235" s="17">
        <v>46376.0</v>
      </c>
      <c r="D235" s="17">
        <v>46376.0</v>
      </c>
      <c r="F235" s="1" t="b">
        <v>1</v>
      </c>
    </row>
    <row r="237">
      <c r="A237" s="1" t="s">
        <v>927</v>
      </c>
      <c r="B237" s="17">
        <v>46381.0</v>
      </c>
      <c r="D237" s="17">
        <v>46381.0</v>
      </c>
      <c r="F237" s="1" t="b">
        <v>1</v>
      </c>
    </row>
    <row r="239">
      <c r="A239" s="1" t="s">
        <v>913</v>
      </c>
      <c r="B239" s="17">
        <v>46382.0</v>
      </c>
      <c r="D239" s="17">
        <v>46382.0</v>
      </c>
      <c r="F239" s="1" t="b">
        <v>1</v>
      </c>
    </row>
    <row r="241">
      <c r="A241" s="1" t="s">
        <v>913</v>
      </c>
      <c r="B241" s="17">
        <v>46383.0</v>
      </c>
      <c r="D241" s="17">
        <v>46383.0</v>
      </c>
      <c r="F241" s="1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.75"/>
    <col customWidth="1" min="3" max="3" width="3.13"/>
    <col customWidth="1" min="4" max="5" width="7.0"/>
    <col customWidth="1" min="6" max="6" width="10.63"/>
    <col customWidth="1" min="7" max="8" width="7.0"/>
    <col customWidth="1" min="9" max="9" width="10.63"/>
    <col customWidth="1" min="10" max="11" width="7.0"/>
    <col customWidth="1" min="12" max="12" width="10.63"/>
    <col customWidth="1" min="13" max="14" width="7.0"/>
    <col customWidth="1" min="15" max="15" width="10.63"/>
    <col customWidth="1" min="16" max="16" width="12.88"/>
    <col customWidth="1" min="17" max="17" width="14.13"/>
    <col customWidth="1" min="18" max="18" width="10.38"/>
    <col customWidth="1" min="19" max="19" width="12.88"/>
    <col customWidth="1" min="20" max="23" width="24.38"/>
    <col customWidth="1" min="24" max="30" width="24.25"/>
    <col customWidth="1" min="31" max="31" width="24.63"/>
    <col customWidth="1" min="32" max="32" width="25.63"/>
    <col customWidth="1" min="33" max="33" width="25.13"/>
    <col customWidth="1" min="34" max="34" width="24.25"/>
    <col customWidth="1" min="35" max="46" width="26.0"/>
    <col customWidth="1" min="47" max="47" width="26.5"/>
    <col customWidth="1" min="48" max="56" width="26.0"/>
    <col customWidth="1" min="57" max="58" width="25.63"/>
    <col customWidth="1" min="59" max="60" width="24.25"/>
    <col customWidth="1" min="61" max="62" width="26.0"/>
    <col customWidth="1" min="63" max="63" width="26.5"/>
    <col customWidth="1" min="64" max="64" width="24.38"/>
    <col customWidth="1" min="65" max="65" width="26.0"/>
    <col customWidth="1" min="66" max="66" width="25.63"/>
    <col customWidth="1" min="67" max="67" width="24.38"/>
    <col customWidth="1" min="68" max="69" width="26.0"/>
    <col customWidth="1" min="70" max="71" width="26.5"/>
    <col customWidth="1" min="72" max="72" width="24.38"/>
    <col customWidth="1" min="73" max="73" width="24.63"/>
    <col customWidth="1" min="74" max="74" width="25.63"/>
    <col customWidth="1" min="75" max="79" width="24.38"/>
    <col customWidth="1" min="80" max="80" width="25.13"/>
    <col customWidth="1" min="81" max="82" width="25.63"/>
    <col customWidth="1" min="83" max="83" width="25.13"/>
    <col customWidth="1" min="84" max="85" width="26.0"/>
    <col customWidth="1" min="86" max="89" width="25.63"/>
    <col customWidth="1" min="90" max="93" width="26.0"/>
    <col customWidth="1" min="94" max="94" width="25.63"/>
    <col customWidth="1" min="95" max="95" width="25.13"/>
    <col customWidth="1" min="96" max="100" width="26.0"/>
    <col customWidth="1" min="101" max="101" width="25.63"/>
    <col customWidth="1" min="102" max="102" width="26.0"/>
    <col customWidth="1" min="103" max="103" width="25.63"/>
    <col customWidth="1" min="104" max="106" width="26.0"/>
    <col customWidth="1" min="107" max="107" width="25.63"/>
    <col customWidth="1" min="108" max="121" width="26.0"/>
    <col customWidth="1" min="122" max="122" width="24.63"/>
    <col customWidth="1" min="123" max="137" width="26.0"/>
    <col customWidth="1" min="138" max="138" width="25.13"/>
    <col customWidth="1" min="139" max="142" width="26.0"/>
    <col customWidth="1" min="143" max="143" width="25.63"/>
    <col customWidth="1" min="144" max="149" width="26.0"/>
    <col customWidth="1" min="150" max="150" width="24.38"/>
    <col customWidth="1" min="151" max="151" width="25.63"/>
    <col customWidth="1" min="152" max="152" width="24.63"/>
    <col customWidth="1" min="153" max="153" width="25.63"/>
    <col customWidth="1" min="154" max="154" width="26.0"/>
    <col customWidth="1" min="155" max="158" width="25.63"/>
    <col customWidth="1" min="159" max="159" width="24.38"/>
    <col customWidth="1" min="160" max="160" width="25.13"/>
    <col customWidth="1" min="161" max="167" width="24.38"/>
    <col customWidth="1" min="168" max="178" width="24.25"/>
    <col customWidth="1" min="179" max="179" width="23.5"/>
  </cols>
  <sheetData>
    <row r="1">
      <c r="A1" s="1" t="s">
        <v>871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>
      <c r="A2" s="1" t="s">
        <v>154</v>
      </c>
      <c r="B2" s="2">
        <v>1.0</v>
      </c>
      <c r="C2" s="1" t="s">
        <v>26</v>
      </c>
      <c r="D2" s="1" t="s">
        <v>28</v>
      </c>
      <c r="E2" s="4">
        <v>0.18958333333333333</v>
      </c>
      <c r="F2" s="1" t="s">
        <v>29</v>
      </c>
      <c r="G2" s="1" t="s">
        <v>30</v>
      </c>
      <c r="H2" s="4">
        <v>0.40555555555555556</v>
      </c>
      <c r="I2" s="1" t="s">
        <v>31</v>
      </c>
      <c r="J2" s="1" t="s">
        <v>28</v>
      </c>
      <c r="K2" s="4">
        <v>0.6743055555555556</v>
      </c>
      <c r="L2" s="1" t="s">
        <v>32</v>
      </c>
      <c r="M2" s="1" t="s">
        <v>30</v>
      </c>
      <c r="N2" s="4">
        <v>0.9694444444444444</v>
      </c>
      <c r="O2" s="1" t="s">
        <v>33</v>
      </c>
      <c r="P2" s="1">
        <f t="shared" ref="P2:P366" si="1">LET(
  clean, LAMBDA(x, IF(x="", 0, VALUE(SUBSTITUTE(TRIM(x), "cm", "")))),
  a, clean(F2),
  b, clean(I2),
  MAX(a, b) - MIN(a, b)
)</f>
        <v>55</v>
      </c>
      <c r="Q2" s="1">
        <f t="shared" ref="Q2:Q366" si="2">LET(
  clean, LAMBDA(x, IF(x="", 0, VALUE(SUBSTITUTE(TRIM(x), "cm", "")))),
  a, clean(L2),
  b, clean(O2),
  MAX(a, b) - MIN(a, b)
)</f>
        <v>159</v>
      </c>
      <c r="R2" s="5">
        <f t="shared" ref="R2:R366" si="3">max(P2,Q2)</f>
        <v>159</v>
      </c>
      <c r="S2" s="5" t="str">
        <f t="array" ref="S2:S366">IF(R2:R366 = "", "", LET( big, T2, small, U2, IF(R2:R366 &gt;= big, "大潮", IF(R2:R366 &gt;= small, "中潮", "小潮")) ) )</f>
        <v>大潮</v>
      </c>
      <c r="T2" s="5">
        <f>IFERROR(__xludf.DUMMYFUNCTION("LET( data, FILTER(R2:R366, R2:R366 &lt;&gt; """"), n, COUNTA(data), k, ROUNDUP(n/3, 0), sorted, SORT(data, 1, FALSE), INDEX(sorted, k) )"),124.0)</f>
        <v>124</v>
      </c>
      <c r="U2" s="5">
        <f>IFERROR(__xludf.DUMMYFUNCTION("LET( data, FILTER(R2:R366, R2:R366 &lt;&gt; """"), n, COUNTA(data), k, ROUNDUP(n/3, 0), sorted, SORT(data, 1, FALSE), INDEX(sorted, n - k + 1) )"),91.0)</f>
        <v>91</v>
      </c>
    </row>
    <row r="3">
      <c r="A3" s="1" t="s">
        <v>154</v>
      </c>
      <c r="B3" s="2">
        <v>2.0</v>
      </c>
      <c r="C3" s="1" t="s">
        <v>34</v>
      </c>
      <c r="D3" s="1" t="s">
        <v>28</v>
      </c>
      <c r="E3" s="4">
        <v>0.23055555555555557</v>
      </c>
      <c r="F3" s="1" t="s">
        <v>36</v>
      </c>
      <c r="G3" s="1" t="s">
        <v>30</v>
      </c>
      <c r="H3" s="4">
        <v>0.4444444444444444</v>
      </c>
      <c r="I3" s="1" t="s">
        <v>37</v>
      </c>
      <c r="J3" s="1" t="s">
        <v>28</v>
      </c>
      <c r="K3" s="4">
        <v>0.7118055555555556</v>
      </c>
      <c r="L3" s="1" t="s">
        <v>38</v>
      </c>
      <c r="P3" s="1">
        <f t="shared" si="1"/>
        <v>62</v>
      </c>
      <c r="Q3" s="1">
        <f t="shared" si="2"/>
        <v>65</v>
      </c>
      <c r="R3" s="5">
        <f t="shared" si="3"/>
        <v>65</v>
      </c>
      <c r="S3" s="5" t="s">
        <v>39</v>
      </c>
    </row>
    <row r="4">
      <c r="A4" s="1" t="s">
        <v>154</v>
      </c>
      <c r="B4" s="2">
        <v>3.0</v>
      </c>
      <c r="C4" s="1" t="s">
        <v>41</v>
      </c>
      <c r="D4" s="1" t="s">
        <v>30</v>
      </c>
      <c r="E4" s="4">
        <v>0.00625</v>
      </c>
      <c r="F4" s="1" t="s">
        <v>43</v>
      </c>
      <c r="G4" s="1" t="s">
        <v>28</v>
      </c>
      <c r="H4" s="4">
        <v>0.2659722222222222</v>
      </c>
      <c r="I4" s="1" t="s">
        <v>44</v>
      </c>
      <c r="J4" s="1" t="s">
        <v>30</v>
      </c>
      <c r="K4" s="4">
        <v>0.48055555555555557</v>
      </c>
      <c r="L4" s="1" t="s">
        <v>45</v>
      </c>
      <c r="M4" s="1" t="s">
        <v>28</v>
      </c>
      <c r="N4" s="4">
        <v>0.7472222222222222</v>
      </c>
      <c r="O4" s="1" t="s">
        <v>46</v>
      </c>
      <c r="P4" s="1">
        <f t="shared" si="1"/>
        <v>124</v>
      </c>
      <c r="Q4" s="1">
        <f t="shared" si="2"/>
        <v>131</v>
      </c>
      <c r="R4" s="5">
        <f t="shared" si="3"/>
        <v>131</v>
      </c>
      <c r="S4" s="5" t="s">
        <v>47</v>
      </c>
    </row>
    <row r="5">
      <c r="A5" s="1" t="s">
        <v>154</v>
      </c>
      <c r="B5" s="2">
        <v>4.0</v>
      </c>
      <c r="C5" s="1" t="s">
        <v>55</v>
      </c>
      <c r="D5" s="1" t="s">
        <v>30</v>
      </c>
      <c r="E5" s="4">
        <v>0.04027777777777778</v>
      </c>
      <c r="F5" s="1" t="s">
        <v>56</v>
      </c>
      <c r="G5" s="1" t="s">
        <v>28</v>
      </c>
      <c r="H5" s="4">
        <v>0.2972222222222222</v>
      </c>
      <c r="I5" s="1" t="s">
        <v>57</v>
      </c>
      <c r="J5" s="1" t="s">
        <v>30</v>
      </c>
      <c r="K5" s="4">
        <v>0.5152777777777777</v>
      </c>
      <c r="L5" s="1" t="s">
        <v>58</v>
      </c>
      <c r="M5" s="1" t="s">
        <v>28</v>
      </c>
      <c r="N5" s="4">
        <v>0.7798611111111111</v>
      </c>
      <c r="O5" s="1" t="s">
        <v>59</v>
      </c>
      <c r="P5" s="1">
        <f t="shared" si="1"/>
        <v>130</v>
      </c>
      <c r="Q5" s="1">
        <f t="shared" si="2"/>
        <v>137</v>
      </c>
      <c r="R5" s="5">
        <f t="shared" si="3"/>
        <v>137</v>
      </c>
      <c r="S5" s="5" t="s">
        <v>47</v>
      </c>
    </row>
    <row r="6">
      <c r="A6" s="1" t="s">
        <v>154</v>
      </c>
      <c r="B6" s="2">
        <v>5.0</v>
      </c>
      <c r="C6" s="1" t="s">
        <v>25</v>
      </c>
      <c r="D6" s="1" t="s">
        <v>30</v>
      </c>
      <c r="E6" s="4">
        <v>0.07222222222222222</v>
      </c>
      <c r="F6" s="1" t="s">
        <v>43</v>
      </c>
      <c r="G6" s="1" t="s">
        <v>28</v>
      </c>
      <c r="H6" s="4">
        <v>0.32708333333333334</v>
      </c>
      <c r="I6" s="1" t="s">
        <v>65</v>
      </c>
      <c r="J6" s="1" t="s">
        <v>30</v>
      </c>
      <c r="K6" s="4">
        <v>0.5479166666666667</v>
      </c>
      <c r="L6" s="1" t="s">
        <v>66</v>
      </c>
      <c r="M6" s="1" t="s">
        <v>28</v>
      </c>
      <c r="N6" s="4">
        <v>0.8111111111111111</v>
      </c>
      <c r="O6" s="1" t="s">
        <v>67</v>
      </c>
      <c r="P6" s="1">
        <f t="shared" si="1"/>
        <v>129</v>
      </c>
      <c r="Q6" s="1">
        <f t="shared" si="2"/>
        <v>136</v>
      </c>
      <c r="R6" s="5">
        <f t="shared" si="3"/>
        <v>136</v>
      </c>
      <c r="S6" s="5" t="s">
        <v>47</v>
      </c>
    </row>
    <row r="7">
      <c r="A7" s="1" t="s">
        <v>154</v>
      </c>
      <c r="B7" s="2">
        <v>6.0</v>
      </c>
      <c r="C7" s="1" t="s">
        <v>75</v>
      </c>
      <c r="D7" s="1" t="s">
        <v>30</v>
      </c>
      <c r="E7" s="4">
        <v>0.10138888888888889</v>
      </c>
      <c r="F7" s="1" t="s">
        <v>76</v>
      </c>
      <c r="G7" s="1" t="s">
        <v>28</v>
      </c>
      <c r="H7" s="4">
        <v>0.3541666666666667</v>
      </c>
      <c r="I7" s="1" t="s">
        <v>77</v>
      </c>
      <c r="J7" s="1" t="s">
        <v>30</v>
      </c>
      <c r="K7" s="4">
        <v>0.5805555555555556</v>
      </c>
      <c r="L7" s="1" t="s">
        <v>66</v>
      </c>
      <c r="M7" s="1" t="s">
        <v>28</v>
      </c>
      <c r="N7" s="4">
        <v>0.8409722222222222</v>
      </c>
      <c r="O7" s="1" t="s">
        <v>78</v>
      </c>
      <c r="P7" s="1">
        <f t="shared" si="1"/>
        <v>123</v>
      </c>
      <c r="Q7" s="1">
        <f t="shared" si="2"/>
        <v>127</v>
      </c>
      <c r="R7" s="5">
        <f t="shared" si="3"/>
        <v>127</v>
      </c>
      <c r="S7" s="5" t="s">
        <v>47</v>
      </c>
    </row>
    <row r="8">
      <c r="A8" s="1" t="s">
        <v>154</v>
      </c>
      <c r="B8" s="2">
        <v>7.0</v>
      </c>
      <c r="C8" s="1" t="s">
        <v>86</v>
      </c>
      <c r="D8" s="1" t="s">
        <v>30</v>
      </c>
      <c r="E8" s="4">
        <v>0.12777777777777777</v>
      </c>
      <c r="F8" s="1" t="s">
        <v>87</v>
      </c>
      <c r="G8" s="1" t="s">
        <v>28</v>
      </c>
      <c r="H8" s="4">
        <v>0.38125</v>
      </c>
      <c r="I8" s="1" t="s">
        <v>77</v>
      </c>
      <c r="J8" s="1" t="s">
        <v>30</v>
      </c>
      <c r="K8" s="4">
        <v>0.6125</v>
      </c>
      <c r="L8" s="1" t="s">
        <v>88</v>
      </c>
      <c r="M8" s="1" t="s">
        <v>28</v>
      </c>
      <c r="N8" s="4">
        <v>0.8701388888888889</v>
      </c>
      <c r="O8" s="1" t="s">
        <v>89</v>
      </c>
      <c r="P8" s="1">
        <f t="shared" si="1"/>
        <v>113</v>
      </c>
      <c r="Q8" s="1">
        <f t="shared" si="2"/>
        <v>111</v>
      </c>
      <c r="R8" s="5">
        <f t="shared" si="3"/>
        <v>113</v>
      </c>
      <c r="S8" s="5" t="s">
        <v>90</v>
      </c>
    </row>
    <row r="9">
      <c r="A9" s="1" t="s">
        <v>154</v>
      </c>
      <c r="B9" s="2">
        <v>8.0</v>
      </c>
      <c r="C9" s="1" t="s">
        <v>26</v>
      </c>
      <c r="D9" s="1" t="s">
        <v>30</v>
      </c>
      <c r="E9" s="4">
        <v>0.15208333333333332</v>
      </c>
      <c r="F9" s="1" t="s">
        <v>98</v>
      </c>
      <c r="G9" s="1" t="s">
        <v>28</v>
      </c>
      <c r="H9" s="4">
        <v>0.40694444444444444</v>
      </c>
      <c r="I9" s="1" t="s">
        <v>77</v>
      </c>
      <c r="J9" s="1" t="s">
        <v>30</v>
      </c>
      <c r="K9" s="4">
        <v>0.6458333333333334</v>
      </c>
      <c r="L9" s="1" t="s">
        <v>99</v>
      </c>
      <c r="M9" s="1" t="s">
        <v>28</v>
      </c>
      <c r="N9" s="4">
        <v>0.8993055555555556</v>
      </c>
      <c r="O9" s="1" t="s">
        <v>100</v>
      </c>
      <c r="P9" s="1">
        <f t="shared" si="1"/>
        <v>100</v>
      </c>
      <c r="Q9" s="1">
        <f t="shared" si="2"/>
        <v>91</v>
      </c>
      <c r="R9" s="5">
        <f t="shared" si="3"/>
        <v>100</v>
      </c>
      <c r="S9" s="5" t="s">
        <v>90</v>
      </c>
    </row>
    <row r="10">
      <c r="A10" s="1" t="s">
        <v>154</v>
      </c>
      <c r="B10" s="2">
        <v>9.0</v>
      </c>
      <c r="C10" s="1" t="s">
        <v>34</v>
      </c>
      <c r="D10" s="1" t="s">
        <v>30</v>
      </c>
      <c r="E10" s="4">
        <v>0.17569444444444443</v>
      </c>
      <c r="F10" s="1" t="s">
        <v>108</v>
      </c>
      <c r="G10" s="1" t="s">
        <v>28</v>
      </c>
      <c r="H10" s="4">
        <v>0.43472222222222223</v>
      </c>
      <c r="I10" s="1" t="s">
        <v>65</v>
      </c>
      <c r="J10" s="1" t="s">
        <v>30</v>
      </c>
      <c r="K10" s="4">
        <v>0.6819444444444445</v>
      </c>
      <c r="L10" s="1" t="s">
        <v>31</v>
      </c>
      <c r="M10" s="1" t="s">
        <v>28</v>
      </c>
      <c r="N10" s="4">
        <v>0.9305555555555556</v>
      </c>
      <c r="O10" s="1" t="s">
        <v>109</v>
      </c>
      <c r="P10" s="1">
        <f t="shared" si="1"/>
        <v>87</v>
      </c>
      <c r="Q10" s="1">
        <f t="shared" si="2"/>
        <v>69</v>
      </c>
      <c r="R10" s="5">
        <f t="shared" si="3"/>
        <v>87</v>
      </c>
      <c r="S10" s="5" t="s">
        <v>39</v>
      </c>
    </row>
    <row r="11">
      <c r="A11" s="1" t="s">
        <v>154</v>
      </c>
      <c r="B11" s="2">
        <v>10.0</v>
      </c>
      <c r="C11" s="1" t="s">
        <v>41</v>
      </c>
      <c r="D11" s="1" t="s">
        <v>30</v>
      </c>
      <c r="E11" s="4">
        <v>0.19930555555555557</v>
      </c>
      <c r="F11" s="1" t="s">
        <v>110</v>
      </c>
      <c r="G11" s="1" t="s">
        <v>28</v>
      </c>
      <c r="H11" s="4">
        <v>0.4652777777777778</v>
      </c>
      <c r="I11" s="1" t="s">
        <v>111</v>
      </c>
      <c r="J11" s="1" t="s">
        <v>30</v>
      </c>
      <c r="K11" s="4">
        <v>0.7256944444444444</v>
      </c>
      <c r="L11" s="1" t="s">
        <v>112</v>
      </c>
      <c r="M11" s="1" t="s">
        <v>28</v>
      </c>
      <c r="N11" s="4">
        <v>0.9680555555555556</v>
      </c>
      <c r="O11" s="1" t="s">
        <v>113</v>
      </c>
      <c r="P11" s="1">
        <f t="shared" si="1"/>
        <v>75</v>
      </c>
      <c r="Q11" s="1">
        <f t="shared" si="2"/>
        <v>49</v>
      </c>
      <c r="R11" s="5">
        <f t="shared" si="3"/>
        <v>75</v>
      </c>
      <c r="S11" s="5" t="s">
        <v>39</v>
      </c>
    </row>
    <row r="12">
      <c r="A12" s="1" t="s">
        <v>154</v>
      </c>
      <c r="B12" s="2">
        <v>11.0</v>
      </c>
      <c r="C12" s="1" t="s">
        <v>55</v>
      </c>
      <c r="D12" s="1" t="s">
        <v>30</v>
      </c>
      <c r="E12" s="4">
        <v>0.22708333333333333</v>
      </c>
      <c r="F12" s="1" t="s">
        <v>114</v>
      </c>
      <c r="G12" s="1" t="s">
        <v>28</v>
      </c>
      <c r="H12" s="4">
        <v>0.5013888888888889</v>
      </c>
      <c r="I12" s="1" t="s">
        <v>57</v>
      </c>
      <c r="J12" s="1" t="s">
        <v>30</v>
      </c>
      <c r="K12" s="4">
        <v>0.7826388888888889</v>
      </c>
      <c r="L12" s="1" t="s">
        <v>115</v>
      </c>
      <c r="P12" s="1">
        <f t="shared" si="1"/>
        <v>64</v>
      </c>
      <c r="Q12" s="1">
        <f t="shared" si="2"/>
        <v>45</v>
      </c>
      <c r="R12" s="5">
        <f t="shared" si="3"/>
        <v>64</v>
      </c>
      <c r="S12" s="5" t="s">
        <v>39</v>
      </c>
    </row>
    <row r="13">
      <c r="A13" s="1" t="s">
        <v>154</v>
      </c>
      <c r="B13" s="2">
        <v>12.0</v>
      </c>
      <c r="C13" s="1" t="s">
        <v>25</v>
      </c>
      <c r="D13" s="1" t="s">
        <v>28</v>
      </c>
      <c r="E13" s="4">
        <v>0.021527777777777778</v>
      </c>
      <c r="F13" s="1" t="s">
        <v>116</v>
      </c>
      <c r="G13" s="1" t="s">
        <v>30</v>
      </c>
      <c r="H13" s="4">
        <v>0.2625</v>
      </c>
      <c r="I13" s="1" t="s">
        <v>117</v>
      </c>
      <c r="J13" s="1" t="s">
        <v>28</v>
      </c>
      <c r="K13" s="4">
        <v>0.5444444444444444</v>
      </c>
      <c r="L13" s="1" t="s">
        <v>111</v>
      </c>
      <c r="M13" s="1" t="s">
        <v>30</v>
      </c>
      <c r="N13" s="4">
        <v>0.8513888888888889</v>
      </c>
      <c r="O13" s="1" t="s">
        <v>118</v>
      </c>
      <c r="P13" s="1">
        <f t="shared" si="1"/>
        <v>33</v>
      </c>
      <c r="Q13" s="1">
        <f t="shared" si="2"/>
        <v>63</v>
      </c>
      <c r="R13" s="5">
        <f t="shared" si="3"/>
        <v>63</v>
      </c>
      <c r="S13" s="5" t="s">
        <v>39</v>
      </c>
    </row>
    <row r="14">
      <c r="A14" s="1" t="s">
        <v>154</v>
      </c>
      <c r="B14" s="2">
        <v>13.0</v>
      </c>
      <c r="C14" s="1" t="s">
        <v>75</v>
      </c>
      <c r="D14" s="1" t="s">
        <v>28</v>
      </c>
      <c r="E14" s="4">
        <v>0.09652777777777778</v>
      </c>
      <c r="F14" s="1" t="s">
        <v>119</v>
      </c>
      <c r="G14" s="1" t="s">
        <v>30</v>
      </c>
      <c r="H14" s="4">
        <v>0.30833333333333335</v>
      </c>
      <c r="I14" s="1" t="s">
        <v>120</v>
      </c>
      <c r="J14" s="1" t="s">
        <v>28</v>
      </c>
      <c r="K14" s="4">
        <v>0.5909722222222222</v>
      </c>
      <c r="L14" s="1" t="s">
        <v>109</v>
      </c>
      <c r="M14" s="1" t="s">
        <v>30</v>
      </c>
      <c r="N14" s="4">
        <v>0.9048611111111111</v>
      </c>
      <c r="O14" s="1" t="s">
        <v>99</v>
      </c>
      <c r="P14" s="1">
        <f t="shared" si="1"/>
        <v>23</v>
      </c>
      <c r="Q14" s="1">
        <f t="shared" si="2"/>
        <v>75</v>
      </c>
      <c r="R14" s="5">
        <f t="shared" si="3"/>
        <v>75</v>
      </c>
      <c r="S14" s="5" t="s">
        <v>39</v>
      </c>
    </row>
    <row r="15">
      <c r="A15" s="1" t="s">
        <v>154</v>
      </c>
      <c r="B15" s="2">
        <v>14.0</v>
      </c>
      <c r="C15" s="1" t="s">
        <v>86</v>
      </c>
      <c r="D15" s="1" t="s">
        <v>28</v>
      </c>
      <c r="E15" s="4">
        <v>0.16041666666666668</v>
      </c>
      <c r="F15" s="1" t="s">
        <v>121</v>
      </c>
      <c r="G15" s="1" t="s">
        <v>30</v>
      </c>
      <c r="H15" s="4">
        <v>0.35694444444444445</v>
      </c>
      <c r="I15" s="1" t="s">
        <v>122</v>
      </c>
      <c r="J15" s="1" t="s">
        <v>28</v>
      </c>
      <c r="K15" s="4">
        <v>0.6340277777777777</v>
      </c>
      <c r="L15" s="1" t="s">
        <v>123</v>
      </c>
      <c r="M15" s="1" t="s">
        <v>30</v>
      </c>
      <c r="N15" s="4">
        <v>0.9409722222222222</v>
      </c>
      <c r="O15" s="1" t="s">
        <v>124</v>
      </c>
      <c r="P15" s="1">
        <f t="shared" si="1"/>
        <v>23</v>
      </c>
      <c r="Q15" s="1">
        <f t="shared" si="2"/>
        <v>92</v>
      </c>
      <c r="R15" s="5">
        <f t="shared" si="3"/>
        <v>92</v>
      </c>
      <c r="S15" s="5" t="s">
        <v>90</v>
      </c>
    </row>
    <row r="16">
      <c r="A16" s="1" t="s">
        <v>154</v>
      </c>
      <c r="B16" s="2">
        <v>15.0</v>
      </c>
      <c r="C16" s="1" t="s">
        <v>26</v>
      </c>
      <c r="D16" s="1" t="s">
        <v>28</v>
      </c>
      <c r="E16" s="4">
        <v>0.20069444444444445</v>
      </c>
      <c r="F16" s="1" t="s">
        <v>126</v>
      </c>
      <c r="G16" s="1" t="s">
        <v>30</v>
      </c>
      <c r="H16" s="4">
        <v>0.3993055555555556</v>
      </c>
      <c r="I16" s="1" t="s">
        <v>127</v>
      </c>
      <c r="J16" s="1" t="s">
        <v>28</v>
      </c>
      <c r="K16" s="4">
        <v>0.6694444444444444</v>
      </c>
      <c r="L16" s="1" t="s">
        <v>128</v>
      </c>
      <c r="M16" s="1" t="s">
        <v>30</v>
      </c>
      <c r="N16" s="4">
        <v>0.96875</v>
      </c>
      <c r="O16" s="1" t="s">
        <v>129</v>
      </c>
      <c r="P16" s="1">
        <f t="shared" si="1"/>
        <v>32</v>
      </c>
      <c r="Q16" s="1">
        <f t="shared" si="2"/>
        <v>109</v>
      </c>
      <c r="R16" s="5">
        <f t="shared" si="3"/>
        <v>109</v>
      </c>
      <c r="S16" s="5" t="s">
        <v>90</v>
      </c>
    </row>
    <row r="17">
      <c r="A17" s="1" t="s">
        <v>154</v>
      </c>
      <c r="B17" s="2">
        <v>16.0</v>
      </c>
      <c r="C17" s="1" t="s">
        <v>34</v>
      </c>
      <c r="D17" s="1" t="s">
        <v>28</v>
      </c>
      <c r="E17" s="4">
        <v>0.22847222222222222</v>
      </c>
      <c r="F17" s="1" t="s">
        <v>130</v>
      </c>
      <c r="G17" s="1" t="s">
        <v>30</v>
      </c>
      <c r="H17" s="4">
        <v>0.4340277777777778</v>
      </c>
      <c r="I17" s="1" t="s">
        <v>117</v>
      </c>
      <c r="J17" s="1" t="s">
        <v>28</v>
      </c>
      <c r="K17" s="4">
        <v>0.6993055555555555</v>
      </c>
      <c r="L17" s="1" t="s">
        <v>131</v>
      </c>
      <c r="M17" s="1" t="s">
        <v>30</v>
      </c>
      <c r="N17" s="4">
        <v>0.9930555555555556</v>
      </c>
      <c r="O17" s="1" t="s">
        <v>132</v>
      </c>
      <c r="P17" s="1">
        <f t="shared" si="1"/>
        <v>42</v>
      </c>
      <c r="Q17" s="1">
        <f t="shared" si="2"/>
        <v>126</v>
      </c>
      <c r="R17" s="5">
        <f t="shared" si="3"/>
        <v>126</v>
      </c>
      <c r="S17" s="5" t="s">
        <v>47</v>
      </c>
    </row>
    <row r="18">
      <c r="A18" s="1" t="s">
        <v>154</v>
      </c>
      <c r="B18" s="2">
        <v>17.0</v>
      </c>
      <c r="C18" s="1" t="s">
        <v>41</v>
      </c>
      <c r="D18" s="1" t="s">
        <v>28</v>
      </c>
      <c r="E18" s="4">
        <v>0.2520833333333333</v>
      </c>
      <c r="F18" s="1" t="s">
        <v>29</v>
      </c>
      <c r="G18" s="1" t="s">
        <v>30</v>
      </c>
      <c r="H18" s="4">
        <v>0.46319444444444446</v>
      </c>
      <c r="I18" s="1" t="s">
        <v>134</v>
      </c>
      <c r="J18" s="1" t="s">
        <v>28</v>
      </c>
      <c r="K18" s="4">
        <v>0.725</v>
      </c>
      <c r="L18" s="1" t="s">
        <v>135</v>
      </c>
      <c r="P18" s="1">
        <f t="shared" si="1"/>
        <v>53</v>
      </c>
      <c r="Q18" s="1">
        <f t="shared" si="2"/>
        <v>48</v>
      </c>
      <c r="R18" s="5">
        <f t="shared" si="3"/>
        <v>53</v>
      </c>
      <c r="S18" s="5" t="s">
        <v>39</v>
      </c>
    </row>
    <row r="19">
      <c r="A19" s="1" t="s">
        <v>154</v>
      </c>
      <c r="B19" s="2">
        <v>18.0</v>
      </c>
      <c r="C19" s="1" t="s">
        <v>55</v>
      </c>
      <c r="D19" s="1" t="s">
        <v>30</v>
      </c>
      <c r="E19" s="4">
        <v>0.01597222222222222</v>
      </c>
      <c r="F19" s="1" t="s">
        <v>144</v>
      </c>
      <c r="G19" s="1" t="s">
        <v>28</v>
      </c>
      <c r="H19" s="4">
        <v>0.27361111111111114</v>
      </c>
      <c r="I19" s="1" t="s">
        <v>145</v>
      </c>
      <c r="J19" s="1" t="s">
        <v>30</v>
      </c>
      <c r="K19" s="4">
        <v>0.4895833333333333</v>
      </c>
      <c r="L19" s="1" t="s">
        <v>146</v>
      </c>
      <c r="M19" s="1" t="s">
        <v>28</v>
      </c>
      <c r="N19" s="4">
        <v>0.75</v>
      </c>
      <c r="O19" s="1" t="s">
        <v>147</v>
      </c>
      <c r="P19" s="1">
        <f t="shared" si="1"/>
        <v>100</v>
      </c>
      <c r="Q19" s="1">
        <f t="shared" si="2"/>
        <v>111</v>
      </c>
      <c r="R19" s="5">
        <f t="shared" si="3"/>
        <v>111</v>
      </c>
      <c r="S19" s="5" t="s">
        <v>90</v>
      </c>
    </row>
    <row r="20">
      <c r="A20" s="1" t="s">
        <v>154</v>
      </c>
      <c r="B20" s="2">
        <v>19.0</v>
      </c>
      <c r="C20" s="1" t="s">
        <v>25</v>
      </c>
      <c r="D20" s="1" t="s">
        <v>30</v>
      </c>
      <c r="E20" s="4">
        <v>0.03819444444444445</v>
      </c>
      <c r="F20" s="1" t="s">
        <v>156</v>
      </c>
      <c r="G20" s="1" t="s">
        <v>28</v>
      </c>
      <c r="H20" s="4">
        <v>0.29444444444444445</v>
      </c>
      <c r="I20" s="1" t="s">
        <v>157</v>
      </c>
      <c r="J20" s="1" t="s">
        <v>30</v>
      </c>
      <c r="K20" s="4">
        <v>0.5152777777777777</v>
      </c>
      <c r="L20" s="1" t="s">
        <v>110</v>
      </c>
      <c r="M20" s="1" t="s">
        <v>28</v>
      </c>
      <c r="N20" s="4">
        <v>0.7736111111111111</v>
      </c>
      <c r="O20" s="1" t="s">
        <v>158</v>
      </c>
      <c r="P20" s="1">
        <f t="shared" si="1"/>
        <v>108</v>
      </c>
      <c r="Q20" s="1">
        <f t="shared" si="2"/>
        <v>122</v>
      </c>
      <c r="R20" s="5">
        <f t="shared" si="3"/>
        <v>122</v>
      </c>
      <c r="S20" s="5" t="s">
        <v>90</v>
      </c>
    </row>
    <row r="21">
      <c r="A21" s="1" t="s">
        <v>154</v>
      </c>
      <c r="B21" s="2">
        <v>20.0</v>
      </c>
      <c r="C21" s="1" t="s">
        <v>75</v>
      </c>
      <c r="D21" s="1" t="s">
        <v>30</v>
      </c>
      <c r="E21" s="4">
        <v>0.059722222222222225</v>
      </c>
      <c r="F21" s="1" t="s">
        <v>166</v>
      </c>
      <c r="G21" s="1" t="s">
        <v>28</v>
      </c>
      <c r="H21" s="4">
        <v>0.31527777777777777</v>
      </c>
      <c r="I21" s="1" t="s">
        <v>109</v>
      </c>
      <c r="J21" s="1" t="s">
        <v>30</v>
      </c>
      <c r="K21" s="4">
        <v>0.5409722222222222</v>
      </c>
      <c r="L21" s="1" t="s">
        <v>66</v>
      </c>
      <c r="M21" s="1" t="s">
        <v>28</v>
      </c>
      <c r="N21" s="4">
        <v>0.7979166666666667</v>
      </c>
      <c r="O21" s="1" t="s">
        <v>167</v>
      </c>
      <c r="P21" s="1">
        <f t="shared" si="1"/>
        <v>115</v>
      </c>
      <c r="Q21" s="1">
        <f t="shared" si="2"/>
        <v>128</v>
      </c>
      <c r="R21" s="5">
        <f t="shared" si="3"/>
        <v>128</v>
      </c>
      <c r="S21" s="5" t="s">
        <v>47</v>
      </c>
    </row>
    <row r="22">
      <c r="A22" s="1" t="s">
        <v>154</v>
      </c>
      <c r="B22" s="2">
        <v>21.0</v>
      </c>
      <c r="C22" s="1" t="s">
        <v>86</v>
      </c>
      <c r="D22" s="1" t="s">
        <v>30</v>
      </c>
      <c r="E22" s="4">
        <v>0.08125</v>
      </c>
      <c r="F22" s="1" t="s">
        <v>87</v>
      </c>
      <c r="G22" s="1" t="s">
        <v>28</v>
      </c>
      <c r="H22" s="4">
        <v>0.33541666666666664</v>
      </c>
      <c r="I22" s="1" t="s">
        <v>173</v>
      </c>
      <c r="J22" s="1" t="s">
        <v>30</v>
      </c>
      <c r="K22" s="4">
        <v>0.5673611111111111</v>
      </c>
      <c r="L22" s="1" t="s">
        <v>174</v>
      </c>
      <c r="M22" s="1" t="s">
        <v>28</v>
      </c>
      <c r="N22" s="4">
        <v>0.8222222222222222</v>
      </c>
      <c r="O22" s="1" t="s">
        <v>158</v>
      </c>
      <c r="P22" s="1">
        <f t="shared" si="1"/>
        <v>118</v>
      </c>
      <c r="Q22" s="1">
        <f t="shared" si="2"/>
        <v>129</v>
      </c>
      <c r="R22" s="5">
        <f t="shared" si="3"/>
        <v>129</v>
      </c>
      <c r="S22" s="5" t="s">
        <v>47</v>
      </c>
    </row>
    <row r="23">
      <c r="A23" s="1" t="s">
        <v>154</v>
      </c>
      <c r="B23" s="2">
        <v>22.0</v>
      </c>
      <c r="C23" s="1" t="s">
        <v>26</v>
      </c>
      <c r="D23" s="1" t="s">
        <v>30</v>
      </c>
      <c r="E23" s="4">
        <v>0.10208333333333333</v>
      </c>
      <c r="F23" s="1" t="s">
        <v>175</v>
      </c>
      <c r="G23" s="1" t="s">
        <v>28</v>
      </c>
      <c r="H23" s="4">
        <v>0.35694444444444445</v>
      </c>
      <c r="I23" s="1" t="s">
        <v>176</v>
      </c>
      <c r="J23" s="1" t="s">
        <v>30</v>
      </c>
      <c r="K23" s="4">
        <v>0.5951388888888889</v>
      </c>
      <c r="L23" s="1" t="s">
        <v>124</v>
      </c>
      <c r="M23" s="1" t="s">
        <v>28</v>
      </c>
      <c r="N23" s="4">
        <v>0.8479166666666667</v>
      </c>
      <c r="O23" s="1" t="s">
        <v>147</v>
      </c>
      <c r="P23" s="1">
        <f t="shared" si="1"/>
        <v>118</v>
      </c>
      <c r="Q23" s="1">
        <f t="shared" si="2"/>
        <v>124</v>
      </c>
      <c r="R23" s="5">
        <f t="shared" si="3"/>
        <v>124</v>
      </c>
      <c r="S23" s="5" t="s">
        <v>47</v>
      </c>
    </row>
    <row r="24">
      <c r="A24" s="1" t="s">
        <v>154</v>
      </c>
      <c r="B24" s="2">
        <v>23.0</v>
      </c>
      <c r="C24" s="1" t="s">
        <v>34</v>
      </c>
      <c r="D24" s="1" t="s">
        <v>30</v>
      </c>
      <c r="E24" s="4">
        <v>0.12361111111111112</v>
      </c>
      <c r="F24" s="1" t="s">
        <v>177</v>
      </c>
      <c r="G24" s="1" t="s">
        <v>28</v>
      </c>
      <c r="H24" s="4">
        <v>0.3798611111111111</v>
      </c>
      <c r="I24" s="1" t="s">
        <v>178</v>
      </c>
      <c r="J24" s="1" t="s">
        <v>30</v>
      </c>
      <c r="K24" s="4">
        <v>0.6243055555555556</v>
      </c>
      <c r="L24" s="1" t="s">
        <v>174</v>
      </c>
      <c r="M24" s="1" t="s">
        <v>28</v>
      </c>
      <c r="N24" s="4">
        <v>0.8756944444444444</v>
      </c>
      <c r="O24" s="1" t="s">
        <v>179</v>
      </c>
      <c r="P24" s="1">
        <f t="shared" si="1"/>
        <v>115</v>
      </c>
      <c r="Q24" s="1">
        <f t="shared" si="2"/>
        <v>113</v>
      </c>
      <c r="R24" s="5">
        <f t="shared" si="3"/>
        <v>115</v>
      </c>
      <c r="S24" s="5" t="s">
        <v>90</v>
      </c>
    </row>
    <row r="25">
      <c r="A25" s="1" t="s">
        <v>154</v>
      </c>
      <c r="B25" s="2">
        <v>24.0</v>
      </c>
      <c r="C25" s="1" t="s">
        <v>41</v>
      </c>
      <c r="D25" s="1" t="s">
        <v>30</v>
      </c>
      <c r="E25" s="4">
        <v>0.14583333333333334</v>
      </c>
      <c r="F25" s="1" t="s">
        <v>180</v>
      </c>
      <c r="G25" s="1" t="s">
        <v>28</v>
      </c>
      <c r="H25" s="4">
        <v>0.4041666666666667</v>
      </c>
      <c r="I25" s="1" t="s">
        <v>181</v>
      </c>
      <c r="J25" s="1" t="s">
        <v>30</v>
      </c>
      <c r="K25" s="4">
        <v>0.6576388888888889</v>
      </c>
      <c r="L25" s="1" t="s">
        <v>182</v>
      </c>
      <c r="M25" s="1" t="s">
        <v>28</v>
      </c>
      <c r="N25" s="4">
        <v>0.90625</v>
      </c>
      <c r="O25" s="1" t="s">
        <v>183</v>
      </c>
      <c r="P25" s="1">
        <f t="shared" si="1"/>
        <v>109</v>
      </c>
      <c r="Q25" s="1">
        <f t="shared" si="2"/>
        <v>98</v>
      </c>
      <c r="R25" s="5">
        <f t="shared" si="3"/>
        <v>109</v>
      </c>
      <c r="S25" s="5" t="s">
        <v>90</v>
      </c>
    </row>
    <row r="26">
      <c r="A26" s="1" t="s">
        <v>154</v>
      </c>
      <c r="B26" s="2">
        <v>25.0</v>
      </c>
      <c r="C26" s="1" t="s">
        <v>55</v>
      </c>
      <c r="D26" s="1" t="s">
        <v>30</v>
      </c>
      <c r="E26" s="4">
        <v>0.16875</v>
      </c>
      <c r="F26" s="1" t="s">
        <v>185</v>
      </c>
      <c r="G26" s="1" t="s">
        <v>28</v>
      </c>
      <c r="H26" s="4">
        <v>0.4326388888888889</v>
      </c>
      <c r="I26" s="1" t="s">
        <v>181</v>
      </c>
      <c r="J26" s="1" t="s">
        <v>30</v>
      </c>
      <c r="K26" s="4">
        <v>0.6965277777777777</v>
      </c>
      <c r="L26" s="1" t="s">
        <v>58</v>
      </c>
      <c r="M26" s="1" t="s">
        <v>28</v>
      </c>
      <c r="N26" s="4">
        <v>0.9423611111111111</v>
      </c>
      <c r="O26" s="1" t="s">
        <v>77</v>
      </c>
      <c r="P26" s="1">
        <f t="shared" si="1"/>
        <v>99</v>
      </c>
      <c r="Q26" s="1">
        <f t="shared" si="2"/>
        <v>79</v>
      </c>
      <c r="R26" s="5">
        <f t="shared" si="3"/>
        <v>99</v>
      </c>
      <c r="S26" s="5" t="s">
        <v>90</v>
      </c>
    </row>
    <row r="27">
      <c r="A27" s="1" t="s">
        <v>154</v>
      </c>
      <c r="B27" s="2">
        <v>26.0</v>
      </c>
      <c r="C27" s="1" t="s">
        <v>25</v>
      </c>
      <c r="D27" s="1" t="s">
        <v>30</v>
      </c>
      <c r="E27" s="4">
        <v>0.19583333333333333</v>
      </c>
      <c r="F27" s="1" t="s">
        <v>186</v>
      </c>
      <c r="G27" s="1" t="s">
        <v>28</v>
      </c>
      <c r="H27" s="4">
        <v>0.4666666666666667</v>
      </c>
      <c r="I27" s="1" t="s">
        <v>181</v>
      </c>
      <c r="J27" s="1" t="s">
        <v>30</v>
      </c>
      <c r="K27" s="4">
        <v>0.7465277777777778</v>
      </c>
      <c r="L27" s="1" t="s">
        <v>186</v>
      </c>
      <c r="M27" s="1" t="s">
        <v>28</v>
      </c>
      <c r="N27" s="4">
        <v>0.9888888888888889</v>
      </c>
      <c r="O27" s="1" t="s">
        <v>187</v>
      </c>
      <c r="P27" s="1">
        <f t="shared" si="1"/>
        <v>88</v>
      </c>
      <c r="Q27" s="1">
        <f t="shared" si="2"/>
        <v>60</v>
      </c>
      <c r="R27" s="5">
        <f t="shared" si="3"/>
        <v>88</v>
      </c>
      <c r="S27" s="5" t="s">
        <v>39</v>
      </c>
    </row>
    <row r="28">
      <c r="A28" s="1" t="s">
        <v>154</v>
      </c>
      <c r="B28" s="2">
        <v>27.0</v>
      </c>
      <c r="C28" s="1" t="s">
        <v>75</v>
      </c>
      <c r="D28" s="1" t="s">
        <v>30</v>
      </c>
      <c r="E28" s="4">
        <v>0.2298611111111111</v>
      </c>
      <c r="F28" s="1" t="s">
        <v>118</v>
      </c>
      <c r="G28" s="1" t="s">
        <v>28</v>
      </c>
      <c r="H28" s="4">
        <v>0.5104166666666666</v>
      </c>
      <c r="I28" s="1" t="s">
        <v>189</v>
      </c>
      <c r="J28" s="1" t="s">
        <v>30</v>
      </c>
      <c r="K28" s="4">
        <v>0.8131944444444444</v>
      </c>
      <c r="L28" s="1" t="s">
        <v>88</v>
      </c>
      <c r="P28" s="1">
        <f t="shared" si="1"/>
        <v>76</v>
      </c>
      <c r="Q28" s="1">
        <f t="shared" si="2"/>
        <v>62</v>
      </c>
      <c r="R28" s="5">
        <f t="shared" si="3"/>
        <v>76</v>
      </c>
      <c r="S28" s="5" t="s">
        <v>39</v>
      </c>
    </row>
    <row r="29">
      <c r="A29" s="1" t="s">
        <v>154</v>
      </c>
      <c r="B29" s="2">
        <v>28.0</v>
      </c>
      <c r="C29" s="1" t="s">
        <v>86</v>
      </c>
      <c r="D29" s="1" t="s">
        <v>28</v>
      </c>
      <c r="E29" s="4">
        <v>0.06388888888888888</v>
      </c>
      <c r="F29" s="1" t="s">
        <v>116</v>
      </c>
      <c r="G29" s="1" t="s">
        <v>30</v>
      </c>
      <c r="H29" s="4">
        <v>0.27847222222222223</v>
      </c>
      <c r="I29" s="1" t="s">
        <v>127</v>
      </c>
      <c r="J29" s="1" t="s">
        <v>28</v>
      </c>
      <c r="K29" s="4">
        <v>0.5673611111111111</v>
      </c>
      <c r="L29" s="1" t="s">
        <v>190</v>
      </c>
      <c r="M29" s="1" t="s">
        <v>30</v>
      </c>
      <c r="N29" s="4">
        <v>0.8833333333333333</v>
      </c>
      <c r="O29" s="1" t="s">
        <v>185</v>
      </c>
      <c r="P29" s="1">
        <f t="shared" si="1"/>
        <v>29</v>
      </c>
      <c r="Q29" s="1">
        <f t="shared" si="2"/>
        <v>101</v>
      </c>
      <c r="R29" s="5">
        <f t="shared" si="3"/>
        <v>101</v>
      </c>
      <c r="S29" s="5" t="s">
        <v>90</v>
      </c>
    </row>
    <row r="30">
      <c r="A30" s="1" t="s">
        <v>154</v>
      </c>
      <c r="B30" s="2">
        <v>29.0</v>
      </c>
      <c r="C30" s="1" t="s">
        <v>26</v>
      </c>
      <c r="D30" s="1" t="s">
        <v>28</v>
      </c>
      <c r="E30" s="4">
        <v>0.14791666666666667</v>
      </c>
      <c r="F30" s="1" t="s">
        <v>116</v>
      </c>
      <c r="G30" s="1" t="s">
        <v>30</v>
      </c>
      <c r="H30" s="4">
        <v>0.34375</v>
      </c>
      <c r="I30" s="1" t="s">
        <v>191</v>
      </c>
      <c r="J30" s="1" t="s">
        <v>28</v>
      </c>
      <c r="K30" s="4">
        <v>0.6270833333333333</v>
      </c>
      <c r="L30" s="1" t="s">
        <v>192</v>
      </c>
      <c r="M30" s="1" t="s">
        <v>30</v>
      </c>
      <c r="N30" s="4">
        <v>0.9361111111111111</v>
      </c>
      <c r="O30" s="1" t="s">
        <v>98</v>
      </c>
      <c r="P30" s="1">
        <f t="shared" si="1"/>
        <v>25</v>
      </c>
      <c r="Q30" s="1">
        <f t="shared" si="2"/>
        <v>123</v>
      </c>
      <c r="R30" s="5">
        <f t="shared" si="3"/>
        <v>123</v>
      </c>
      <c r="S30" s="5" t="s">
        <v>90</v>
      </c>
    </row>
    <row r="31">
      <c r="A31" s="1" t="s">
        <v>154</v>
      </c>
      <c r="B31" s="2">
        <v>30.0</v>
      </c>
      <c r="C31" s="1" t="s">
        <v>34</v>
      </c>
      <c r="D31" s="1" t="s">
        <v>28</v>
      </c>
      <c r="E31" s="4">
        <v>0.2</v>
      </c>
      <c r="F31" s="1" t="s">
        <v>130</v>
      </c>
      <c r="G31" s="1" t="s">
        <v>30</v>
      </c>
      <c r="H31" s="4">
        <v>0.4027777777777778</v>
      </c>
      <c r="I31" s="1" t="s">
        <v>127</v>
      </c>
      <c r="J31" s="1" t="s">
        <v>28</v>
      </c>
      <c r="K31" s="4">
        <v>0.675</v>
      </c>
      <c r="L31" s="1" t="s">
        <v>195</v>
      </c>
      <c r="M31" s="1" t="s">
        <v>30</v>
      </c>
      <c r="N31" s="4">
        <v>0.9756944444444444</v>
      </c>
      <c r="O31" s="1" t="s">
        <v>87</v>
      </c>
      <c r="P31" s="1">
        <f t="shared" si="1"/>
        <v>38</v>
      </c>
      <c r="Q31" s="1">
        <f t="shared" si="2"/>
        <v>149</v>
      </c>
      <c r="R31" s="5">
        <f t="shared" si="3"/>
        <v>149</v>
      </c>
      <c r="S31" s="5" t="s">
        <v>47</v>
      </c>
    </row>
    <row r="32">
      <c r="A32" s="1" t="s">
        <v>154</v>
      </c>
      <c r="B32" s="2">
        <v>31.0</v>
      </c>
      <c r="C32" s="1" t="s">
        <v>41</v>
      </c>
      <c r="D32" s="1" t="s">
        <v>28</v>
      </c>
      <c r="E32" s="4">
        <v>0.23402777777777778</v>
      </c>
      <c r="F32" s="1" t="s">
        <v>36</v>
      </c>
      <c r="G32" s="1" t="s">
        <v>30</v>
      </c>
      <c r="H32" s="4">
        <v>0.4479166666666667</v>
      </c>
      <c r="I32" s="1" t="s">
        <v>200</v>
      </c>
      <c r="J32" s="1" t="s">
        <v>28</v>
      </c>
      <c r="K32" s="4">
        <v>0.7131944444444445</v>
      </c>
      <c r="L32" s="1" t="s">
        <v>38</v>
      </c>
      <c r="P32" s="1">
        <f t="shared" si="1"/>
        <v>55</v>
      </c>
      <c r="Q32" s="1">
        <f t="shared" si="2"/>
        <v>65</v>
      </c>
      <c r="R32" s="5">
        <f t="shared" si="3"/>
        <v>65</v>
      </c>
      <c r="S32" s="5" t="s">
        <v>39</v>
      </c>
    </row>
    <row r="33">
      <c r="A33" s="1" t="s">
        <v>258</v>
      </c>
      <c r="B33" s="2">
        <v>1.0</v>
      </c>
      <c r="C33" s="1" t="s">
        <v>55</v>
      </c>
      <c r="D33" s="1" t="s">
        <v>30</v>
      </c>
      <c r="E33" s="4">
        <v>0.007638888888888889</v>
      </c>
      <c r="F33" s="1" t="s">
        <v>33</v>
      </c>
      <c r="G33" s="1" t="s">
        <v>28</v>
      </c>
      <c r="H33" s="4">
        <v>0.2625</v>
      </c>
      <c r="I33" s="1" t="s">
        <v>77</v>
      </c>
      <c r="J33" s="1" t="s">
        <v>30</v>
      </c>
      <c r="K33" s="4">
        <v>0.4840277777777778</v>
      </c>
      <c r="L33" s="1" t="s">
        <v>99</v>
      </c>
      <c r="M33" s="1" t="s">
        <v>28</v>
      </c>
      <c r="N33" s="4">
        <v>0.7465277777777778</v>
      </c>
      <c r="O33" s="1" t="s">
        <v>205</v>
      </c>
      <c r="P33" s="1">
        <f t="shared" si="1"/>
        <v>121</v>
      </c>
      <c r="Q33" s="1">
        <f t="shared" si="2"/>
        <v>131</v>
      </c>
      <c r="R33" s="5">
        <f t="shared" si="3"/>
        <v>131</v>
      </c>
      <c r="S33" s="5" t="s">
        <v>47</v>
      </c>
    </row>
    <row r="34">
      <c r="A34" s="1" t="s">
        <v>258</v>
      </c>
      <c r="B34" s="2">
        <v>2.0</v>
      </c>
      <c r="C34" s="1" t="s">
        <v>25</v>
      </c>
      <c r="D34" s="1" t="s">
        <v>30</v>
      </c>
      <c r="E34" s="4">
        <v>0.03611111111111111</v>
      </c>
      <c r="F34" s="1" t="s">
        <v>76</v>
      </c>
      <c r="G34" s="1" t="s">
        <v>28</v>
      </c>
      <c r="H34" s="4">
        <v>0.28680555555555554</v>
      </c>
      <c r="I34" s="1" t="s">
        <v>176</v>
      </c>
      <c r="J34" s="1" t="s">
        <v>30</v>
      </c>
      <c r="K34" s="4">
        <v>0.5152777777777777</v>
      </c>
      <c r="L34" s="1" t="s">
        <v>182</v>
      </c>
      <c r="M34" s="1" t="s">
        <v>28</v>
      </c>
      <c r="N34" s="4">
        <v>0.7763888888888889</v>
      </c>
      <c r="O34" s="1" t="s">
        <v>211</v>
      </c>
      <c r="P34" s="1">
        <f t="shared" si="1"/>
        <v>131</v>
      </c>
      <c r="Q34" s="1">
        <f t="shared" si="2"/>
        <v>142</v>
      </c>
      <c r="R34" s="5">
        <f t="shared" si="3"/>
        <v>142</v>
      </c>
      <c r="S34" s="5" t="s">
        <v>47</v>
      </c>
    </row>
    <row r="35">
      <c r="A35" s="1" t="s">
        <v>258</v>
      </c>
      <c r="B35" s="2">
        <v>3.0</v>
      </c>
      <c r="C35" s="1" t="s">
        <v>75</v>
      </c>
      <c r="D35" s="1" t="s">
        <v>30</v>
      </c>
      <c r="E35" s="4">
        <v>0.06041666666666667</v>
      </c>
      <c r="F35" s="1" t="s">
        <v>213</v>
      </c>
      <c r="G35" s="1" t="s">
        <v>28</v>
      </c>
      <c r="H35" s="4">
        <v>0.30972222222222223</v>
      </c>
      <c r="I35" s="1" t="s">
        <v>214</v>
      </c>
      <c r="J35" s="1" t="s">
        <v>30</v>
      </c>
      <c r="K35" s="4">
        <v>0.5444444444444444</v>
      </c>
      <c r="L35" s="1" t="s">
        <v>185</v>
      </c>
      <c r="M35" s="1" t="s">
        <v>28</v>
      </c>
      <c r="N35" s="4">
        <v>0.8034722222222223</v>
      </c>
      <c r="O35" s="1" t="s">
        <v>205</v>
      </c>
      <c r="P35" s="1">
        <f t="shared" si="1"/>
        <v>133</v>
      </c>
      <c r="Q35" s="1">
        <f t="shared" si="2"/>
        <v>144</v>
      </c>
      <c r="R35" s="5">
        <f t="shared" si="3"/>
        <v>144</v>
      </c>
      <c r="S35" s="5" t="s">
        <v>47</v>
      </c>
    </row>
    <row r="36">
      <c r="A36" s="1" t="s">
        <v>258</v>
      </c>
      <c r="B36" s="2">
        <v>4.0</v>
      </c>
      <c r="C36" s="1" t="s">
        <v>86</v>
      </c>
      <c r="D36" s="1" t="s">
        <v>30</v>
      </c>
      <c r="E36" s="4">
        <v>0.08263888888888889</v>
      </c>
      <c r="F36" s="1" t="s">
        <v>87</v>
      </c>
      <c r="G36" s="1" t="s">
        <v>28</v>
      </c>
      <c r="H36" s="4">
        <v>0.33125</v>
      </c>
      <c r="I36" s="1" t="s">
        <v>100</v>
      </c>
      <c r="J36" s="1" t="s">
        <v>30</v>
      </c>
      <c r="K36" s="4">
        <v>0.5715277777777777</v>
      </c>
      <c r="L36" s="1" t="s">
        <v>215</v>
      </c>
      <c r="M36" s="1" t="s">
        <v>28</v>
      </c>
      <c r="N36" s="4">
        <v>0.8291666666666667</v>
      </c>
      <c r="O36" s="1" t="s">
        <v>216</v>
      </c>
      <c r="P36" s="1">
        <f t="shared" si="1"/>
        <v>130</v>
      </c>
      <c r="Q36" s="1">
        <f t="shared" si="2"/>
        <v>137</v>
      </c>
      <c r="R36" s="5">
        <f t="shared" si="3"/>
        <v>137</v>
      </c>
      <c r="S36" s="5" t="s">
        <v>47</v>
      </c>
    </row>
    <row r="37">
      <c r="A37" s="1" t="s">
        <v>258</v>
      </c>
      <c r="B37" s="2">
        <v>5.0</v>
      </c>
      <c r="C37" s="1" t="s">
        <v>26</v>
      </c>
      <c r="D37" s="1" t="s">
        <v>30</v>
      </c>
      <c r="E37" s="4">
        <v>0.10208333333333333</v>
      </c>
      <c r="F37" s="1" t="s">
        <v>217</v>
      </c>
      <c r="G37" s="1" t="s">
        <v>28</v>
      </c>
      <c r="H37" s="4">
        <v>0.35138888888888886</v>
      </c>
      <c r="I37" s="1" t="s">
        <v>218</v>
      </c>
      <c r="J37" s="1" t="s">
        <v>30</v>
      </c>
      <c r="K37" s="4">
        <v>0.5979166666666667</v>
      </c>
      <c r="L37" s="1" t="s">
        <v>185</v>
      </c>
      <c r="M37" s="1" t="s">
        <v>28</v>
      </c>
      <c r="N37" s="4">
        <v>0.8527777777777777</v>
      </c>
      <c r="O37" s="1" t="s">
        <v>195</v>
      </c>
      <c r="P37" s="1">
        <f t="shared" si="1"/>
        <v>122</v>
      </c>
      <c r="Q37" s="1">
        <f t="shared" si="2"/>
        <v>123</v>
      </c>
      <c r="R37" s="5">
        <f t="shared" si="3"/>
        <v>123</v>
      </c>
      <c r="S37" s="5" t="s">
        <v>90</v>
      </c>
    </row>
    <row r="38">
      <c r="A38" s="1" t="s">
        <v>258</v>
      </c>
      <c r="B38" s="2">
        <v>6.0</v>
      </c>
      <c r="C38" s="1" t="s">
        <v>34</v>
      </c>
      <c r="D38" s="1" t="s">
        <v>30</v>
      </c>
      <c r="E38" s="4">
        <v>0.11944444444444445</v>
      </c>
      <c r="F38" s="1" t="s">
        <v>219</v>
      </c>
      <c r="G38" s="1" t="s">
        <v>28</v>
      </c>
      <c r="H38" s="4">
        <v>0.3715277777777778</v>
      </c>
      <c r="I38" s="1" t="s">
        <v>218</v>
      </c>
      <c r="J38" s="1" t="s">
        <v>30</v>
      </c>
      <c r="K38" s="4">
        <v>0.6236111111111111</v>
      </c>
      <c r="L38" s="1" t="s">
        <v>182</v>
      </c>
      <c r="M38" s="1" t="s">
        <v>28</v>
      </c>
      <c r="N38" s="4">
        <v>0.8763888888888889</v>
      </c>
      <c r="O38" s="1" t="s">
        <v>220</v>
      </c>
      <c r="P38" s="1">
        <f t="shared" si="1"/>
        <v>111</v>
      </c>
      <c r="Q38" s="1">
        <f t="shared" si="2"/>
        <v>103</v>
      </c>
      <c r="R38" s="5">
        <f t="shared" si="3"/>
        <v>111</v>
      </c>
      <c r="S38" s="5" t="s">
        <v>90</v>
      </c>
    </row>
    <row r="39">
      <c r="A39" s="1" t="s">
        <v>258</v>
      </c>
      <c r="B39" s="2">
        <v>7.0</v>
      </c>
      <c r="C39" s="1" t="s">
        <v>41</v>
      </c>
      <c r="D39" s="1" t="s">
        <v>30</v>
      </c>
      <c r="E39" s="4">
        <v>0.13680555555555557</v>
      </c>
      <c r="F39" s="1" t="s">
        <v>182</v>
      </c>
      <c r="G39" s="1" t="s">
        <v>28</v>
      </c>
      <c r="H39" s="4">
        <v>0.3923611111111111</v>
      </c>
      <c r="I39" s="1" t="s">
        <v>183</v>
      </c>
      <c r="J39" s="1" t="s">
        <v>30</v>
      </c>
      <c r="K39" s="4">
        <v>0.6513888888888889</v>
      </c>
      <c r="L39" s="1" t="s">
        <v>45</v>
      </c>
      <c r="M39" s="1" t="s">
        <v>28</v>
      </c>
      <c r="N39" s="4">
        <v>0.9</v>
      </c>
      <c r="O39" s="1" t="s">
        <v>173</v>
      </c>
      <c r="P39" s="1">
        <f t="shared" si="1"/>
        <v>98</v>
      </c>
      <c r="Q39" s="1">
        <f t="shared" si="2"/>
        <v>80</v>
      </c>
      <c r="R39" s="5">
        <f t="shared" si="3"/>
        <v>98</v>
      </c>
      <c r="S39" s="5" t="s">
        <v>90</v>
      </c>
    </row>
    <row r="40">
      <c r="A40" s="1" t="s">
        <v>258</v>
      </c>
      <c r="B40" s="2">
        <v>8.0</v>
      </c>
      <c r="C40" s="1" t="s">
        <v>55</v>
      </c>
      <c r="D40" s="1" t="s">
        <v>30</v>
      </c>
      <c r="E40" s="4">
        <v>0.15347222222222223</v>
      </c>
      <c r="F40" s="1" t="s">
        <v>146</v>
      </c>
      <c r="G40" s="1" t="s">
        <v>28</v>
      </c>
      <c r="H40" s="4">
        <v>0.41458333333333336</v>
      </c>
      <c r="I40" s="1" t="s">
        <v>214</v>
      </c>
      <c r="J40" s="1" t="s">
        <v>30</v>
      </c>
      <c r="K40" s="4">
        <v>0.6840277777777778</v>
      </c>
      <c r="L40" s="1" t="s">
        <v>134</v>
      </c>
      <c r="M40" s="1" t="s">
        <v>28</v>
      </c>
      <c r="N40" s="4">
        <v>0.9256944444444445</v>
      </c>
      <c r="O40" s="1" t="s">
        <v>222</v>
      </c>
      <c r="P40" s="1">
        <f t="shared" si="1"/>
        <v>85</v>
      </c>
      <c r="Q40" s="1">
        <f t="shared" si="2"/>
        <v>56</v>
      </c>
      <c r="R40" s="5">
        <f t="shared" si="3"/>
        <v>85</v>
      </c>
      <c r="S40" s="5" t="s">
        <v>39</v>
      </c>
    </row>
    <row r="41">
      <c r="A41" s="1" t="s">
        <v>258</v>
      </c>
      <c r="B41" s="2">
        <v>9.0</v>
      </c>
      <c r="C41" s="1" t="s">
        <v>25</v>
      </c>
      <c r="D41" s="1" t="s">
        <v>30</v>
      </c>
      <c r="E41" s="4">
        <v>0.17222222222222222</v>
      </c>
      <c r="F41" s="1" t="s">
        <v>223</v>
      </c>
      <c r="G41" s="1" t="s">
        <v>28</v>
      </c>
      <c r="H41" s="4">
        <v>0.44166666666666665</v>
      </c>
      <c r="I41" s="1" t="s">
        <v>176</v>
      </c>
      <c r="J41" s="1" t="s">
        <v>30</v>
      </c>
      <c r="K41" s="4">
        <v>0.7277777777777777</v>
      </c>
      <c r="L41" s="1" t="s">
        <v>224</v>
      </c>
      <c r="M41" s="1" t="s">
        <v>28</v>
      </c>
      <c r="N41" s="4">
        <v>0.9631944444444445</v>
      </c>
      <c r="O41" s="1" t="s">
        <v>225</v>
      </c>
      <c r="P41" s="1">
        <f t="shared" si="1"/>
        <v>70</v>
      </c>
      <c r="Q41" s="1">
        <f t="shared" si="2"/>
        <v>34</v>
      </c>
      <c r="R41" s="5">
        <f t="shared" si="3"/>
        <v>70</v>
      </c>
      <c r="S41" s="5" t="s">
        <v>39</v>
      </c>
    </row>
    <row r="42">
      <c r="A42" s="1" t="s">
        <v>258</v>
      </c>
      <c r="B42" s="2">
        <v>10.0</v>
      </c>
      <c r="C42" s="1" t="s">
        <v>75</v>
      </c>
      <c r="D42" s="1" t="s">
        <v>30</v>
      </c>
      <c r="E42" s="4">
        <v>0.19652777777777777</v>
      </c>
      <c r="F42" s="1" t="s">
        <v>191</v>
      </c>
      <c r="G42" s="1" t="s">
        <v>28</v>
      </c>
      <c r="H42" s="4">
        <v>0.4798611111111111</v>
      </c>
      <c r="I42" s="1" t="s">
        <v>230</v>
      </c>
      <c r="J42" s="1" t="s">
        <v>30</v>
      </c>
      <c r="K42" s="4">
        <v>0.8</v>
      </c>
      <c r="L42" s="1" t="s">
        <v>120</v>
      </c>
      <c r="P42" s="1">
        <f t="shared" si="1"/>
        <v>55</v>
      </c>
      <c r="Q42" s="1">
        <f t="shared" si="2"/>
        <v>39</v>
      </c>
      <c r="R42" s="5">
        <f t="shared" si="3"/>
        <v>55</v>
      </c>
      <c r="S42" s="5" t="s">
        <v>39</v>
      </c>
    </row>
    <row r="43">
      <c r="A43" s="1" t="s">
        <v>258</v>
      </c>
      <c r="B43" s="2">
        <v>11.0</v>
      </c>
      <c r="C43" s="1" t="s">
        <v>86</v>
      </c>
      <c r="D43" s="1" t="s">
        <v>28</v>
      </c>
      <c r="E43" s="4">
        <v>0.059027777777777776</v>
      </c>
      <c r="F43" s="1" t="s">
        <v>235</v>
      </c>
      <c r="G43" s="1" t="s">
        <v>30</v>
      </c>
      <c r="H43" s="4">
        <v>0.24027777777777778</v>
      </c>
      <c r="I43" s="1" t="s">
        <v>236</v>
      </c>
      <c r="J43" s="1" t="s">
        <v>28</v>
      </c>
      <c r="K43" s="4">
        <v>0.5395833333333333</v>
      </c>
      <c r="L43" s="1" t="s">
        <v>77</v>
      </c>
      <c r="M43" s="1" t="s">
        <v>30</v>
      </c>
      <c r="N43" s="4">
        <v>0.8868055555555555</v>
      </c>
      <c r="O43" s="1" t="s">
        <v>115</v>
      </c>
      <c r="P43" s="1">
        <f t="shared" si="1"/>
        <v>9</v>
      </c>
      <c r="Q43" s="1">
        <f t="shared" si="2"/>
        <v>61</v>
      </c>
      <c r="R43" s="5">
        <f t="shared" si="3"/>
        <v>61</v>
      </c>
      <c r="S43" s="5" t="s">
        <v>39</v>
      </c>
    </row>
    <row r="44">
      <c r="A44" s="1" t="s">
        <v>258</v>
      </c>
      <c r="B44" s="2">
        <v>12.0</v>
      </c>
      <c r="C44" s="1" t="s">
        <v>26</v>
      </c>
      <c r="D44" s="1" t="s">
        <v>28</v>
      </c>
      <c r="E44" s="4">
        <v>0.15763888888888888</v>
      </c>
      <c r="F44" s="1" t="s">
        <v>121</v>
      </c>
      <c r="G44" s="1" t="s">
        <v>30</v>
      </c>
      <c r="H44" s="4">
        <v>0.31875</v>
      </c>
      <c r="I44" s="1" t="s">
        <v>241</v>
      </c>
      <c r="J44" s="1" t="s">
        <v>28</v>
      </c>
      <c r="K44" s="4">
        <v>0.6083333333333333</v>
      </c>
      <c r="L44" s="1" t="s">
        <v>173</v>
      </c>
      <c r="M44" s="1" t="s">
        <v>30</v>
      </c>
      <c r="N44" s="4">
        <v>0.9319444444444445</v>
      </c>
      <c r="O44" s="1" t="s">
        <v>37</v>
      </c>
      <c r="P44" s="1">
        <f t="shared" si="1"/>
        <v>9</v>
      </c>
      <c r="Q44" s="1">
        <f t="shared" si="2"/>
        <v>76</v>
      </c>
      <c r="R44" s="5">
        <f t="shared" si="3"/>
        <v>76</v>
      </c>
      <c r="S44" s="5" t="s">
        <v>39</v>
      </c>
    </row>
    <row r="45">
      <c r="A45" s="1" t="s">
        <v>258</v>
      </c>
      <c r="B45" s="2">
        <v>13.0</v>
      </c>
      <c r="C45" s="1" t="s">
        <v>34</v>
      </c>
      <c r="D45" s="1" t="s">
        <v>28</v>
      </c>
      <c r="E45" s="4">
        <v>0.19652777777777777</v>
      </c>
      <c r="F45" s="1" t="s">
        <v>247</v>
      </c>
      <c r="G45" s="1" t="s">
        <v>30</v>
      </c>
      <c r="H45" s="4">
        <v>0.38333333333333336</v>
      </c>
      <c r="I45" s="1" t="s">
        <v>248</v>
      </c>
      <c r="J45" s="1" t="s">
        <v>28</v>
      </c>
      <c r="K45" s="4">
        <v>0.6555555555555556</v>
      </c>
      <c r="L45" s="1" t="s">
        <v>128</v>
      </c>
      <c r="M45" s="1" t="s">
        <v>30</v>
      </c>
      <c r="N45" s="4">
        <v>0.9604166666666667</v>
      </c>
      <c r="O45" s="1" t="s">
        <v>66</v>
      </c>
      <c r="P45" s="1">
        <f t="shared" si="1"/>
        <v>21</v>
      </c>
      <c r="Q45" s="1">
        <f t="shared" si="2"/>
        <v>96</v>
      </c>
      <c r="R45" s="5">
        <f t="shared" si="3"/>
        <v>96</v>
      </c>
      <c r="S45" s="5" t="s">
        <v>90</v>
      </c>
    </row>
    <row r="46">
      <c r="A46" s="1" t="s">
        <v>258</v>
      </c>
      <c r="B46" s="2">
        <v>14.0</v>
      </c>
      <c r="C46" s="1" t="s">
        <v>41</v>
      </c>
      <c r="D46" s="1" t="s">
        <v>28</v>
      </c>
      <c r="E46" s="4">
        <v>0.21944444444444444</v>
      </c>
      <c r="F46" s="1" t="s">
        <v>249</v>
      </c>
      <c r="G46" s="1" t="s">
        <v>30</v>
      </c>
      <c r="H46" s="4">
        <v>0.425</v>
      </c>
      <c r="I46" s="1" t="s">
        <v>250</v>
      </c>
      <c r="J46" s="1" t="s">
        <v>28</v>
      </c>
      <c r="K46" s="4">
        <v>0.6881944444444444</v>
      </c>
      <c r="L46" s="1" t="s">
        <v>251</v>
      </c>
      <c r="M46" s="1" t="s">
        <v>30</v>
      </c>
      <c r="N46" s="4">
        <v>0.9833333333333333</v>
      </c>
      <c r="O46" s="1" t="s">
        <v>252</v>
      </c>
      <c r="P46" s="1">
        <f t="shared" si="1"/>
        <v>37</v>
      </c>
      <c r="Q46" s="1">
        <f t="shared" si="2"/>
        <v>117</v>
      </c>
      <c r="R46" s="5">
        <f t="shared" si="3"/>
        <v>117</v>
      </c>
      <c r="S46" s="5" t="s">
        <v>90</v>
      </c>
    </row>
    <row r="47">
      <c r="A47" s="1" t="s">
        <v>258</v>
      </c>
      <c r="B47" s="2">
        <v>15.0</v>
      </c>
      <c r="C47" s="1" t="s">
        <v>55</v>
      </c>
      <c r="D47" s="1" t="s">
        <v>28</v>
      </c>
      <c r="E47" s="4">
        <v>0.23819444444444443</v>
      </c>
      <c r="F47" s="1" t="s">
        <v>57</v>
      </c>
      <c r="G47" s="1" t="s">
        <v>30</v>
      </c>
      <c r="H47" s="4">
        <v>0.45625</v>
      </c>
      <c r="I47" s="1" t="s">
        <v>224</v>
      </c>
      <c r="J47" s="1" t="s">
        <v>28</v>
      </c>
      <c r="K47" s="4">
        <v>0.7152777777777778</v>
      </c>
      <c r="L47" s="1" t="s">
        <v>32</v>
      </c>
      <c r="P47" s="1">
        <f t="shared" si="1"/>
        <v>56</v>
      </c>
      <c r="Q47" s="1">
        <f t="shared" si="2"/>
        <v>54</v>
      </c>
      <c r="R47" s="5">
        <f t="shared" si="3"/>
        <v>56</v>
      </c>
      <c r="S47" s="5" t="s">
        <v>39</v>
      </c>
    </row>
    <row r="48">
      <c r="A48" s="1" t="s">
        <v>258</v>
      </c>
      <c r="B48" s="2">
        <v>16.0</v>
      </c>
      <c r="C48" s="1" t="s">
        <v>25</v>
      </c>
      <c r="D48" s="1" t="s">
        <v>30</v>
      </c>
      <c r="E48" s="4">
        <v>0.003472222222222222</v>
      </c>
      <c r="F48" s="1" t="s">
        <v>255</v>
      </c>
      <c r="G48" s="1" t="s">
        <v>28</v>
      </c>
      <c r="H48" s="4">
        <v>0.2569444444444444</v>
      </c>
      <c r="I48" s="1" t="s">
        <v>256</v>
      </c>
      <c r="J48" s="1" t="s">
        <v>30</v>
      </c>
      <c r="K48" s="4">
        <v>0.4826388888888889</v>
      </c>
      <c r="L48" s="1" t="s">
        <v>257</v>
      </c>
      <c r="M48" s="1" t="s">
        <v>28</v>
      </c>
      <c r="N48" s="4">
        <v>0.7395833333333334</v>
      </c>
      <c r="O48" s="1" t="s">
        <v>216</v>
      </c>
      <c r="P48" s="1">
        <f t="shared" si="1"/>
        <v>104</v>
      </c>
      <c r="Q48" s="1">
        <f t="shared" si="2"/>
        <v>117</v>
      </c>
      <c r="R48" s="5">
        <f t="shared" si="3"/>
        <v>117</v>
      </c>
      <c r="S48" s="5" t="s">
        <v>90</v>
      </c>
    </row>
    <row r="49">
      <c r="A49" s="1" t="s">
        <v>258</v>
      </c>
      <c r="B49" s="2">
        <v>17.0</v>
      </c>
      <c r="C49" s="1" t="s">
        <v>75</v>
      </c>
      <c r="D49" s="1" t="s">
        <v>30</v>
      </c>
      <c r="E49" s="4">
        <v>0.02361111111111111</v>
      </c>
      <c r="F49" s="1" t="s">
        <v>260</v>
      </c>
      <c r="G49" s="1" t="s">
        <v>28</v>
      </c>
      <c r="H49" s="4">
        <v>0.275</v>
      </c>
      <c r="I49" s="1" t="s">
        <v>128</v>
      </c>
      <c r="J49" s="1" t="s">
        <v>30</v>
      </c>
      <c r="K49" s="4">
        <v>0.5076388888888889</v>
      </c>
      <c r="L49" s="1" t="s">
        <v>58</v>
      </c>
      <c r="M49" s="1" t="s">
        <v>28</v>
      </c>
      <c r="N49" s="4">
        <v>0.7638888888888888</v>
      </c>
      <c r="O49" s="1" t="s">
        <v>67</v>
      </c>
      <c r="P49" s="1">
        <f t="shared" si="1"/>
        <v>118</v>
      </c>
      <c r="Q49" s="1">
        <f t="shared" si="2"/>
        <v>134</v>
      </c>
      <c r="R49" s="5">
        <f t="shared" si="3"/>
        <v>134</v>
      </c>
      <c r="S49" s="5" t="s">
        <v>47</v>
      </c>
    </row>
    <row r="50">
      <c r="A50" s="1" t="s">
        <v>258</v>
      </c>
      <c r="B50" s="2">
        <v>18.0</v>
      </c>
      <c r="C50" s="1" t="s">
        <v>86</v>
      </c>
      <c r="D50" s="1" t="s">
        <v>30</v>
      </c>
      <c r="E50" s="4">
        <v>0.04236111111111111</v>
      </c>
      <c r="F50" s="1" t="s">
        <v>261</v>
      </c>
      <c r="G50" s="1" t="s">
        <v>28</v>
      </c>
      <c r="H50" s="4">
        <v>0.29375</v>
      </c>
      <c r="I50" s="1" t="s">
        <v>262</v>
      </c>
      <c r="J50" s="1" t="s">
        <v>30</v>
      </c>
      <c r="K50" s="4">
        <v>0.5333333333333333</v>
      </c>
      <c r="L50" s="1" t="s">
        <v>185</v>
      </c>
      <c r="M50" s="1" t="s">
        <v>28</v>
      </c>
      <c r="N50" s="4">
        <v>0.7875</v>
      </c>
      <c r="O50" s="1" t="s">
        <v>59</v>
      </c>
      <c r="P50" s="1">
        <f t="shared" si="1"/>
        <v>128</v>
      </c>
      <c r="Q50" s="1">
        <f t="shared" si="2"/>
        <v>145</v>
      </c>
      <c r="R50" s="5">
        <f t="shared" si="3"/>
        <v>145</v>
      </c>
      <c r="S50" s="5" t="s">
        <v>47</v>
      </c>
    </row>
    <row r="51">
      <c r="A51" s="1" t="s">
        <v>258</v>
      </c>
      <c r="B51" s="2">
        <v>19.0</v>
      </c>
      <c r="C51" s="1" t="s">
        <v>26</v>
      </c>
      <c r="D51" s="1" t="s">
        <v>30</v>
      </c>
      <c r="E51" s="4">
        <v>0.06180555555555556</v>
      </c>
      <c r="F51" s="1" t="s">
        <v>261</v>
      </c>
      <c r="G51" s="1" t="s">
        <v>28</v>
      </c>
      <c r="H51" s="4">
        <v>0.3125</v>
      </c>
      <c r="I51" s="1" t="s">
        <v>179</v>
      </c>
      <c r="J51" s="1" t="s">
        <v>30</v>
      </c>
      <c r="K51" s="4">
        <v>0.5583333333333333</v>
      </c>
      <c r="L51" s="1" t="s">
        <v>219</v>
      </c>
      <c r="M51" s="1" t="s">
        <v>28</v>
      </c>
      <c r="N51" s="4">
        <v>0.8118055555555556</v>
      </c>
      <c r="O51" s="1" t="s">
        <v>67</v>
      </c>
      <c r="P51" s="1">
        <f t="shared" si="1"/>
        <v>135</v>
      </c>
      <c r="Q51" s="1">
        <f t="shared" si="2"/>
        <v>148</v>
      </c>
      <c r="R51" s="5">
        <f t="shared" si="3"/>
        <v>148</v>
      </c>
      <c r="S51" s="5" t="s">
        <v>47</v>
      </c>
    </row>
    <row r="52">
      <c r="A52" s="1" t="s">
        <v>258</v>
      </c>
      <c r="B52" s="2">
        <v>20.0</v>
      </c>
      <c r="C52" s="1" t="s">
        <v>34</v>
      </c>
      <c r="D52" s="1" t="s">
        <v>30</v>
      </c>
      <c r="E52" s="4">
        <v>0.08055555555555556</v>
      </c>
      <c r="F52" s="1" t="s">
        <v>260</v>
      </c>
      <c r="G52" s="1" t="s">
        <v>28</v>
      </c>
      <c r="H52" s="4">
        <v>0.33194444444444443</v>
      </c>
      <c r="I52" s="1" t="s">
        <v>265</v>
      </c>
      <c r="J52" s="1" t="s">
        <v>30</v>
      </c>
      <c r="K52" s="4">
        <v>0.5847222222222223</v>
      </c>
      <c r="L52" s="1" t="s">
        <v>180</v>
      </c>
      <c r="M52" s="1" t="s">
        <v>28</v>
      </c>
      <c r="N52" s="4">
        <v>0.8368055555555556</v>
      </c>
      <c r="O52" s="1" t="s">
        <v>167</v>
      </c>
      <c r="P52" s="1">
        <f t="shared" si="1"/>
        <v>137</v>
      </c>
      <c r="Q52" s="1">
        <f t="shared" si="2"/>
        <v>144</v>
      </c>
      <c r="R52" s="5">
        <f t="shared" si="3"/>
        <v>144</v>
      </c>
      <c r="S52" s="5" t="s">
        <v>47</v>
      </c>
    </row>
    <row r="53">
      <c r="A53" s="1" t="s">
        <v>258</v>
      </c>
      <c r="B53" s="2">
        <v>21.0</v>
      </c>
      <c r="C53" s="1" t="s">
        <v>41</v>
      </c>
      <c r="D53" s="1" t="s">
        <v>30</v>
      </c>
      <c r="E53" s="4">
        <v>0.09930555555555555</v>
      </c>
      <c r="F53" s="1" t="s">
        <v>266</v>
      </c>
      <c r="G53" s="1" t="s">
        <v>28</v>
      </c>
      <c r="H53" s="4">
        <v>0.3527777777777778</v>
      </c>
      <c r="I53" s="1" t="s">
        <v>267</v>
      </c>
      <c r="J53" s="1" t="s">
        <v>30</v>
      </c>
      <c r="K53" s="4">
        <v>0.6125</v>
      </c>
      <c r="L53" s="1" t="s">
        <v>266</v>
      </c>
      <c r="M53" s="1" t="s">
        <v>28</v>
      </c>
      <c r="N53" s="4">
        <v>0.8631944444444445</v>
      </c>
      <c r="O53" s="1" t="s">
        <v>265</v>
      </c>
      <c r="P53" s="1">
        <f t="shared" si="1"/>
        <v>133</v>
      </c>
      <c r="Q53" s="1">
        <f t="shared" si="2"/>
        <v>130</v>
      </c>
      <c r="R53" s="5">
        <f t="shared" si="3"/>
        <v>133</v>
      </c>
      <c r="S53" s="5" t="s">
        <v>47</v>
      </c>
    </row>
    <row r="54">
      <c r="A54" s="1" t="s">
        <v>258</v>
      </c>
      <c r="B54" s="2">
        <v>22.0</v>
      </c>
      <c r="C54" s="1" t="s">
        <v>55</v>
      </c>
      <c r="D54" s="1" t="s">
        <v>30</v>
      </c>
      <c r="E54" s="4">
        <v>0.11875</v>
      </c>
      <c r="F54" s="1" t="s">
        <v>185</v>
      </c>
      <c r="G54" s="1" t="s">
        <v>28</v>
      </c>
      <c r="H54" s="4">
        <v>0.3763888888888889</v>
      </c>
      <c r="I54" s="1" t="s">
        <v>195</v>
      </c>
      <c r="J54" s="1" t="s">
        <v>30</v>
      </c>
      <c r="K54" s="4">
        <v>0.6430555555555556</v>
      </c>
      <c r="L54" s="1" t="s">
        <v>252</v>
      </c>
      <c r="M54" s="1" t="s">
        <v>28</v>
      </c>
      <c r="N54" s="4">
        <v>0.8923611111111112</v>
      </c>
      <c r="O54" s="1" t="s">
        <v>218</v>
      </c>
      <c r="P54" s="1">
        <f t="shared" si="1"/>
        <v>123</v>
      </c>
      <c r="Q54" s="1">
        <f t="shared" si="2"/>
        <v>109</v>
      </c>
      <c r="R54" s="5">
        <f t="shared" si="3"/>
        <v>123</v>
      </c>
      <c r="S54" s="5" t="s">
        <v>90</v>
      </c>
    </row>
    <row r="55">
      <c r="A55" s="1" t="s">
        <v>258</v>
      </c>
      <c r="B55" s="2">
        <v>23.0</v>
      </c>
      <c r="C55" s="1" t="s">
        <v>25</v>
      </c>
      <c r="D55" s="1" t="s">
        <v>30</v>
      </c>
      <c r="E55" s="4">
        <v>0.13958333333333334</v>
      </c>
      <c r="F55" s="1" t="s">
        <v>186</v>
      </c>
      <c r="G55" s="1" t="s">
        <v>28</v>
      </c>
      <c r="H55" s="4">
        <v>0.40208333333333335</v>
      </c>
      <c r="I55" s="1" t="s">
        <v>135</v>
      </c>
      <c r="J55" s="1" t="s">
        <v>30</v>
      </c>
      <c r="K55" s="4">
        <v>0.6798611111111111</v>
      </c>
      <c r="L55" s="1" t="s">
        <v>274</v>
      </c>
      <c r="M55" s="1" t="s">
        <v>28</v>
      </c>
      <c r="N55" s="4">
        <v>0.9256944444444445</v>
      </c>
      <c r="O55" s="1" t="s">
        <v>65</v>
      </c>
      <c r="P55" s="1">
        <f t="shared" si="1"/>
        <v>108</v>
      </c>
      <c r="Q55" s="1">
        <f t="shared" si="2"/>
        <v>82</v>
      </c>
      <c r="R55" s="5">
        <f t="shared" si="3"/>
        <v>108</v>
      </c>
      <c r="S55" s="5" t="s">
        <v>90</v>
      </c>
    </row>
    <row r="56">
      <c r="A56" s="1" t="s">
        <v>258</v>
      </c>
      <c r="B56" s="2">
        <v>24.0</v>
      </c>
      <c r="C56" s="1" t="s">
        <v>75</v>
      </c>
      <c r="D56" s="1" t="s">
        <v>30</v>
      </c>
      <c r="E56" s="4">
        <v>0.16180555555555556</v>
      </c>
      <c r="F56" s="1" t="s">
        <v>200</v>
      </c>
      <c r="G56" s="1" t="s">
        <v>28</v>
      </c>
      <c r="H56" s="4">
        <v>0.43472222222222223</v>
      </c>
      <c r="I56" s="1" t="s">
        <v>251</v>
      </c>
      <c r="J56" s="1" t="s">
        <v>30</v>
      </c>
      <c r="K56" s="4">
        <v>0.7298611111111111</v>
      </c>
      <c r="L56" s="1" t="s">
        <v>277</v>
      </c>
      <c r="M56" s="1" t="s">
        <v>28</v>
      </c>
      <c r="N56" s="4">
        <v>0.975</v>
      </c>
      <c r="O56" s="1" t="s">
        <v>278</v>
      </c>
      <c r="P56" s="1">
        <f t="shared" si="1"/>
        <v>90</v>
      </c>
      <c r="Q56" s="1">
        <f t="shared" si="2"/>
        <v>53</v>
      </c>
      <c r="R56" s="5">
        <f t="shared" si="3"/>
        <v>90</v>
      </c>
      <c r="S56" s="5" t="s">
        <v>39</v>
      </c>
    </row>
    <row r="57">
      <c r="A57" s="1" t="s">
        <v>258</v>
      </c>
      <c r="B57" s="2">
        <v>25.0</v>
      </c>
      <c r="C57" s="1" t="s">
        <v>86</v>
      </c>
      <c r="D57" s="1" t="s">
        <v>30</v>
      </c>
      <c r="E57" s="4">
        <v>0.1909722222222222</v>
      </c>
      <c r="F57" s="1" t="s">
        <v>286</v>
      </c>
      <c r="G57" s="1" t="s">
        <v>28</v>
      </c>
      <c r="H57" s="4">
        <v>0.48194444444444445</v>
      </c>
      <c r="I57" s="1" t="s">
        <v>218</v>
      </c>
      <c r="J57" s="1" t="s">
        <v>30</v>
      </c>
      <c r="K57" s="4">
        <v>0.8104166666666667</v>
      </c>
      <c r="L57" s="1" t="s">
        <v>257</v>
      </c>
      <c r="P57" s="1">
        <f t="shared" si="1"/>
        <v>69</v>
      </c>
      <c r="Q57" s="1">
        <f t="shared" si="2"/>
        <v>53</v>
      </c>
      <c r="R57" s="5">
        <f t="shared" si="3"/>
        <v>69</v>
      </c>
      <c r="S57" s="5" t="s">
        <v>39</v>
      </c>
    </row>
    <row r="58">
      <c r="A58" s="1" t="s">
        <v>258</v>
      </c>
      <c r="B58" s="2">
        <v>26.0</v>
      </c>
      <c r="C58" s="1" t="s">
        <v>26</v>
      </c>
      <c r="D58" s="1" t="s">
        <v>28</v>
      </c>
      <c r="E58" s="4">
        <v>0.08263888888888889</v>
      </c>
      <c r="F58" s="1" t="s">
        <v>290</v>
      </c>
      <c r="G58" s="1" t="s">
        <v>30</v>
      </c>
      <c r="H58" s="4">
        <v>0.24930555555555556</v>
      </c>
      <c r="I58" s="1" t="s">
        <v>241</v>
      </c>
      <c r="J58" s="1" t="s">
        <v>28</v>
      </c>
      <c r="K58" s="4">
        <v>0.5576388888888889</v>
      </c>
      <c r="L58" s="1" t="s">
        <v>183</v>
      </c>
      <c r="M58" s="1" t="s">
        <v>30</v>
      </c>
      <c r="N58" s="4">
        <v>0.8923611111111112</v>
      </c>
      <c r="O58" s="1" t="s">
        <v>88</v>
      </c>
      <c r="P58" s="1">
        <f t="shared" si="1"/>
        <v>10</v>
      </c>
      <c r="Q58" s="1">
        <f t="shared" si="2"/>
        <v>94</v>
      </c>
      <c r="R58" s="5">
        <f t="shared" si="3"/>
        <v>94</v>
      </c>
      <c r="S58" s="5" t="s">
        <v>90</v>
      </c>
    </row>
    <row r="59">
      <c r="A59" s="1" t="s">
        <v>258</v>
      </c>
      <c r="B59" s="2">
        <v>27.0</v>
      </c>
      <c r="C59" s="1" t="s">
        <v>34</v>
      </c>
      <c r="D59" s="1" t="s">
        <v>28</v>
      </c>
      <c r="E59" s="4">
        <v>0.16597222222222222</v>
      </c>
      <c r="F59" s="1" t="s">
        <v>278</v>
      </c>
      <c r="G59" s="1" t="s">
        <v>30</v>
      </c>
      <c r="H59" s="4">
        <v>0.34930555555555554</v>
      </c>
      <c r="I59" s="1" t="s">
        <v>291</v>
      </c>
      <c r="J59" s="1" t="s">
        <v>28</v>
      </c>
      <c r="K59" s="4">
        <v>0.6291666666666667</v>
      </c>
      <c r="L59" s="1" t="s">
        <v>292</v>
      </c>
      <c r="M59" s="1" t="s">
        <v>30</v>
      </c>
      <c r="N59" s="4">
        <v>0.9395833333333333</v>
      </c>
      <c r="O59" s="1" t="s">
        <v>293</v>
      </c>
      <c r="P59" s="1">
        <f t="shared" si="1"/>
        <v>18</v>
      </c>
      <c r="Q59" s="1">
        <f t="shared" si="2"/>
        <v>115</v>
      </c>
      <c r="R59" s="5">
        <f t="shared" si="3"/>
        <v>115</v>
      </c>
      <c r="S59" s="5" t="s">
        <v>90</v>
      </c>
    </row>
    <row r="60">
      <c r="A60" s="1" t="s">
        <v>258</v>
      </c>
      <c r="B60" s="2">
        <v>28.0</v>
      </c>
      <c r="C60" s="1" t="s">
        <v>41</v>
      </c>
      <c r="D60" s="1" t="s">
        <v>28</v>
      </c>
      <c r="E60" s="4">
        <v>0.2013888888888889</v>
      </c>
      <c r="F60" s="1" t="s">
        <v>145</v>
      </c>
      <c r="G60" s="1" t="s">
        <v>30</v>
      </c>
      <c r="H60" s="4">
        <v>0.41458333333333336</v>
      </c>
      <c r="I60" s="1" t="s">
        <v>295</v>
      </c>
      <c r="J60" s="1" t="s">
        <v>28</v>
      </c>
      <c r="K60" s="4">
        <v>0.6763888888888889</v>
      </c>
      <c r="L60" s="1" t="s">
        <v>147</v>
      </c>
      <c r="M60" s="1" t="s">
        <v>30</v>
      </c>
      <c r="N60" s="4">
        <v>0.9715277777777778</v>
      </c>
      <c r="O60" s="1" t="s">
        <v>98</v>
      </c>
      <c r="P60" s="1">
        <f t="shared" si="1"/>
        <v>40</v>
      </c>
      <c r="Q60" s="1">
        <f t="shared" si="2"/>
        <v>139</v>
      </c>
      <c r="R60" s="5">
        <f t="shared" si="3"/>
        <v>139</v>
      </c>
      <c r="S60" s="5" t="s">
        <v>47</v>
      </c>
    </row>
    <row r="61">
      <c r="A61" s="1" t="s">
        <v>345</v>
      </c>
      <c r="B61" s="2">
        <v>1.0</v>
      </c>
      <c r="C61" s="1" t="s">
        <v>55</v>
      </c>
      <c r="D61" s="1" t="s">
        <v>28</v>
      </c>
      <c r="E61" s="4">
        <v>0.22569444444444445</v>
      </c>
      <c r="F61" s="1" t="s">
        <v>296</v>
      </c>
      <c r="G61" s="1" t="s">
        <v>30</v>
      </c>
      <c r="H61" s="4">
        <v>0.45416666666666666</v>
      </c>
      <c r="I61" s="1" t="s">
        <v>223</v>
      </c>
      <c r="J61" s="1" t="s">
        <v>28</v>
      </c>
      <c r="K61" s="4">
        <v>0.7111111111111111</v>
      </c>
      <c r="L61" s="1" t="s">
        <v>297</v>
      </c>
      <c r="M61" s="1" t="s">
        <v>30</v>
      </c>
      <c r="N61" s="4">
        <v>0.9979166666666667</v>
      </c>
      <c r="O61" s="1" t="s">
        <v>177</v>
      </c>
      <c r="P61" s="1">
        <f t="shared" si="1"/>
        <v>66</v>
      </c>
      <c r="Q61" s="1">
        <f t="shared" si="2"/>
        <v>156</v>
      </c>
      <c r="R61" s="5">
        <f t="shared" si="3"/>
        <v>156</v>
      </c>
      <c r="S61" s="5" t="s">
        <v>47</v>
      </c>
    </row>
    <row r="62">
      <c r="A62" s="1" t="s">
        <v>345</v>
      </c>
      <c r="B62" s="2">
        <v>2.0</v>
      </c>
      <c r="C62" s="1" t="s">
        <v>25</v>
      </c>
      <c r="D62" s="1" t="s">
        <v>28</v>
      </c>
      <c r="E62" s="4">
        <v>0.2465277777777778</v>
      </c>
      <c r="F62" s="1" t="s">
        <v>128</v>
      </c>
      <c r="G62" s="1" t="s">
        <v>30</v>
      </c>
      <c r="H62" s="4">
        <v>0.4840277777777778</v>
      </c>
      <c r="I62" s="1" t="s">
        <v>45</v>
      </c>
      <c r="J62" s="1" t="s">
        <v>28</v>
      </c>
      <c r="K62" s="4">
        <v>0.7402777777777778</v>
      </c>
      <c r="L62" s="1" t="s">
        <v>59</v>
      </c>
      <c r="P62" s="1">
        <f t="shared" si="1"/>
        <v>90</v>
      </c>
      <c r="Q62" s="1">
        <f t="shared" si="2"/>
        <v>74</v>
      </c>
      <c r="R62" s="5">
        <f t="shared" si="3"/>
        <v>90</v>
      </c>
      <c r="S62" s="5" t="s">
        <v>39</v>
      </c>
    </row>
    <row r="63">
      <c r="A63" s="1" t="s">
        <v>345</v>
      </c>
      <c r="B63" s="2">
        <v>3.0</v>
      </c>
      <c r="C63" s="1" t="s">
        <v>75</v>
      </c>
      <c r="D63" s="1" t="s">
        <v>30</v>
      </c>
      <c r="E63" s="4">
        <v>0.02013888888888889</v>
      </c>
      <c r="F63" s="1" t="s">
        <v>177</v>
      </c>
      <c r="G63" s="1" t="s">
        <v>28</v>
      </c>
      <c r="H63" s="4">
        <v>0.26666666666666666</v>
      </c>
      <c r="I63" s="1" t="s">
        <v>292</v>
      </c>
      <c r="J63" s="1" t="s">
        <v>30</v>
      </c>
      <c r="K63" s="4">
        <v>0.5104166666666666</v>
      </c>
      <c r="L63" s="1" t="s">
        <v>124</v>
      </c>
      <c r="M63" s="1" t="s">
        <v>28</v>
      </c>
      <c r="N63" s="4">
        <v>0.7666666666666667</v>
      </c>
      <c r="O63" s="1" t="s">
        <v>298</v>
      </c>
      <c r="P63" s="1">
        <f t="shared" si="1"/>
        <v>130</v>
      </c>
      <c r="Q63" s="1">
        <f t="shared" si="2"/>
        <v>144</v>
      </c>
      <c r="R63" s="5">
        <f t="shared" si="3"/>
        <v>144</v>
      </c>
      <c r="S63" s="5" t="s">
        <v>47</v>
      </c>
    </row>
    <row r="64">
      <c r="A64" s="1" t="s">
        <v>345</v>
      </c>
      <c r="B64" s="2">
        <v>4.0</v>
      </c>
      <c r="C64" s="1" t="s">
        <v>86</v>
      </c>
      <c r="D64" s="1" t="s">
        <v>30</v>
      </c>
      <c r="E64" s="4">
        <v>0.03958333333333333</v>
      </c>
      <c r="F64" s="1" t="s">
        <v>300</v>
      </c>
      <c r="G64" s="1" t="s">
        <v>28</v>
      </c>
      <c r="H64" s="4">
        <v>0.28541666666666665</v>
      </c>
      <c r="I64" s="1" t="s">
        <v>301</v>
      </c>
      <c r="J64" s="1" t="s">
        <v>30</v>
      </c>
      <c r="K64" s="4">
        <v>0.5347222222222222</v>
      </c>
      <c r="L64" s="1" t="s">
        <v>252</v>
      </c>
      <c r="M64" s="1" t="s">
        <v>28</v>
      </c>
      <c r="N64" s="4">
        <v>0.7909722222222222</v>
      </c>
      <c r="O64" s="1" t="s">
        <v>67</v>
      </c>
      <c r="P64" s="1">
        <f t="shared" si="1"/>
        <v>132</v>
      </c>
      <c r="Q64" s="1">
        <f t="shared" si="2"/>
        <v>146</v>
      </c>
      <c r="R64" s="5">
        <f t="shared" si="3"/>
        <v>146</v>
      </c>
      <c r="S64" s="5" t="s">
        <v>47</v>
      </c>
    </row>
    <row r="65">
      <c r="A65" s="1" t="s">
        <v>345</v>
      </c>
      <c r="B65" s="2">
        <v>5.0</v>
      </c>
      <c r="C65" s="1" t="s">
        <v>26</v>
      </c>
      <c r="D65" s="1" t="s">
        <v>30</v>
      </c>
      <c r="E65" s="4">
        <v>0.05625</v>
      </c>
      <c r="F65" s="1" t="s">
        <v>302</v>
      </c>
      <c r="G65" s="1" t="s">
        <v>28</v>
      </c>
      <c r="H65" s="4">
        <v>0.30416666666666664</v>
      </c>
      <c r="I65" s="1" t="s">
        <v>195</v>
      </c>
      <c r="J65" s="1" t="s">
        <v>30</v>
      </c>
      <c r="K65" s="4">
        <v>0.5583333333333333</v>
      </c>
      <c r="L65" s="1" t="s">
        <v>219</v>
      </c>
      <c r="M65" s="1" t="s">
        <v>28</v>
      </c>
      <c r="N65" s="4">
        <v>0.8138888888888889</v>
      </c>
      <c r="O65" s="1" t="s">
        <v>78</v>
      </c>
      <c r="P65" s="1">
        <f t="shared" si="1"/>
        <v>131</v>
      </c>
      <c r="Q65" s="1">
        <f t="shared" si="2"/>
        <v>139</v>
      </c>
      <c r="R65" s="5">
        <f t="shared" si="3"/>
        <v>139</v>
      </c>
      <c r="S65" s="5" t="s">
        <v>47</v>
      </c>
    </row>
    <row r="66">
      <c r="A66" s="1" t="s">
        <v>345</v>
      </c>
      <c r="B66" s="2">
        <v>6.0</v>
      </c>
      <c r="C66" s="1" t="s">
        <v>34</v>
      </c>
      <c r="D66" s="1" t="s">
        <v>30</v>
      </c>
      <c r="E66" s="4">
        <v>0.07222222222222222</v>
      </c>
      <c r="F66" s="1" t="s">
        <v>108</v>
      </c>
      <c r="G66" s="1" t="s">
        <v>28</v>
      </c>
      <c r="H66" s="4">
        <v>0.3215277777777778</v>
      </c>
      <c r="I66" s="1" t="s">
        <v>267</v>
      </c>
      <c r="J66" s="1" t="s">
        <v>30</v>
      </c>
      <c r="K66" s="4">
        <v>0.5805555555555556</v>
      </c>
      <c r="L66" s="1" t="s">
        <v>252</v>
      </c>
      <c r="M66" s="1" t="s">
        <v>28</v>
      </c>
      <c r="N66" s="4">
        <v>0.8354166666666667</v>
      </c>
      <c r="O66" s="1" t="s">
        <v>307</v>
      </c>
      <c r="P66" s="1">
        <f t="shared" si="1"/>
        <v>125</v>
      </c>
      <c r="Q66" s="1">
        <f t="shared" si="2"/>
        <v>126</v>
      </c>
      <c r="R66" s="5">
        <f t="shared" si="3"/>
        <v>126</v>
      </c>
      <c r="S66" s="5" t="s">
        <v>47</v>
      </c>
    </row>
    <row r="67">
      <c r="A67" s="1" t="s">
        <v>345</v>
      </c>
      <c r="B67" s="2">
        <v>7.0</v>
      </c>
      <c r="C67" s="1" t="s">
        <v>41</v>
      </c>
      <c r="D67" s="1" t="s">
        <v>30</v>
      </c>
      <c r="E67" s="4">
        <v>0.0875</v>
      </c>
      <c r="F67" s="1" t="s">
        <v>313</v>
      </c>
      <c r="G67" s="1" t="s">
        <v>28</v>
      </c>
      <c r="H67" s="4">
        <v>0.33958333333333335</v>
      </c>
      <c r="I67" s="1" t="s">
        <v>267</v>
      </c>
      <c r="J67" s="1" t="s">
        <v>30</v>
      </c>
      <c r="K67" s="4">
        <v>0.6034722222222222</v>
      </c>
      <c r="L67" s="1" t="s">
        <v>314</v>
      </c>
      <c r="M67" s="1" t="s">
        <v>28</v>
      </c>
      <c r="N67" s="4">
        <v>0.85625</v>
      </c>
      <c r="O67" s="1" t="s">
        <v>262</v>
      </c>
      <c r="P67" s="1">
        <f t="shared" si="1"/>
        <v>117</v>
      </c>
      <c r="Q67" s="1">
        <f t="shared" si="2"/>
        <v>108</v>
      </c>
      <c r="R67" s="5">
        <f t="shared" si="3"/>
        <v>117</v>
      </c>
      <c r="S67" s="5" t="s">
        <v>90</v>
      </c>
    </row>
    <row r="68">
      <c r="A68" s="1" t="s">
        <v>345</v>
      </c>
      <c r="B68" s="2">
        <v>8.0</v>
      </c>
      <c r="C68" s="1" t="s">
        <v>55</v>
      </c>
      <c r="D68" s="1" t="s">
        <v>30</v>
      </c>
      <c r="E68" s="4">
        <v>0.10277777777777777</v>
      </c>
      <c r="F68" s="1" t="s">
        <v>146</v>
      </c>
      <c r="G68" s="1" t="s">
        <v>28</v>
      </c>
      <c r="H68" s="4">
        <v>0.3576388888888889</v>
      </c>
      <c r="I68" s="1" t="s">
        <v>265</v>
      </c>
      <c r="J68" s="1" t="s">
        <v>30</v>
      </c>
      <c r="K68" s="4">
        <v>0.6270833333333333</v>
      </c>
      <c r="L68" s="1" t="s">
        <v>58</v>
      </c>
      <c r="M68" s="1" t="s">
        <v>28</v>
      </c>
      <c r="N68" s="4">
        <v>0.8770833333333333</v>
      </c>
      <c r="O68" s="1" t="s">
        <v>176</v>
      </c>
      <c r="P68" s="1">
        <f t="shared" si="1"/>
        <v>106</v>
      </c>
      <c r="Q68" s="1">
        <f t="shared" si="2"/>
        <v>87</v>
      </c>
      <c r="R68" s="5">
        <f t="shared" si="3"/>
        <v>106</v>
      </c>
      <c r="S68" s="5" t="s">
        <v>90</v>
      </c>
    </row>
    <row r="69">
      <c r="A69" s="1" t="s">
        <v>345</v>
      </c>
      <c r="B69" s="2">
        <v>9.0</v>
      </c>
      <c r="C69" s="1" t="s">
        <v>25</v>
      </c>
      <c r="D69" s="1" t="s">
        <v>30</v>
      </c>
      <c r="E69" s="4">
        <v>0.11805555555555555</v>
      </c>
      <c r="F69" s="1" t="s">
        <v>112</v>
      </c>
      <c r="G69" s="1" t="s">
        <v>28</v>
      </c>
      <c r="H69" s="4">
        <v>0.3770833333333333</v>
      </c>
      <c r="I69" s="1" t="s">
        <v>179</v>
      </c>
      <c r="J69" s="1" t="s">
        <v>30</v>
      </c>
      <c r="K69" s="4">
        <v>0.6541666666666667</v>
      </c>
      <c r="L69" s="1" t="s">
        <v>257</v>
      </c>
      <c r="M69" s="1" t="s">
        <v>28</v>
      </c>
      <c r="N69" s="4">
        <v>0.9</v>
      </c>
      <c r="O69" s="1" t="s">
        <v>323</v>
      </c>
      <c r="P69" s="1">
        <f t="shared" si="1"/>
        <v>92</v>
      </c>
      <c r="Q69" s="1">
        <f t="shared" si="2"/>
        <v>64</v>
      </c>
      <c r="R69" s="5">
        <f t="shared" si="3"/>
        <v>92</v>
      </c>
      <c r="S69" s="5" t="s">
        <v>90</v>
      </c>
    </row>
    <row r="70">
      <c r="A70" s="1" t="s">
        <v>345</v>
      </c>
      <c r="B70" s="2">
        <v>10.0</v>
      </c>
      <c r="C70" s="1" t="s">
        <v>75</v>
      </c>
      <c r="D70" s="1" t="s">
        <v>30</v>
      </c>
      <c r="E70" s="4">
        <v>0.13402777777777777</v>
      </c>
      <c r="F70" s="1" t="s">
        <v>326</v>
      </c>
      <c r="G70" s="1" t="s">
        <v>28</v>
      </c>
      <c r="H70" s="4">
        <v>0.4</v>
      </c>
      <c r="I70" s="1" t="s">
        <v>262</v>
      </c>
      <c r="J70" s="1" t="s">
        <v>30</v>
      </c>
      <c r="K70" s="4">
        <v>0.6881944444444444</v>
      </c>
      <c r="L70" s="1" t="s">
        <v>224</v>
      </c>
      <c r="M70" s="1" t="s">
        <v>28</v>
      </c>
      <c r="N70" s="4">
        <v>0.9298611111111111</v>
      </c>
      <c r="O70" s="1" t="s">
        <v>130</v>
      </c>
      <c r="P70" s="1">
        <f t="shared" si="1"/>
        <v>76</v>
      </c>
      <c r="Q70" s="1">
        <f t="shared" si="2"/>
        <v>41</v>
      </c>
      <c r="R70" s="5">
        <f t="shared" si="3"/>
        <v>76</v>
      </c>
      <c r="S70" s="5" t="s">
        <v>39</v>
      </c>
    </row>
    <row r="71">
      <c r="A71" s="1" t="s">
        <v>345</v>
      </c>
      <c r="B71" s="2">
        <v>11.0</v>
      </c>
      <c r="C71" s="1" t="s">
        <v>86</v>
      </c>
      <c r="D71" s="1" t="s">
        <v>30</v>
      </c>
      <c r="E71" s="4">
        <v>0.15138888888888888</v>
      </c>
      <c r="F71" s="1" t="s">
        <v>327</v>
      </c>
      <c r="G71" s="1" t="s">
        <v>28</v>
      </c>
      <c r="H71" s="4">
        <v>0.42916666666666664</v>
      </c>
      <c r="I71" s="1" t="s">
        <v>190</v>
      </c>
      <c r="J71" s="1" t="s">
        <v>30</v>
      </c>
      <c r="K71" s="4">
        <v>0.7430555555555556</v>
      </c>
      <c r="L71" s="1" t="s">
        <v>328</v>
      </c>
      <c r="P71" s="1">
        <f t="shared" si="1"/>
        <v>58</v>
      </c>
      <c r="Q71" s="1">
        <f t="shared" si="2"/>
        <v>34</v>
      </c>
      <c r="R71" s="5">
        <f t="shared" si="3"/>
        <v>58</v>
      </c>
      <c r="S71" s="5" t="s">
        <v>39</v>
      </c>
    </row>
    <row r="72">
      <c r="A72" s="1" t="s">
        <v>345</v>
      </c>
      <c r="B72" s="2">
        <v>12.0</v>
      </c>
      <c r="C72" s="1" t="s">
        <v>26</v>
      </c>
      <c r="D72" s="1" t="s">
        <v>28</v>
      </c>
      <c r="E72" s="4">
        <v>0.017361111111111112</v>
      </c>
      <c r="F72" s="1" t="s">
        <v>329</v>
      </c>
      <c r="G72" s="1" t="s">
        <v>30</v>
      </c>
      <c r="H72" s="4">
        <v>0.17569444444444443</v>
      </c>
      <c r="I72" s="1" t="s">
        <v>235</v>
      </c>
      <c r="J72" s="1" t="s">
        <v>28</v>
      </c>
      <c r="K72" s="4">
        <v>0.4791666666666667</v>
      </c>
      <c r="L72" s="1" t="s">
        <v>123</v>
      </c>
      <c r="M72" s="1" t="s">
        <v>30</v>
      </c>
      <c r="N72" s="4">
        <v>0.8486111111111111</v>
      </c>
      <c r="O72" s="1" t="s">
        <v>250</v>
      </c>
      <c r="P72" s="1">
        <f t="shared" si="1"/>
        <v>6</v>
      </c>
      <c r="Q72" s="1">
        <f t="shared" si="2"/>
        <v>56</v>
      </c>
      <c r="R72" s="5">
        <f t="shared" si="3"/>
        <v>56</v>
      </c>
      <c r="S72" s="5" t="s">
        <v>39</v>
      </c>
    </row>
    <row r="73">
      <c r="A73" s="1" t="s">
        <v>345</v>
      </c>
      <c r="B73" s="2">
        <v>13.0</v>
      </c>
      <c r="C73" s="1" t="s">
        <v>34</v>
      </c>
      <c r="D73" s="1" t="s">
        <v>330</v>
      </c>
      <c r="E73" s="4">
        <v>0.14375</v>
      </c>
      <c r="F73" s="1" t="s">
        <v>331</v>
      </c>
      <c r="G73" s="1" t="s">
        <v>330</v>
      </c>
      <c r="H73" s="4">
        <v>0.27569444444444446</v>
      </c>
      <c r="I73" s="1" t="s">
        <v>332</v>
      </c>
      <c r="J73" s="1" t="s">
        <v>28</v>
      </c>
      <c r="K73" s="4">
        <v>0.5708333333333333</v>
      </c>
      <c r="L73" s="1" t="s">
        <v>123</v>
      </c>
      <c r="M73" s="1" t="s">
        <v>30</v>
      </c>
      <c r="N73" s="4">
        <v>0.9083333333333333</v>
      </c>
      <c r="O73" s="1" t="s">
        <v>333</v>
      </c>
      <c r="P73" s="1">
        <f t="shared" si="1"/>
        <v>3</v>
      </c>
      <c r="Q73" s="1">
        <f t="shared" si="2"/>
        <v>65</v>
      </c>
      <c r="R73" s="5">
        <f t="shared" si="3"/>
        <v>65</v>
      </c>
      <c r="S73" s="5" t="s">
        <v>39</v>
      </c>
    </row>
    <row r="74">
      <c r="A74" s="1" t="s">
        <v>345</v>
      </c>
      <c r="B74" s="2">
        <v>14.0</v>
      </c>
      <c r="C74" s="1" t="s">
        <v>41</v>
      </c>
      <c r="D74" s="1" t="s">
        <v>28</v>
      </c>
      <c r="E74" s="4">
        <v>0.17708333333333334</v>
      </c>
      <c r="F74" s="1" t="s">
        <v>249</v>
      </c>
      <c r="G74" s="1" t="s">
        <v>30</v>
      </c>
      <c r="H74" s="4">
        <v>0.3659722222222222</v>
      </c>
      <c r="I74" s="1" t="s">
        <v>121</v>
      </c>
      <c r="J74" s="1" t="s">
        <v>28</v>
      </c>
      <c r="K74" s="4">
        <v>0.6326388888888889</v>
      </c>
      <c r="L74" s="1" t="s">
        <v>100</v>
      </c>
      <c r="M74" s="1" t="s">
        <v>30</v>
      </c>
      <c r="N74" s="4">
        <v>0.9375</v>
      </c>
      <c r="O74" s="1" t="s">
        <v>31</v>
      </c>
      <c r="P74" s="1">
        <f t="shared" si="1"/>
        <v>18</v>
      </c>
      <c r="Q74" s="1">
        <f t="shared" si="2"/>
        <v>85</v>
      </c>
      <c r="R74" s="5">
        <f t="shared" si="3"/>
        <v>85</v>
      </c>
      <c r="S74" s="5" t="s">
        <v>39</v>
      </c>
    </row>
    <row r="75">
      <c r="A75" s="1" t="s">
        <v>345</v>
      </c>
      <c r="B75" s="2">
        <v>15.0</v>
      </c>
      <c r="C75" s="1" t="s">
        <v>55</v>
      </c>
      <c r="D75" s="1" t="s">
        <v>28</v>
      </c>
      <c r="E75" s="4">
        <v>0.19583333333333333</v>
      </c>
      <c r="F75" s="1" t="s">
        <v>65</v>
      </c>
      <c r="G75" s="1" t="s">
        <v>30</v>
      </c>
      <c r="H75" s="4">
        <v>0.4125</v>
      </c>
      <c r="I75" s="1" t="s">
        <v>334</v>
      </c>
      <c r="J75" s="1" t="s">
        <v>28</v>
      </c>
      <c r="K75" s="4">
        <v>0.66875</v>
      </c>
      <c r="L75" s="1" t="s">
        <v>335</v>
      </c>
      <c r="M75" s="1" t="s">
        <v>30</v>
      </c>
      <c r="N75" s="4">
        <v>0.9597222222222223</v>
      </c>
      <c r="O75" s="1" t="s">
        <v>110</v>
      </c>
      <c r="P75" s="1">
        <f t="shared" si="1"/>
        <v>40</v>
      </c>
      <c r="Q75" s="1">
        <f t="shared" si="2"/>
        <v>107</v>
      </c>
      <c r="R75" s="5">
        <f t="shared" si="3"/>
        <v>107</v>
      </c>
      <c r="S75" s="5" t="s">
        <v>90</v>
      </c>
    </row>
    <row r="76">
      <c r="A76" s="1" t="s">
        <v>345</v>
      </c>
      <c r="B76" s="2">
        <v>16.0</v>
      </c>
      <c r="C76" s="1" t="s">
        <v>25</v>
      </c>
      <c r="D76" s="1" t="s">
        <v>28</v>
      </c>
      <c r="E76" s="4">
        <v>0.21319444444444444</v>
      </c>
      <c r="F76" s="1" t="s">
        <v>189</v>
      </c>
      <c r="G76" s="1" t="s">
        <v>30</v>
      </c>
      <c r="H76" s="4">
        <v>0.44375</v>
      </c>
      <c r="I76" s="1" t="s">
        <v>326</v>
      </c>
      <c r="J76" s="1" t="s">
        <v>28</v>
      </c>
      <c r="K76" s="4">
        <v>0.6979166666666666</v>
      </c>
      <c r="L76" s="1" t="s">
        <v>337</v>
      </c>
      <c r="M76" s="1" t="s">
        <v>30</v>
      </c>
      <c r="N76" s="4">
        <v>0.9791666666666666</v>
      </c>
      <c r="O76" s="1" t="s">
        <v>124</v>
      </c>
      <c r="P76" s="1">
        <f t="shared" si="1"/>
        <v>65</v>
      </c>
      <c r="Q76" s="1">
        <f t="shared" si="2"/>
        <v>128</v>
      </c>
      <c r="R76" s="5">
        <f t="shared" si="3"/>
        <v>128</v>
      </c>
      <c r="S76" s="5" t="s">
        <v>47</v>
      </c>
    </row>
    <row r="77">
      <c r="A77" s="1" t="s">
        <v>345</v>
      </c>
      <c r="B77" s="2">
        <v>17.0</v>
      </c>
      <c r="C77" s="1" t="s">
        <v>75</v>
      </c>
      <c r="D77" s="1" t="s">
        <v>28</v>
      </c>
      <c r="E77" s="4">
        <v>0.23055555555555557</v>
      </c>
      <c r="F77" s="1" t="s">
        <v>192</v>
      </c>
      <c r="G77" s="1" t="s">
        <v>30</v>
      </c>
      <c r="H77" s="4">
        <v>0.4701388888888889</v>
      </c>
      <c r="I77" s="1" t="s">
        <v>257</v>
      </c>
      <c r="J77" s="1" t="s">
        <v>28</v>
      </c>
      <c r="K77" s="4">
        <v>0.7236111111111111</v>
      </c>
      <c r="L77" s="1" t="s">
        <v>338</v>
      </c>
      <c r="M77" s="1" t="s">
        <v>30</v>
      </c>
      <c r="N77" s="4">
        <v>0.9979166666666667</v>
      </c>
      <c r="O77" s="1" t="s">
        <v>252</v>
      </c>
      <c r="P77" s="1">
        <f t="shared" si="1"/>
        <v>92</v>
      </c>
      <c r="Q77" s="1">
        <f t="shared" si="2"/>
        <v>144</v>
      </c>
      <c r="R77" s="5">
        <f t="shared" si="3"/>
        <v>144</v>
      </c>
      <c r="S77" s="5" t="s">
        <v>47</v>
      </c>
    </row>
    <row r="78">
      <c r="A78" s="1" t="s">
        <v>345</v>
      </c>
      <c r="B78" s="2">
        <v>18.0</v>
      </c>
      <c r="C78" s="1" t="s">
        <v>86</v>
      </c>
      <c r="D78" s="1" t="s">
        <v>28</v>
      </c>
      <c r="E78" s="4">
        <v>0.24861111111111112</v>
      </c>
      <c r="F78" s="1" t="s">
        <v>307</v>
      </c>
      <c r="G78" s="1" t="s">
        <v>30</v>
      </c>
      <c r="H78" s="4">
        <v>0.4951388888888889</v>
      </c>
      <c r="I78" s="1" t="s">
        <v>182</v>
      </c>
      <c r="J78" s="1" t="s">
        <v>28</v>
      </c>
      <c r="K78" s="4">
        <v>0.7486111111111111</v>
      </c>
      <c r="L78" s="1" t="s">
        <v>211</v>
      </c>
      <c r="P78" s="1">
        <f t="shared" si="1"/>
        <v>117</v>
      </c>
      <c r="Q78" s="1">
        <f t="shared" si="2"/>
        <v>76</v>
      </c>
      <c r="R78" s="5">
        <f t="shared" si="3"/>
        <v>117</v>
      </c>
      <c r="S78" s="5" t="s">
        <v>90</v>
      </c>
    </row>
    <row r="79">
      <c r="A79" s="1" t="s">
        <v>345</v>
      </c>
      <c r="B79" s="2">
        <v>19.0</v>
      </c>
      <c r="C79" s="1" t="s">
        <v>26</v>
      </c>
      <c r="D79" s="1" t="s">
        <v>30</v>
      </c>
      <c r="E79" s="4">
        <v>0.017361111111111112</v>
      </c>
      <c r="F79" s="1" t="s">
        <v>219</v>
      </c>
      <c r="G79" s="1" t="s">
        <v>28</v>
      </c>
      <c r="H79" s="4">
        <v>0.26666666666666666</v>
      </c>
      <c r="I79" s="1" t="s">
        <v>158</v>
      </c>
      <c r="J79" s="1" t="s">
        <v>30</v>
      </c>
      <c r="K79" s="4">
        <v>0.5201388888888889</v>
      </c>
      <c r="L79" s="1" t="s">
        <v>129</v>
      </c>
      <c r="M79" s="1" t="s">
        <v>28</v>
      </c>
      <c r="N79" s="4">
        <v>0.7736111111111111</v>
      </c>
      <c r="O79" s="1" t="s">
        <v>346</v>
      </c>
      <c r="P79" s="1">
        <f t="shared" si="1"/>
        <v>138</v>
      </c>
      <c r="Q79" s="1">
        <f t="shared" si="2"/>
        <v>155</v>
      </c>
      <c r="R79" s="5">
        <f t="shared" si="3"/>
        <v>155</v>
      </c>
      <c r="S79" s="5" t="s">
        <v>47</v>
      </c>
    </row>
    <row r="80">
      <c r="A80" s="1" t="s">
        <v>345</v>
      </c>
      <c r="B80" s="2">
        <v>20.0</v>
      </c>
      <c r="C80" s="1" t="s">
        <v>34</v>
      </c>
      <c r="D80" s="1" t="s">
        <v>30</v>
      </c>
      <c r="E80" s="4">
        <v>0.03611111111111111</v>
      </c>
      <c r="F80" s="1" t="s">
        <v>219</v>
      </c>
      <c r="G80" s="1" t="s">
        <v>28</v>
      </c>
      <c r="H80" s="4">
        <v>0.2861111111111111</v>
      </c>
      <c r="I80" s="1" t="s">
        <v>338</v>
      </c>
      <c r="J80" s="1" t="s">
        <v>30</v>
      </c>
      <c r="K80" s="4">
        <v>0.5465277777777777</v>
      </c>
      <c r="L80" s="1" t="s">
        <v>132</v>
      </c>
      <c r="M80" s="1" t="s">
        <v>28</v>
      </c>
      <c r="N80" s="4">
        <v>0.7993055555555556</v>
      </c>
      <c r="O80" s="1" t="s">
        <v>46</v>
      </c>
      <c r="P80" s="1">
        <f t="shared" si="1"/>
        <v>146</v>
      </c>
      <c r="Q80" s="1">
        <f t="shared" si="2"/>
        <v>158</v>
      </c>
      <c r="R80" s="5">
        <f t="shared" si="3"/>
        <v>158</v>
      </c>
      <c r="S80" s="5" t="s">
        <v>47</v>
      </c>
    </row>
    <row r="81">
      <c r="A81" s="1" t="s">
        <v>345</v>
      </c>
      <c r="B81" s="2">
        <v>21.0</v>
      </c>
      <c r="C81" s="1" t="s">
        <v>41</v>
      </c>
      <c r="D81" s="1" t="s">
        <v>30</v>
      </c>
      <c r="E81" s="4">
        <v>0.05555555555555555</v>
      </c>
      <c r="F81" s="1" t="s">
        <v>215</v>
      </c>
      <c r="G81" s="1" t="s">
        <v>28</v>
      </c>
      <c r="H81" s="4">
        <v>0.30694444444444446</v>
      </c>
      <c r="I81" s="1" t="s">
        <v>59</v>
      </c>
      <c r="J81" s="1" t="s">
        <v>30</v>
      </c>
      <c r="K81" s="4">
        <v>0.5729166666666666</v>
      </c>
      <c r="L81" s="1" t="s">
        <v>177</v>
      </c>
      <c r="M81" s="1" t="s">
        <v>28</v>
      </c>
      <c r="N81" s="4">
        <v>0.8256944444444444</v>
      </c>
      <c r="O81" s="1" t="s">
        <v>78</v>
      </c>
      <c r="P81" s="1">
        <f t="shared" si="1"/>
        <v>147</v>
      </c>
      <c r="Q81" s="1">
        <f t="shared" si="2"/>
        <v>151</v>
      </c>
      <c r="R81" s="5">
        <f t="shared" si="3"/>
        <v>151</v>
      </c>
      <c r="S81" s="5" t="s">
        <v>47</v>
      </c>
    </row>
    <row r="82">
      <c r="A82" s="1" t="s">
        <v>345</v>
      </c>
      <c r="B82" s="2">
        <v>22.0</v>
      </c>
      <c r="C82" s="1" t="s">
        <v>55</v>
      </c>
      <c r="D82" s="1" t="s">
        <v>30</v>
      </c>
      <c r="E82" s="4">
        <v>0.075</v>
      </c>
      <c r="F82" s="1" t="s">
        <v>182</v>
      </c>
      <c r="G82" s="1" t="s">
        <v>28</v>
      </c>
      <c r="H82" s="4">
        <v>0.3298611111111111</v>
      </c>
      <c r="I82" s="1" t="s">
        <v>298</v>
      </c>
      <c r="J82" s="1" t="s">
        <v>30</v>
      </c>
      <c r="K82" s="4">
        <v>0.6020833333333333</v>
      </c>
      <c r="L82" s="1" t="s">
        <v>260</v>
      </c>
      <c r="M82" s="1" t="s">
        <v>28</v>
      </c>
      <c r="N82" s="4">
        <v>0.8541666666666666</v>
      </c>
      <c r="O82" s="1" t="s">
        <v>301</v>
      </c>
      <c r="P82" s="1">
        <f t="shared" si="1"/>
        <v>141</v>
      </c>
      <c r="Q82" s="1">
        <f t="shared" si="2"/>
        <v>134</v>
      </c>
      <c r="R82" s="5">
        <f t="shared" si="3"/>
        <v>141</v>
      </c>
      <c r="S82" s="5" t="s">
        <v>47</v>
      </c>
    </row>
    <row r="83">
      <c r="A83" s="1" t="s">
        <v>345</v>
      </c>
      <c r="B83" s="2">
        <v>23.0</v>
      </c>
      <c r="C83" s="1" t="s">
        <v>25</v>
      </c>
      <c r="D83" s="1" t="s">
        <v>30</v>
      </c>
      <c r="E83" s="4">
        <v>0.09513888888888888</v>
      </c>
      <c r="F83" s="1" t="s">
        <v>146</v>
      </c>
      <c r="G83" s="1" t="s">
        <v>28</v>
      </c>
      <c r="H83" s="4">
        <v>0.3541666666666667</v>
      </c>
      <c r="I83" s="1" t="s">
        <v>67</v>
      </c>
      <c r="J83" s="1" t="s">
        <v>30</v>
      </c>
      <c r="K83" s="4">
        <v>0.6340277777777777</v>
      </c>
      <c r="L83" s="1" t="s">
        <v>129</v>
      </c>
      <c r="M83" s="1" t="s">
        <v>28</v>
      </c>
      <c r="N83" s="4">
        <v>0.8847222222222222</v>
      </c>
      <c r="O83" s="1" t="s">
        <v>214</v>
      </c>
      <c r="P83" s="1">
        <f t="shared" si="1"/>
        <v>127</v>
      </c>
      <c r="Q83" s="1">
        <f t="shared" si="2"/>
        <v>107</v>
      </c>
      <c r="R83" s="5">
        <f t="shared" si="3"/>
        <v>127</v>
      </c>
      <c r="S83" s="5" t="s">
        <v>47</v>
      </c>
    </row>
    <row r="84">
      <c r="A84" s="1" t="s">
        <v>345</v>
      </c>
      <c r="B84" s="2">
        <v>24.0</v>
      </c>
      <c r="C84" s="1" t="s">
        <v>75</v>
      </c>
      <c r="D84" s="1" t="s">
        <v>30</v>
      </c>
      <c r="E84" s="4">
        <v>0.11597222222222223</v>
      </c>
      <c r="F84" s="1" t="s">
        <v>115</v>
      </c>
      <c r="G84" s="1" t="s">
        <v>28</v>
      </c>
      <c r="H84" s="4">
        <v>0.38263888888888886</v>
      </c>
      <c r="I84" s="1" t="s">
        <v>167</v>
      </c>
      <c r="J84" s="1" t="s">
        <v>30</v>
      </c>
      <c r="K84" s="4">
        <v>0.6729166666666667</v>
      </c>
      <c r="L84" s="1" t="s">
        <v>66</v>
      </c>
      <c r="M84" s="1" t="s">
        <v>28</v>
      </c>
      <c r="N84" s="4">
        <v>0.9229166666666667</v>
      </c>
      <c r="O84" s="1" t="s">
        <v>44</v>
      </c>
      <c r="P84" s="1">
        <f t="shared" si="1"/>
        <v>108</v>
      </c>
      <c r="Q84" s="1">
        <f t="shared" si="2"/>
        <v>75</v>
      </c>
      <c r="R84" s="5">
        <f t="shared" si="3"/>
        <v>108</v>
      </c>
      <c r="S84" s="5" t="s">
        <v>90</v>
      </c>
    </row>
    <row r="85">
      <c r="A85" s="1" t="s">
        <v>345</v>
      </c>
      <c r="B85" s="2">
        <v>25.0</v>
      </c>
      <c r="C85" s="1" t="s">
        <v>86</v>
      </c>
      <c r="D85" s="1" t="s">
        <v>30</v>
      </c>
      <c r="E85" s="4">
        <v>0.14027777777777778</v>
      </c>
      <c r="F85" s="1" t="s">
        <v>250</v>
      </c>
      <c r="G85" s="1" t="s">
        <v>28</v>
      </c>
      <c r="H85" s="4">
        <v>0.41875</v>
      </c>
      <c r="I85" s="1" t="s">
        <v>307</v>
      </c>
      <c r="J85" s="1" t="s">
        <v>30</v>
      </c>
      <c r="K85" s="4">
        <v>0.7291666666666666</v>
      </c>
      <c r="L85" s="1" t="s">
        <v>257</v>
      </c>
      <c r="M85" s="1" t="s">
        <v>28</v>
      </c>
      <c r="N85" s="4">
        <v>0.9909722222222223</v>
      </c>
      <c r="O85" s="1" t="s">
        <v>278</v>
      </c>
      <c r="P85" s="1">
        <f t="shared" si="1"/>
        <v>84</v>
      </c>
      <c r="Q85" s="1">
        <f t="shared" si="2"/>
        <v>49</v>
      </c>
      <c r="R85" s="5">
        <f t="shared" si="3"/>
        <v>84</v>
      </c>
      <c r="S85" s="5" t="s">
        <v>39</v>
      </c>
    </row>
    <row r="86">
      <c r="A86" s="1" t="s">
        <v>345</v>
      </c>
      <c r="B86" s="2">
        <v>26.0</v>
      </c>
      <c r="C86" s="1" t="s">
        <v>26</v>
      </c>
      <c r="D86" s="1" t="s">
        <v>30</v>
      </c>
      <c r="E86" s="4">
        <v>0.17569444444444443</v>
      </c>
      <c r="F86" s="1" t="s">
        <v>355</v>
      </c>
      <c r="G86" s="1" t="s">
        <v>28</v>
      </c>
      <c r="H86" s="4">
        <v>0.4736111111111111</v>
      </c>
      <c r="I86" s="1" t="s">
        <v>131</v>
      </c>
      <c r="J86" s="1" t="s">
        <v>30</v>
      </c>
      <c r="K86" s="4">
        <v>0.8173611111111111</v>
      </c>
      <c r="L86" s="1" t="s">
        <v>200</v>
      </c>
      <c r="P86" s="1">
        <f t="shared" si="1"/>
        <v>61</v>
      </c>
      <c r="Q86" s="1">
        <f t="shared" si="2"/>
        <v>48</v>
      </c>
      <c r="R86" s="5">
        <f t="shared" si="3"/>
        <v>61</v>
      </c>
      <c r="S86" s="5" t="s">
        <v>39</v>
      </c>
    </row>
    <row r="87">
      <c r="A87" s="1" t="s">
        <v>345</v>
      </c>
      <c r="B87" s="2">
        <v>27.0</v>
      </c>
      <c r="C87" s="1" t="s">
        <v>34</v>
      </c>
      <c r="D87" s="1" t="s">
        <v>28</v>
      </c>
      <c r="E87" s="4">
        <v>0.10208333333333333</v>
      </c>
      <c r="F87" s="1" t="s">
        <v>356</v>
      </c>
      <c r="G87" s="1" t="s">
        <v>30</v>
      </c>
      <c r="H87" s="4">
        <v>0.26180555555555557</v>
      </c>
      <c r="I87" s="1" t="s">
        <v>329</v>
      </c>
      <c r="J87" s="1" t="s">
        <v>28</v>
      </c>
      <c r="K87" s="4">
        <v>0.5590277777777778</v>
      </c>
      <c r="L87" s="1" t="s">
        <v>357</v>
      </c>
      <c r="M87" s="1" t="s">
        <v>30</v>
      </c>
      <c r="N87" s="4">
        <v>0.8861111111111111</v>
      </c>
      <c r="O87" s="1" t="s">
        <v>37</v>
      </c>
      <c r="P87" s="1">
        <f t="shared" si="1"/>
        <v>9</v>
      </c>
      <c r="Q87" s="1">
        <f t="shared" si="2"/>
        <v>91</v>
      </c>
      <c r="R87" s="5">
        <f t="shared" si="3"/>
        <v>91</v>
      </c>
      <c r="S87" s="5" t="s">
        <v>90</v>
      </c>
    </row>
    <row r="88">
      <c r="A88" s="1" t="s">
        <v>345</v>
      </c>
      <c r="B88" s="2">
        <v>28.0</v>
      </c>
      <c r="C88" s="1" t="s">
        <v>41</v>
      </c>
      <c r="D88" s="1" t="s">
        <v>28</v>
      </c>
      <c r="E88" s="4">
        <v>0.15555555555555556</v>
      </c>
      <c r="F88" s="1" t="s">
        <v>359</v>
      </c>
      <c r="G88" s="1" t="s">
        <v>30</v>
      </c>
      <c r="H88" s="4">
        <v>0.3659722222222222</v>
      </c>
      <c r="I88" s="1" t="s">
        <v>235</v>
      </c>
      <c r="J88" s="1" t="s">
        <v>28</v>
      </c>
      <c r="K88" s="4">
        <v>0.6256944444444444</v>
      </c>
      <c r="L88" s="1" t="s">
        <v>360</v>
      </c>
      <c r="M88" s="1" t="s">
        <v>30</v>
      </c>
      <c r="N88" s="4">
        <v>0.925</v>
      </c>
      <c r="O88" s="1" t="s">
        <v>88</v>
      </c>
      <c r="P88" s="1">
        <f t="shared" si="1"/>
        <v>27</v>
      </c>
      <c r="Q88" s="1">
        <f t="shared" si="2"/>
        <v>106</v>
      </c>
      <c r="R88" s="5">
        <f t="shared" si="3"/>
        <v>106</v>
      </c>
      <c r="S88" s="5" t="s">
        <v>90</v>
      </c>
    </row>
    <row r="89">
      <c r="A89" s="1" t="s">
        <v>345</v>
      </c>
      <c r="B89" s="2">
        <v>29.0</v>
      </c>
      <c r="C89" s="1" t="s">
        <v>55</v>
      </c>
      <c r="D89" s="1" t="s">
        <v>28</v>
      </c>
      <c r="E89" s="4">
        <v>0.18194444444444444</v>
      </c>
      <c r="F89" s="1" t="s">
        <v>256</v>
      </c>
      <c r="G89" s="1" t="s">
        <v>30</v>
      </c>
      <c r="H89" s="4">
        <v>0.4166666666666667</v>
      </c>
      <c r="I89" s="1" t="s">
        <v>250</v>
      </c>
      <c r="J89" s="1" t="s">
        <v>28</v>
      </c>
      <c r="K89" s="4">
        <v>0.66875</v>
      </c>
      <c r="L89" s="1" t="s">
        <v>147</v>
      </c>
      <c r="M89" s="1" t="s">
        <v>30</v>
      </c>
      <c r="N89" s="4">
        <v>0.9534722222222223</v>
      </c>
      <c r="O89" s="1" t="s">
        <v>274</v>
      </c>
      <c r="P89" s="1">
        <f t="shared" si="1"/>
        <v>55</v>
      </c>
      <c r="Q89" s="1">
        <f t="shared" si="2"/>
        <v>122</v>
      </c>
      <c r="R89" s="5">
        <f t="shared" si="3"/>
        <v>122</v>
      </c>
      <c r="S89" s="5" t="s">
        <v>90</v>
      </c>
    </row>
    <row r="90">
      <c r="A90" s="1" t="s">
        <v>345</v>
      </c>
      <c r="B90" s="2">
        <v>30.0</v>
      </c>
      <c r="C90" s="1" t="s">
        <v>25</v>
      </c>
      <c r="D90" s="1" t="s">
        <v>28</v>
      </c>
      <c r="E90" s="4">
        <v>0.20347222222222222</v>
      </c>
      <c r="F90" s="1" t="s">
        <v>218</v>
      </c>
      <c r="G90" s="1" t="s">
        <v>30</v>
      </c>
      <c r="H90" s="4">
        <v>0.44930555555555557</v>
      </c>
      <c r="I90" s="1" t="s">
        <v>112</v>
      </c>
      <c r="J90" s="1" t="s">
        <v>28</v>
      </c>
      <c r="K90" s="4">
        <v>0.7013888888888888</v>
      </c>
      <c r="L90" s="1" t="s">
        <v>78</v>
      </c>
      <c r="M90" s="1" t="s">
        <v>30</v>
      </c>
      <c r="N90" s="4">
        <v>0.9756944444444444</v>
      </c>
      <c r="O90" s="1" t="s">
        <v>124</v>
      </c>
      <c r="P90" s="1">
        <f t="shared" si="1"/>
        <v>81</v>
      </c>
      <c r="Q90" s="1">
        <f t="shared" si="2"/>
        <v>131</v>
      </c>
      <c r="R90" s="5">
        <f t="shared" si="3"/>
        <v>131</v>
      </c>
      <c r="S90" s="5" t="s">
        <v>47</v>
      </c>
    </row>
    <row r="91">
      <c r="A91" s="1" t="s">
        <v>345</v>
      </c>
      <c r="B91" s="2">
        <v>31.0</v>
      </c>
      <c r="C91" s="1" t="s">
        <v>75</v>
      </c>
      <c r="D91" s="1" t="s">
        <v>28</v>
      </c>
      <c r="E91" s="4">
        <v>0.2222222222222222</v>
      </c>
      <c r="F91" s="1" t="s">
        <v>179</v>
      </c>
      <c r="G91" s="1" t="s">
        <v>30</v>
      </c>
      <c r="H91" s="4">
        <v>0.4756944444444444</v>
      </c>
      <c r="I91" s="1" t="s">
        <v>186</v>
      </c>
      <c r="J91" s="1" t="s">
        <v>28</v>
      </c>
      <c r="K91" s="4">
        <v>0.7291666666666666</v>
      </c>
      <c r="L91" s="1" t="s">
        <v>38</v>
      </c>
      <c r="M91" s="1" t="s">
        <v>30</v>
      </c>
      <c r="N91" s="4">
        <v>0.9951388888888889</v>
      </c>
      <c r="O91" s="1" t="s">
        <v>174</v>
      </c>
      <c r="P91" s="1">
        <f t="shared" si="1"/>
        <v>105</v>
      </c>
      <c r="Q91" s="1">
        <f t="shared" si="2"/>
        <v>133</v>
      </c>
      <c r="R91" s="5">
        <f t="shared" si="3"/>
        <v>133</v>
      </c>
      <c r="S91" s="5" t="s">
        <v>47</v>
      </c>
    </row>
    <row r="92">
      <c r="A92" s="1" t="s">
        <v>413</v>
      </c>
      <c r="B92" s="2">
        <v>1.0</v>
      </c>
      <c r="C92" s="1" t="s">
        <v>86</v>
      </c>
      <c r="D92" s="1" t="s">
        <v>28</v>
      </c>
      <c r="E92" s="4">
        <v>0.24097222222222223</v>
      </c>
      <c r="F92" s="1" t="s">
        <v>267</v>
      </c>
      <c r="G92" s="1" t="s">
        <v>30</v>
      </c>
      <c r="H92" s="4">
        <v>0.5</v>
      </c>
      <c r="I92" s="1" t="s">
        <v>124</v>
      </c>
      <c r="J92" s="1" t="s">
        <v>28</v>
      </c>
      <c r="K92" s="4">
        <v>0.7541666666666667</v>
      </c>
      <c r="L92" s="1" t="s">
        <v>38</v>
      </c>
      <c r="P92" s="1">
        <f t="shared" si="1"/>
        <v>122</v>
      </c>
      <c r="Q92" s="1">
        <f t="shared" si="2"/>
        <v>65</v>
      </c>
      <c r="R92" s="5">
        <f t="shared" si="3"/>
        <v>122</v>
      </c>
      <c r="S92" s="5" t="s">
        <v>90</v>
      </c>
    </row>
    <row r="93">
      <c r="A93" s="1" t="s">
        <v>413</v>
      </c>
      <c r="B93" s="2">
        <v>2.0</v>
      </c>
      <c r="C93" s="1" t="s">
        <v>26</v>
      </c>
      <c r="D93" s="1" t="s">
        <v>30</v>
      </c>
      <c r="E93" s="4">
        <v>0.011805555555555555</v>
      </c>
      <c r="F93" s="1" t="s">
        <v>66</v>
      </c>
      <c r="G93" s="1" t="s">
        <v>28</v>
      </c>
      <c r="H93" s="4">
        <v>0.2590277777777778</v>
      </c>
      <c r="I93" s="1" t="s">
        <v>378</v>
      </c>
      <c r="J93" s="1" t="s">
        <v>30</v>
      </c>
      <c r="K93" s="4">
        <v>0.5215277777777778</v>
      </c>
      <c r="L93" s="1" t="s">
        <v>252</v>
      </c>
      <c r="M93" s="1" t="s">
        <v>28</v>
      </c>
      <c r="N93" s="4">
        <v>0.7770833333333333</v>
      </c>
      <c r="O93" s="1" t="s">
        <v>378</v>
      </c>
      <c r="P93" s="1">
        <f t="shared" si="1"/>
        <v>125</v>
      </c>
      <c r="Q93" s="1">
        <f t="shared" si="2"/>
        <v>135</v>
      </c>
      <c r="R93" s="5">
        <f t="shared" si="3"/>
        <v>135</v>
      </c>
      <c r="S93" s="5" t="s">
        <v>47</v>
      </c>
    </row>
    <row r="94">
      <c r="A94" s="1" t="s">
        <v>413</v>
      </c>
      <c r="B94" s="2">
        <v>3.0</v>
      </c>
      <c r="C94" s="1" t="s">
        <v>34</v>
      </c>
      <c r="D94" s="1" t="s">
        <v>30</v>
      </c>
      <c r="E94" s="4">
        <v>0.027777777777777776</v>
      </c>
      <c r="F94" s="1" t="s">
        <v>110</v>
      </c>
      <c r="G94" s="1" t="s">
        <v>28</v>
      </c>
      <c r="H94" s="4">
        <v>0.27708333333333335</v>
      </c>
      <c r="I94" s="1" t="s">
        <v>216</v>
      </c>
      <c r="J94" s="1" t="s">
        <v>30</v>
      </c>
      <c r="K94" s="4">
        <v>0.5430555555555555</v>
      </c>
      <c r="L94" s="1" t="s">
        <v>219</v>
      </c>
      <c r="M94" s="1" t="s">
        <v>28</v>
      </c>
      <c r="N94" s="4">
        <v>0.7993055555555556</v>
      </c>
      <c r="O94" s="1" t="s">
        <v>267</v>
      </c>
      <c r="P94" s="1">
        <f t="shared" si="1"/>
        <v>125</v>
      </c>
      <c r="Q94" s="1">
        <f t="shared" si="2"/>
        <v>130</v>
      </c>
      <c r="R94" s="5">
        <f t="shared" si="3"/>
        <v>130</v>
      </c>
      <c r="S94" s="5" t="s">
        <v>47</v>
      </c>
    </row>
    <row r="95">
      <c r="A95" s="1" t="s">
        <v>413</v>
      </c>
      <c r="B95" s="2">
        <v>4.0</v>
      </c>
      <c r="C95" s="1" t="s">
        <v>41</v>
      </c>
      <c r="D95" s="1" t="s">
        <v>30</v>
      </c>
      <c r="E95" s="4">
        <v>0.04375</v>
      </c>
      <c r="F95" s="1" t="s">
        <v>146</v>
      </c>
      <c r="G95" s="1" t="s">
        <v>28</v>
      </c>
      <c r="H95" s="4">
        <v>0.29444444444444445</v>
      </c>
      <c r="I95" s="1" t="s">
        <v>385</v>
      </c>
      <c r="J95" s="1" t="s">
        <v>30</v>
      </c>
      <c r="K95" s="4">
        <v>0.5645833333333333</v>
      </c>
      <c r="L95" s="1" t="s">
        <v>386</v>
      </c>
      <c r="M95" s="1" t="s">
        <v>28</v>
      </c>
      <c r="N95" s="4">
        <v>0.8208333333333333</v>
      </c>
      <c r="O95" s="1" t="s">
        <v>360</v>
      </c>
      <c r="P95" s="1">
        <f t="shared" si="1"/>
        <v>122</v>
      </c>
      <c r="Q95" s="1">
        <f t="shared" si="2"/>
        <v>120</v>
      </c>
      <c r="R95" s="5">
        <f t="shared" si="3"/>
        <v>122</v>
      </c>
      <c r="S95" s="5" t="s">
        <v>90</v>
      </c>
    </row>
    <row r="96">
      <c r="A96" s="1" t="s">
        <v>413</v>
      </c>
      <c r="B96" s="2">
        <v>5.0</v>
      </c>
      <c r="C96" s="1" t="s">
        <v>55</v>
      </c>
      <c r="D96" s="1" t="s">
        <v>30</v>
      </c>
      <c r="E96" s="4">
        <v>0.059722222222222225</v>
      </c>
      <c r="F96" s="1" t="s">
        <v>114</v>
      </c>
      <c r="G96" s="1" t="s">
        <v>28</v>
      </c>
      <c r="H96" s="4">
        <v>0.3125</v>
      </c>
      <c r="I96" s="1" t="s">
        <v>38</v>
      </c>
      <c r="J96" s="1" t="s">
        <v>30</v>
      </c>
      <c r="K96" s="4">
        <v>0.5868055555555556</v>
      </c>
      <c r="L96" s="1" t="s">
        <v>108</v>
      </c>
      <c r="M96" s="1" t="s">
        <v>28</v>
      </c>
      <c r="N96" s="4">
        <v>0.8423611111111111</v>
      </c>
      <c r="O96" s="1" t="s">
        <v>218</v>
      </c>
      <c r="P96" s="1">
        <f t="shared" si="1"/>
        <v>116</v>
      </c>
      <c r="Q96" s="1">
        <f t="shared" si="2"/>
        <v>106</v>
      </c>
      <c r="R96" s="5">
        <f t="shared" si="3"/>
        <v>116</v>
      </c>
      <c r="S96" s="5" t="s">
        <v>90</v>
      </c>
    </row>
    <row r="97">
      <c r="A97" s="1" t="s">
        <v>413</v>
      </c>
      <c r="B97" s="2">
        <v>6.0</v>
      </c>
      <c r="C97" s="1" t="s">
        <v>25</v>
      </c>
      <c r="D97" s="1" t="s">
        <v>30</v>
      </c>
      <c r="E97" s="4">
        <v>0.07569444444444444</v>
      </c>
      <c r="F97" s="1" t="s">
        <v>115</v>
      </c>
      <c r="G97" s="1" t="s">
        <v>28</v>
      </c>
      <c r="H97" s="4">
        <v>0.33125</v>
      </c>
      <c r="I97" s="1" t="s">
        <v>158</v>
      </c>
      <c r="J97" s="1" t="s">
        <v>30</v>
      </c>
      <c r="K97" s="4">
        <v>0.6097222222222223</v>
      </c>
      <c r="L97" s="1" t="s">
        <v>182</v>
      </c>
      <c r="M97" s="1" t="s">
        <v>28</v>
      </c>
      <c r="N97" s="4">
        <v>0.8638888888888889</v>
      </c>
      <c r="O97" s="1" t="s">
        <v>123</v>
      </c>
      <c r="P97" s="1">
        <f t="shared" si="1"/>
        <v>106</v>
      </c>
      <c r="Q97" s="1">
        <f t="shared" si="2"/>
        <v>89</v>
      </c>
      <c r="R97" s="5">
        <f t="shared" si="3"/>
        <v>106</v>
      </c>
      <c r="S97" s="5" t="s">
        <v>90</v>
      </c>
    </row>
    <row r="98">
      <c r="A98" s="1" t="s">
        <v>413</v>
      </c>
      <c r="B98" s="2">
        <v>7.0</v>
      </c>
      <c r="C98" s="1" t="s">
        <v>75</v>
      </c>
      <c r="D98" s="1" t="s">
        <v>30</v>
      </c>
      <c r="E98" s="4">
        <v>0.09305555555555556</v>
      </c>
      <c r="F98" s="1" t="s">
        <v>120</v>
      </c>
      <c r="G98" s="1" t="s">
        <v>28</v>
      </c>
      <c r="H98" s="4">
        <v>0.35208333333333336</v>
      </c>
      <c r="I98" s="1" t="s">
        <v>388</v>
      </c>
      <c r="J98" s="1" t="s">
        <v>30</v>
      </c>
      <c r="K98" s="4">
        <v>0.6347222222222222</v>
      </c>
      <c r="L98" s="1" t="s">
        <v>146</v>
      </c>
      <c r="M98" s="1" t="s">
        <v>28</v>
      </c>
      <c r="N98" s="4">
        <v>0.8875</v>
      </c>
      <c r="O98" s="1" t="s">
        <v>57</v>
      </c>
      <c r="P98" s="1">
        <f t="shared" si="1"/>
        <v>95</v>
      </c>
      <c r="Q98" s="1">
        <f t="shared" si="2"/>
        <v>69</v>
      </c>
      <c r="R98" s="5">
        <f t="shared" si="3"/>
        <v>95</v>
      </c>
      <c r="S98" s="5" t="s">
        <v>90</v>
      </c>
    </row>
    <row r="99">
      <c r="A99" s="1" t="s">
        <v>413</v>
      </c>
      <c r="B99" s="2">
        <v>8.0</v>
      </c>
      <c r="C99" s="1" t="s">
        <v>86</v>
      </c>
      <c r="D99" s="1" t="s">
        <v>30</v>
      </c>
      <c r="E99" s="4">
        <v>0.11041666666666666</v>
      </c>
      <c r="F99" s="1" t="s">
        <v>389</v>
      </c>
      <c r="G99" s="1" t="s">
        <v>28</v>
      </c>
      <c r="H99" s="4">
        <v>0.375</v>
      </c>
      <c r="I99" s="1" t="s">
        <v>89</v>
      </c>
      <c r="J99" s="1" t="s">
        <v>30</v>
      </c>
      <c r="K99" s="4">
        <v>0.6645833333333333</v>
      </c>
      <c r="L99" s="1" t="s">
        <v>223</v>
      </c>
      <c r="M99" s="1" t="s">
        <v>28</v>
      </c>
      <c r="N99" s="4">
        <v>0.91875</v>
      </c>
      <c r="O99" s="1" t="s">
        <v>249</v>
      </c>
      <c r="P99" s="1">
        <f t="shared" si="1"/>
        <v>80</v>
      </c>
      <c r="Q99" s="1">
        <f t="shared" si="2"/>
        <v>50</v>
      </c>
      <c r="R99" s="5">
        <f t="shared" si="3"/>
        <v>80</v>
      </c>
      <c r="S99" s="5" t="s">
        <v>39</v>
      </c>
    </row>
    <row r="100">
      <c r="A100" s="1" t="s">
        <v>413</v>
      </c>
      <c r="B100" s="2">
        <v>9.0</v>
      </c>
      <c r="C100" s="1" t="s">
        <v>26</v>
      </c>
      <c r="D100" s="1" t="s">
        <v>30</v>
      </c>
      <c r="E100" s="4">
        <v>0.13125</v>
      </c>
      <c r="F100" s="1" t="s">
        <v>291</v>
      </c>
      <c r="G100" s="1" t="s">
        <v>28</v>
      </c>
      <c r="H100" s="4">
        <v>0.4041666666666667</v>
      </c>
      <c r="I100" s="1" t="s">
        <v>131</v>
      </c>
      <c r="J100" s="1" t="s">
        <v>30</v>
      </c>
      <c r="K100" s="4">
        <v>0.7090277777777778</v>
      </c>
      <c r="L100" s="1" t="s">
        <v>191</v>
      </c>
      <c r="M100" s="1" t="s">
        <v>28</v>
      </c>
      <c r="N100" s="4">
        <v>0.9895833333333334</v>
      </c>
      <c r="O100" s="1" t="s">
        <v>356</v>
      </c>
      <c r="P100" s="1">
        <f t="shared" si="1"/>
        <v>62</v>
      </c>
      <c r="Q100" s="1">
        <f t="shared" si="2"/>
        <v>33</v>
      </c>
      <c r="R100" s="5">
        <f t="shared" si="3"/>
        <v>62</v>
      </c>
      <c r="S100" s="5" t="s">
        <v>39</v>
      </c>
    </row>
    <row r="101">
      <c r="A101" s="1" t="s">
        <v>413</v>
      </c>
      <c r="B101" s="2">
        <v>10.0</v>
      </c>
      <c r="C101" s="1" t="s">
        <v>34</v>
      </c>
      <c r="D101" s="1" t="s">
        <v>30</v>
      </c>
      <c r="E101" s="4">
        <v>0.16319444444444445</v>
      </c>
      <c r="F101" s="1" t="s">
        <v>290</v>
      </c>
      <c r="G101" s="1" t="s">
        <v>28</v>
      </c>
      <c r="H101" s="4">
        <v>0.4479166666666667</v>
      </c>
      <c r="I101" s="1" t="s">
        <v>183</v>
      </c>
      <c r="J101" s="1" t="s">
        <v>30</v>
      </c>
      <c r="K101" s="4">
        <v>0.7881944444444444</v>
      </c>
      <c r="L101" s="1" t="s">
        <v>391</v>
      </c>
      <c r="P101" s="1">
        <f t="shared" si="1"/>
        <v>45</v>
      </c>
      <c r="Q101" s="1">
        <f t="shared" si="2"/>
        <v>30</v>
      </c>
      <c r="R101" s="5">
        <f t="shared" si="3"/>
        <v>45</v>
      </c>
      <c r="S101" s="5" t="s">
        <v>39</v>
      </c>
    </row>
    <row r="102">
      <c r="A102" s="1" t="s">
        <v>413</v>
      </c>
      <c r="B102" s="2">
        <v>11.0</v>
      </c>
      <c r="C102" s="1" t="s">
        <v>41</v>
      </c>
      <c r="D102" s="1" t="s">
        <v>28</v>
      </c>
      <c r="E102" s="4">
        <v>0.08958333333333333</v>
      </c>
      <c r="F102" s="1" t="s">
        <v>397</v>
      </c>
      <c r="G102" s="1" t="s">
        <v>30</v>
      </c>
      <c r="H102" s="4">
        <v>0.24722222222222223</v>
      </c>
      <c r="I102" s="1" t="s">
        <v>398</v>
      </c>
      <c r="J102" s="1" t="s">
        <v>28</v>
      </c>
      <c r="K102" s="4">
        <v>0.5243055555555556</v>
      </c>
      <c r="L102" s="1" t="s">
        <v>181</v>
      </c>
      <c r="M102" s="1" t="s">
        <v>30</v>
      </c>
      <c r="N102" s="4">
        <v>0.8604166666666667</v>
      </c>
      <c r="O102" s="1" t="s">
        <v>286</v>
      </c>
      <c r="P102" s="1">
        <f t="shared" si="1"/>
        <v>7</v>
      </c>
      <c r="Q102" s="1">
        <f t="shared" si="2"/>
        <v>63</v>
      </c>
      <c r="R102" s="5">
        <f t="shared" si="3"/>
        <v>63</v>
      </c>
      <c r="S102" s="5" t="s">
        <v>39</v>
      </c>
    </row>
    <row r="103">
      <c r="A103" s="1" t="s">
        <v>413</v>
      </c>
      <c r="B103" s="2">
        <v>12.0</v>
      </c>
      <c r="C103" s="1" t="s">
        <v>55</v>
      </c>
      <c r="D103" s="1" t="s">
        <v>28</v>
      </c>
      <c r="E103" s="4">
        <v>0.13402777777777777</v>
      </c>
      <c r="F103" s="1" t="s">
        <v>157</v>
      </c>
      <c r="G103" s="1" t="s">
        <v>30</v>
      </c>
      <c r="H103" s="4">
        <v>0.3375</v>
      </c>
      <c r="I103" s="1" t="s">
        <v>332</v>
      </c>
      <c r="J103" s="1" t="s">
        <v>28</v>
      </c>
      <c r="K103" s="4">
        <v>0.5958333333333333</v>
      </c>
      <c r="L103" s="1" t="s">
        <v>402</v>
      </c>
      <c r="M103" s="1" t="s">
        <v>30</v>
      </c>
      <c r="N103" s="4">
        <v>0.8972222222222223</v>
      </c>
      <c r="O103" s="1" t="s">
        <v>333</v>
      </c>
      <c r="P103" s="1">
        <f t="shared" si="1"/>
        <v>22</v>
      </c>
      <c r="Q103" s="1">
        <f t="shared" si="2"/>
        <v>77</v>
      </c>
      <c r="R103" s="5">
        <f t="shared" si="3"/>
        <v>77</v>
      </c>
      <c r="S103" s="5" t="s">
        <v>39</v>
      </c>
    </row>
    <row r="104">
      <c r="A104" s="1" t="s">
        <v>413</v>
      </c>
      <c r="B104" s="2">
        <v>13.0</v>
      </c>
      <c r="C104" s="1" t="s">
        <v>25</v>
      </c>
      <c r="D104" s="1" t="s">
        <v>28</v>
      </c>
      <c r="E104" s="4">
        <v>0.15833333333333333</v>
      </c>
      <c r="F104" s="1" t="s">
        <v>176</v>
      </c>
      <c r="G104" s="1" t="s">
        <v>30</v>
      </c>
      <c r="H104" s="4">
        <v>0.38819444444444445</v>
      </c>
      <c r="I104" s="1" t="s">
        <v>241</v>
      </c>
      <c r="J104" s="1" t="s">
        <v>28</v>
      </c>
      <c r="K104" s="4">
        <v>0.6402777777777777</v>
      </c>
      <c r="L104" s="1" t="s">
        <v>335</v>
      </c>
      <c r="M104" s="1" t="s">
        <v>30</v>
      </c>
      <c r="N104" s="4">
        <v>0.9229166666666667</v>
      </c>
      <c r="O104" s="1" t="s">
        <v>134</v>
      </c>
      <c r="P104" s="1">
        <f t="shared" si="1"/>
        <v>47</v>
      </c>
      <c r="Q104" s="1">
        <f t="shared" si="2"/>
        <v>96</v>
      </c>
      <c r="R104" s="5">
        <f t="shared" si="3"/>
        <v>96</v>
      </c>
      <c r="S104" s="5" t="s">
        <v>90</v>
      </c>
    </row>
    <row r="105">
      <c r="A105" s="1" t="s">
        <v>413</v>
      </c>
      <c r="B105" s="2">
        <v>14.0</v>
      </c>
      <c r="C105" s="1" t="s">
        <v>75</v>
      </c>
      <c r="D105" s="1" t="s">
        <v>28</v>
      </c>
      <c r="E105" s="4">
        <v>0.17847222222222223</v>
      </c>
      <c r="F105" s="1" t="s">
        <v>262</v>
      </c>
      <c r="G105" s="1" t="s">
        <v>30</v>
      </c>
      <c r="H105" s="4">
        <v>0.4222222222222222</v>
      </c>
      <c r="I105" s="1" t="s">
        <v>120</v>
      </c>
      <c r="J105" s="1" t="s">
        <v>28</v>
      </c>
      <c r="K105" s="4">
        <v>0.6736111111111112</v>
      </c>
      <c r="L105" s="1" t="s">
        <v>410</v>
      </c>
      <c r="M105" s="1" t="s">
        <v>30</v>
      </c>
      <c r="N105" s="4">
        <v>0.9451388888888889</v>
      </c>
      <c r="O105" s="1" t="s">
        <v>277</v>
      </c>
      <c r="P105" s="1">
        <f t="shared" si="1"/>
        <v>77</v>
      </c>
      <c r="Q105" s="1">
        <f t="shared" si="2"/>
        <v>114</v>
      </c>
      <c r="R105" s="5">
        <f t="shared" si="3"/>
        <v>114</v>
      </c>
      <c r="S105" s="5" t="s">
        <v>90</v>
      </c>
    </row>
    <row r="106">
      <c r="A106" s="1" t="s">
        <v>413</v>
      </c>
      <c r="B106" s="2">
        <v>15.0</v>
      </c>
      <c r="C106" s="1" t="s">
        <v>86</v>
      </c>
      <c r="D106" s="1" t="s">
        <v>28</v>
      </c>
      <c r="E106" s="4">
        <v>0.19791666666666666</v>
      </c>
      <c r="F106" s="1" t="s">
        <v>195</v>
      </c>
      <c r="G106" s="1" t="s">
        <v>30</v>
      </c>
      <c r="H106" s="4">
        <v>0.45069444444444445</v>
      </c>
      <c r="I106" s="1" t="s">
        <v>146</v>
      </c>
      <c r="J106" s="1" t="s">
        <v>28</v>
      </c>
      <c r="K106" s="4">
        <v>0.7034722222222223</v>
      </c>
      <c r="L106" s="1" t="s">
        <v>38</v>
      </c>
      <c r="M106" s="1" t="s">
        <v>30</v>
      </c>
      <c r="N106" s="4">
        <v>0.9666666666666667</v>
      </c>
      <c r="O106" s="1" t="s">
        <v>110</v>
      </c>
      <c r="P106" s="1">
        <f t="shared" si="1"/>
        <v>108</v>
      </c>
      <c r="Q106" s="1">
        <f t="shared" si="2"/>
        <v>126</v>
      </c>
      <c r="R106" s="5">
        <f t="shared" si="3"/>
        <v>126</v>
      </c>
      <c r="S106" s="5" t="s">
        <v>47</v>
      </c>
    </row>
    <row r="107">
      <c r="A107" s="1" t="s">
        <v>413</v>
      </c>
      <c r="B107" s="2">
        <v>16.0</v>
      </c>
      <c r="C107" s="1" t="s">
        <v>26</v>
      </c>
      <c r="D107" s="1" t="s">
        <v>28</v>
      </c>
      <c r="E107" s="4">
        <v>0.21805555555555556</v>
      </c>
      <c r="F107" s="1" t="s">
        <v>38</v>
      </c>
      <c r="G107" s="1" t="s">
        <v>30</v>
      </c>
      <c r="H107" s="4">
        <v>0.4777777777777778</v>
      </c>
      <c r="I107" s="1" t="s">
        <v>108</v>
      </c>
      <c r="J107" s="1" t="s">
        <v>28</v>
      </c>
      <c r="K107" s="4">
        <v>0.7319444444444444</v>
      </c>
      <c r="L107" s="1" t="s">
        <v>412</v>
      </c>
      <c r="M107" s="1" t="s">
        <v>30</v>
      </c>
      <c r="N107" s="4">
        <v>0.9875</v>
      </c>
      <c r="O107" s="1" t="s">
        <v>58</v>
      </c>
      <c r="P107" s="1">
        <f t="shared" si="1"/>
        <v>137</v>
      </c>
      <c r="Q107" s="1">
        <f t="shared" si="2"/>
        <v>133</v>
      </c>
      <c r="R107" s="5">
        <f t="shared" si="3"/>
        <v>137</v>
      </c>
      <c r="S107" s="5" t="s">
        <v>47</v>
      </c>
    </row>
    <row r="108">
      <c r="A108" s="1" t="s">
        <v>413</v>
      </c>
      <c r="B108" s="2">
        <v>17.0</v>
      </c>
      <c r="C108" s="1" t="s">
        <v>34</v>
      </c>
      <c r="D108" s="1" t="s">
        <v>28</v>
      </c>
      <c r="E108" s="4">
        <v>0.2388888888888889</v>
      </c>
      <c r="F108" s="1" t="s">
        <v>211</v>
      </c>
      <c r="G108" s="1" t="s">
        <v>30</v>
      </c>
      <c r="H108" s="4">
        <v>0.5055555555555555</v>
      </c>
      <c r="I108" s="1" t="s">
        <v>300</v>
      </c>
      <c r="J108" s="1" t="s">
        <v>28</v>
      </c>
      <c r="K108" s="4">
        <v>0.7597222222222222</v>
      </c>
      <c r="L108" s="1" t="s">
        <v>338</v>
      </c>
      <c r="P108" s="1">
        <f t="shared" si="1"/>
        <v>161</v>
      </c>
      <c r="Q108" s="1">
        <f t="shared" si="2"/>
        <v>69</v>
      </c>
      <c r="R108" s="5">
        <f t="shared" si="3"/>
        <v>161</v>
      </c>
      <c r="S108" s="5" t="s">
        <v>47</v>
      </c>
    </row>
    <row r="109">
      <c r="A109" s="1" t="s">
        <v>413</v>
      </c>
      <c r="B109" s="2">
        <v>18.0</v>
      </c>
      <c r="C109" s="1" t="s">
        <v>41</v>
      </c>
      <c r="D109" s="1" t="s">
        <v>30</v>
      </c>
      <c r="E109" s="4">
        <v>0.009027777777777777</v>
      </c>
      <c r="F109" s="1" t="s">
        <v>88</v>
      </c>
      <c r="G109" s="1" t="s">
        <v>28</v>
      </c>
      <c r="H109" s="4">
        <v>0.26180555555555557</v>
      </c>
      <c r="I109" s="1" t="s">
        <v>414</v>
      </c>
      <c r="J109" s="1" t="s">
        <v>30</v>
      </c>
      <c r="K109" s="4">
        <v>0.5333333333333333</v>
      </c>
      <c r="L109" s="1" t="s">
        <v>415</v>
      </c>
      <c r="M109" s="1" t="s">
        <v>28</v>
      </c>
      <c r="N109" s="4">
        <v>0.7888888888888889</v>
      </c>
      <c r="O109" s="1" t="s">
        <v>167</v>
      </c>
      <c r="P109" s="1">
        <f t="shared" si="1"/>
        <v>147</v>
      </c>
      <c r="Q109" s="1">
        <f t="shared" si="2"/>
        <v>156</v>
      </c>
      <c r="R109" s="5">
        <f t="shared" si="3"/>
        <v>156</v>
      </c>
      <c r="S109" s="5" t="s">
        <v>47</v>
      </c>
    </row>
    <row r="110">
      <c r="A110" s="1" t="s">
        <v>413</v>
      </c>
      <c r="B110" s="2">
        <v>19.0</v>
      </c>
      <c r="C110" s="1" t="s">
        <v>55</v>
      </c>
      <c r="D110" s="1" t="s">
        <v>30</v>
      </c>
      <c r="E110" s="4">
        <v>0.03125</v>
      </c>
      <c r="F110" s="1" t="s">
        <v>99</v>
      </c>
      <c r="G110" s="1" t="s">
        <v>28</v>
      </c>
      <c r="H110" s="4">
        <v>0.2861111111111111</v>
      </c>
      <c r="I110" s="1" t="s">
        <v>416</v>
      </c>
      <c r="J110" s="1" t="s">
        <v>30</v>
      </c>
      <c r="K110" s="4">
        <v>0.5638888888888889</v>
      </c>
      <c r="L110" s="1" t="s">
        <v>175</v>
      </c>
      <c r="M110" s="1" t="s">
        <v>28</v>
      </c>
      <c r="N110" s="4">
        <v>0.81875</v>
      </c>
      <c r="O110" s="1" t="s">
        <v>195</v>
      </c>
      <c r="P110" s="1">
        <f t="shared" si="1"/>
        <v>147</v>
      </c>
      <c r="Q110" s="1">
        <f t="shared" si="2"/>
        <v>146</v>
      </c>
      <c r="R110" s="5">
        <f t="shared" si="3"/>
        <v>147</v>
      </c>
      <c r="S110" s="5" t="s">
        <v>47</v>
      </c>
    </row>
    <row r="111">
      <c r="A111" s="1" t="s">
        <v>413</v>
      </c>
      <c r="B111" s="2">
        <v>20.0</v>
      </c>
      <c r="C111" s="1" t="s">
        <v>25</v>
      </c>
      <c r="D111" s="1" t="s">
        <v>30</v>
      </c>
      <c r="E111" s="4">
        <v>0.05416666666666667</v>
      </c>
      <c r="F111" s="1" t="s">
        <v>31</v>
      </c>
      <c r="G111" s="1" t="s">
        <v>28</v>
      </c>
      <c r="H111" s="4">
        <v>0.31319444444444444</v>
      </c>
      <c r="I111" s="1" t="s">
        <v>417</v>
      </c>
      <c r="J111" s="1" t="s">
        <v>30</v>
      </c>
      <c r="K111" s="4">
        <v>0.5958333333333333</v>
      </c>
      <c r="L111" s="1" t="s">
        <v>177</v>
      </c>
      <c r="M111" s="1" t="s">
        <v>28</v>
      </c>
      <c r="N111" s="4">
        <v>0.8513888888888889</v>
      </c>
      <c r="O111" s="1" t="s">
        <v>262</v>
      </c>
      <c r="P111" s="1">
        <f t="shared" si="1"/>
        <v>139</v>
      </c>
      <c r="Q111" s="1">
        <f t="shared" si="2"/>
        <v>127</v>
      </c>
      <c r="R111" s="5">
        <f t="shared" si="3"/>
        <v>139</v>
      </c>
      <c r="S111" s="5" t="s">
        <v>47</v>
      </c>
    </row>
    <row r="112">
      <c r="A112" s="1" t="s">
        <v>413</v>
      </c>
      <c r="B112" s="2">
        <v>21.0</v>
      </c>
      <c r="C112" s="1" t="s">
        <v>75</v>
      </c>
      <c r="D112" s="1" t="s">
        <v>30</v>
      </c>
      <c r="E112" s="4">
        <v>0.07847222222222222</v>
      </c>
      <c r="F112" s="1" t="s">
        <v>117</v>
      </c>
      <c r="G112" s="1" t="s">
        <v>28</v>
      </c>
      <c r="H112" s="4">
        <v>0.3423611111111111</v>
      </c>
      <c r="I112" s="1" t="s">
        <v>419</v>
      </c>
      <c r="J112" s="1" t="s">
        <v>30</v>
      </c>
      <c r="K112" s="4">
        <v>0.6319444444444444</v>
      </c>
      <c r="L112" s="1" t="s">
        <v>129</v>
      </c>
      <c r="M112" s="1" t="s">
        <v>28</v>
      </c>
      <c r="N112" s="4">
        <v>0.8875</v>
      </c>
      <c r="O112" s="1" t="s">
        <v>123</v>
      </c>
      <c r="P112" s="1">
        <f t="shared" si="1"/>
        <v>124</v>
      </c>
      <c r="Q112" s="1">
        <f t="shared" si="2"/>
        <v>101</v>
      </c>
      <c r="R112" s="5">
        <f t="shared" si="3"/>
        <v>124</v>
      </c>
      <c r="S112" s="5" t="s">
        <v>47</v>
      </c>
    </row>
    <row r="113">
      <c r="A113" s="1" t="s">
        <v>413</v>
      </c>
      <c r="B113" s="2">
        <v>22.0</v>
      </c>
      <c r="C113" s="1" t="s">
        <v>86</v>
      </c>
      <c r="D113" s="1" t="s">
        <v>30</v>
      </c>
      <c r="E113" s="4">
        <v>0.10555555555555556</v>
      </c>
      <c r="F113" s="1" t="s">
        <v>328</v>
      </c>
      <c r="G113" s="1" t="s">
        <v>28</v>
      </c>
      <c r="H113" s="4">
        <v>0.37569444444444444</v>
      </c>
      <c r="I113" s="1" t="s">
        <v>338</v>
      </c>
      <c r="J113" s="1" t="s">
        <v>30</v>
      </c>
      <c r="K113" s="4">
        <v>0.6756944444444445</v>
      </c>
      <c r="L113" s="1" t="s">
        <v>313</v>
      </c>
      <c r="M113" s="1" t="s">
        <v>28</v>
      </c>
      <c r="N113" s="4">
        <v>0.9354166666666667</v>
      </c>
      <c r="O113" s="1" t="s">
        <v>44</v>
      </c>
      <c r="P113" s="1">
        <f t="shared" si="1"/>
        <v>103</v>
      </c>
      <c r="Q113" s="1">
        <f t="shared" si="2"/>
        <v>74</v>
      </c>
      <c r="R113" s="5">
        <f t="shared" si="3"/>
        <v>103</v>
      </c>
      <c r="S113" s="5" t="s">
        <v>90</v>
      </c>
    </row>
    <row r="114">
      <c r="A114" s="1" t="s">
        <v>413</v>
      </c>
      <c r="B114" s="2">
        <v>23.0</v>
      </c>
      <c r="C114" s="1" t="s">
        <v>26</v>
      </c>
      <c r="D114" s="1" t="s">
        <v>30</v>
      </c>
      <c r="E114" s="4">
        <v>0.13958333333333334</v>
      </c>
      <c r="F114" s="1" t="s">
        <v>422</v>
      </c>
      <c r="G114" s="1" t="s">
        <v>28</v>
      </c>
      <c r="H114" s="4">
        <v>0.4173611111111111</v>
      </c>
      <c r="I114" s="1" t="s">
        <v>388</v>
      </c>
      <c r="J114" s="1" t="s">
        <v>30</v>
      </c>
      <c r="K114" s="4">
        <v>0.7333333333333333</v>
      </c>
      <c r="L114" s="1" t="s">
        <v>31</v>
      </c>
      <c r="P114" s="1">
        <f t="shared" si="1"/>
        <v>80</v>
      </c>
      <c r="Q114" s="1">
        <f t="shared" si="2"/>
        <v>52</v>
      </c>
      <c r="R114" s="5">
        <f t="shared" si="3"/>
        <v>80</v>
      </c>
      <c r="S114" s="5" t="s">
        <v>39</v>
      </c>
    </row>
    <row r="115">
      <c r="A115" s="1" t="s">
        <v>413</v>
      </c>
      <c r="B115" s="2">
        <v>24.0</v>
      </c>
      <c r="C115" s="1" t="s">
        <v>34</v>
      </c>
      <c r="D115" s="1" t="s">
        <v>28</v>
      </c>
      <c r="E115" s="4">
        <v>0.003472222222222222</v>
      </c>
      <c r="F115" s="1" t="s">
        <v>426</v>
      </c>
      <c r="G115" s="1" t="s">
        <v>30</v>
      </c>
      <c r="H115" s="4">
        <v>0.19375</v>
      </c>
      <c r="I115" s="1" t="s">
        <v>427</v>
      </c>
      <c r="J115" s="1" t="s">
        <v>28</v>
      </c>
      <c r="K115" s="4">
        <v>0.4756944444444444</v>
      </c>
      <c r="L115" s="1" t="s">
        <v>360</v>
      </c>
      <c r="M115" s="1" t="s">
        <v>30</v>
      </c>
      <c r="N115" s="4">
        <v>0.8034722222222223</v>
      </c>
      <c r="O115" s="1" t="s">
        <v>112</v>
      </c>
      <c r="P115" s="1">
        <f t="shared" si="1"/>
        <v>20</v>
      </c>
      <c r="Q115" s="1">
        <f t="shared" si="2"/>
        <v>91</v>
      </c>
      <c r="R115" s="5">
        <f t="shared" si="3"/>
        <v>91</v>
      </c>
      <c r="S115" s="5" t="s">
        <v>90</v>
      </c>
    </row>
    <row r="116">
      <c r="A116" s="1" t="s">
        <v>413</v>
      </c>
      <c r="B116" s="2">
        <v>25.0</v>
      </c>
      <c r="C116" s="1" t="s">
        <v>41</v>
      </c>
      <c r="D116" s="1" t="s">
        <v>28</v>
      </c>
      <c r="E116" s="4">
        <v>0.07430555555555556</v>
      </c>
      <c r="F116" s="1" t="s">
        <v>359</v>
      </c>
      <c r="G116" s="1" t="s">
        <v>30</v>
      </c>
      <c r="H116" s="4">
        <v>0.27847222222222223</v>
      </c>
      <c r="I116" s="1" t="s">
        <v>290</v>
      </c>
      <c r="J116" s="1" t="s">
        <v>28</v>
      </c>
      <c r="K116" s="4">
        <v>0.55</v>
      </c>
      <c r="L116" s="1" t="s">
        <v>131</v>
      </c>
      <c r="M116" s="1" t="s">
        <v>30</v>
      </c>
      <c r="N116" s="4">
        <v>0.8576388888888888</v>
      </c>
      <c r="O116" s="1" t="s">
        <v>112</v>
      </c>
      <c r="P116" s="1">
        <f t="shared" si="1"/>
        <v>22</v>
      </c>
      <c r="Q116" s="1">
        <f t="shared" si="2"/>
        <v>87</v>
      </c>
      <c r="R116" s="5">
        <f t="shared" si="3"/>
        <v>87</v>
      </c>
      <c r="S116" s="5" t="s">
        <v>39</v>
      </c>
    </row>
    <row r="117">
      <c r="A117" s="1" t="s">
        <v>413</v>
      </c>
      <c r="B117" s="2">
        <v>26.0</v>
      </c>
      <c r="C117" s="1" t="s">
        <v>55</v>
      </c>
      <c r="D117" s="1" t="s">
        <v>28</v>
      </c>
      <c r="E117" s="4">
        <v>0.11944444444444445</v>
      </c>
      <c r="F117" s="1" t="s">
        <v>296</v>
      </c>
      <c r="G117" s="1" t="s">
        <v>30</v>
      </c>
      <c r="H117" s="4">
        <v>0.35694444444444445</v>
      </c>
      <c r="I117" s="1" t="s">
        <v>291</v>
      </c>
      <c r="J117" s="1" t="s">
        <v>28</v>
      </c>
      <c r="K117" s="4">
        <v>0.6090277777777777</v>
      </c>
      <c r="L117" s="1" t="s">
        <v>251</v>
      </c>
      <c r="M117" s="1" t="s">
        <v>30</v>
      </c>
      <c r="N117" s="4">
        <v>0.8951388888888889</v>
      </c>
      <c r="O117" s="1" t="s">
        <v>118</v>
      </c>
      <c r="P117" s="1">
        <f t="shared" si="1"/>
        <v>42</v>
      </c>
      <c r="Q117" s="1">
        <f t="shared" si="2"/>
        <v>91</v>
      </c>
      <c r="R117" s="5">
        <f t="shared" si="3"/>
        <v>91</v>
      </c>
      <c r="S117" s="5" t="s">
        <v>90</v>
      </c>
    </row>
    <row r="118">
      <c r="A118" s="1" t="s">
        <v>413</v>
      </c>
      <c r="B118" s="2">
        <v>27.0</v>
      </c>
      <c r="C118" s="1" t="s">
        <v>25</v>
      </c>
      <c r="D118" s="1" t="s">
        <v>28</v>
      </c>
      <c r="E118" s="4">
        <v>0.1486111111111111</v>
      </c>
      <c r="F118" s="1" t="s">
        <v>128</v>
      </c>
      <c r="G118" s="1" t="s">
        <v>30</v>
      </c>
      <c r="H118" s="4">
        <v>0.4027777777777778</v>
      </c>
      <c r="I118" s="1" t="s">
        <v>191</v>
      </c>
      <c r="J118" s="1" t="s">
        <v>28</v>
      </c>
      <c r="K118" s="4">
        <v>0.6520833333333333</v>
      </c>
      <c r="L118" s="1" t="s">
        <v>335</v>
      </c>
      <c r="M118" s="1" t="s">
        <v>30</v>
      </c>
      <c r="N118" s="4">
        <v>0.9229166666666667</v>
      </c>
      <c r="O118" s="1" t="s">
        <v>118</v>
      </c>
      <c r="P118" s="1">
        <f t="shared" si="1"/>
        <v>67</v>
      </c>
      <c r="Q118" s="1">
        <f t="shared" si="2"/>
        <v>95</v>
      </c>
      <c r="R118" s="5">
        <f t="shared" si="3"/>
        <v>95</v>
      </c>
      <c r="S118" s="5" t="s">
        <v>90</v>
      </c>
    </row>
    <row r="119">
      <c r="A119" s="1" t="s">
        <v>413</v>
      </c>
      <c r="B119" s="2">
        <v>28.0</v>
      </c>
      <c r="C119" s="1" t="s">
        <v>75</v>
      </c>
      <c r="D119" s="1" t="s">
        <v>28</v>
      </c>
      <c r="E119" s="4">
        <v>0.17222222222222222</v>
      </c>
      <c r="F119" s="1" t="s">
        <v>251</v>
      </c>
      <c r="G119" s="1" t="s">
        <v>30</v>
      </c>
      <c r="H119" s="4">
        <v>0.4354166666666667</v>
      </c>
      <c r="I119" s="1" t="s">
        <v>200</v>
      </c>
      <c r="J119" s="1" t="s">
        <v>28</v>
      </c>
      <c r="K119" s="4">
        <v>0.6861111111111111</v>
      </c>
      <c r="L119" s="1" t="s">
        <v>89</v>
      </c>
      <c r="M119" s="1" t="s">
        <v>30</v>
      </c>
      <c r="N119" s="4">
        <v>0.9458333333333333</v>
      </c>
      <c r="O119" s="1" t="s">
        <v>118</v>
      </c>
      <c r="P119" s="1">
        <f t="shared" si="1"/>
        <v>90</v>
      </c>
      <c r="Q119" s="1">
        <f t="shared" si="2"/>
        <v>98</v>
      </c>
      <c r="R119" s="5">
        <f t="shared" si="3"/>
        <v>98</v>
      </c>
      <c r="S119" s="5" t="s">
        <v>90</v>
      </c>
    </row>
    <row r="120">
      <c r="A120" s="1" t="s">
        <v>413</v>
      </c>
      <c r="B120" s="2">
        <v>29.0</v>
      </c>
      <c r="C120" s="1" t="s">
        <v>86</v>
      </c>
      <c r="D120" s="1" t="s">
        <v>28</v>
      </c>
      <c r="E120" s="4">
        <v>0.19375</v>
      </c>
      <c r="F120" s="1" t="s">
        <v>307</v>
      </c>
      <c r="G120" s="1" t="s">
        <v>30</v>
      </c>
      <c r="H120" s="4">
        <v>0.4618055555555556</v>
      </c>
      <c r="I120" s="1" t="s">
        <v>45</v>
      </c>
      <c r="J120" s="1" t="s">
        <v>28</v>
      </c>
      <c r="K120" s="4">
        <v>0.7145833333333333</v>
      </c>
      <c r="L120" s="1" t="s">
        <v>265</v>
      </c>
      <c r="M120" s="1" t="s">
        <v>30</v>
      </c>
      <c r="N120" s="4">
        <v>0.9645833333333333</v>
      </c>
      <c r="O120" s="1" t="s">
        <v>118</v>
      </c>
      <c r="P120" s="1">
        <f t="shared" si="1"/>
        <v>110</v>
      </c>
      <c r="Q120" s="1">
        <f t="shared" si="2"/>
        <v>99</v>
      </c>
      <c r="R120" s="5">
        <f t="shared" si="3"/>
        <v>110</v>
      </c>
      <c r="S120" s="5" t="s">
        <v>90</v>
      </c>
    </row>
    <row r="121">
      <c r="A121" s="1" t="s">
        <v>413</v>
      </c>
      <c r="B121" s="2">
        <v>30.0</v>
      </c>
      <c r="C121" s="1" t="s">
        <v>26</v>
      </c>
      <c r="D121" s="1" t="s">
        <v>28</v>
      </c>
      <c r="E121" s="4">
        <v>0.21388888888888888</v>
      </c>
      <c r="F121" s="1" t="s">
        <v>434</v>
      </c>
      <c r="G121" s="1" t="s">
        <v>30</v>
      </c>
      <c r="H121" s="4">
        <v>0.4861111111111111</v>
      </c>
      <c r="I121" s="1" t="s">
        <v>174</v>
      </c>
      <c r="J121" s="1" t="s">
        <v>28</v>
      </c>
      <c r="K121" s="4">
        <v>0.7409722222222223</v>
      </c>
      <c r="L121" s="1" t="s">
        <v>89</v>
      </c>
      <c r="M121" s="1" t="s">
        <v>30</v>
      </c>
      <c r="N121" s="4">
        <v>0.9826388888888888</v>
      </c>
      <c r="O121" s="1" t="s">
        <v>200</v>
      </c>
      <c r="P121" s="1">
        <f t="shared" si="1"/>
        <v>126</v>
      </c>
      <c r="Q121" s="1">
        <f t="shared" si="2"/>
        <v>97</v>
      </c>
      <c r="R121" s="5">
        <f t="shared" si="3"/>
        <v>126</v>
      </c>
      <c r="S121" s="5" t="s">
        <v>47</v>
      </c>
    </row>
    <row r="122">
      <c r="A122" s="1" t="s">
        <v>454</v>
      </c>
      <c r="B122" s="2">
        <v>1.0</v>
      </c>
      <c r="C122" s="1" t="s">
        <v>34</v>
      </c>
      <c r="D122" s="1" t="s">
        <v>28</v>
      </c>
      <c r="E122" s="4">
        <v>0.23402777777777778</v>
      </c>
      <c r="F122" s="1" t="s">
        <v>216</v>
      </c>
      <c r="G122" s="1" t="s">
        <v>30</v>
      </c>
      <c r="H122" s="4">
        <v>0.5083333333333333</v>
      </c>
      <c r="I122" s="1" t="s">
        <v>215</v>
      </c>
      <c r="J122" s="1" t="s">
        <v>28</v>
      </c>
      <c r="K122" s="4">
        <v>0.7652777777777777</v>
      </c>
      <c r="L122" s="1" t="s">
        <v>179</v>
      </c>
      <c r="P122" s="1">
        <f t="shared" si="1"/>
        <v>137</v>
      </c>
      <c r="Q122" s="1">
        <f t="shared" si="2"/>
        <v>45</v>
      </c>
      <c r="R122" s="5">
        <f t="shared" si="3"/>
        <v>137</v>
      </c>
      <c r="S122" s="5" t="s">
        <v>47</v>
      </c>
    </row>
    <row r="123">
      <c r="A123" s="1" t="s">
        <v>454</v>
      </c>
      <c r="B123" s="2">
        <v>2.0</v>
      </c>
      <c r="C123" s="1" t="s">
        <v>41</v>
      </c>
      <c r="D123" s="1" t="s">
        <v>30</v>
      </c>
      <c r="E123" s="4">
        <v>6.944444444444445E-4</v>
      </c>
      <c r="F123" s="1" t="s">
        <v>223</v>
      </c>
      <c r="G123" s="1" t="s">
        <v>28</v>
      </c>
      <c r="H123" s="4">
        <v>0.2534722222222222</v>
      </c>
      <c r="I123" s="1" t="s">
        <v>436</v>
      </c>
      <c r="J123" s="1" t="s">
        <v>30</v>
      </c>
      <c r="K123" s="4">
        <v>0.5298611111111111</v>
      </c>
      <c r="L123" s="1" t="s">
        <v>386</v>
      </c>
      <c r="M123" s="1" t="s">
        <v>28</v>
      </c>
      <c r="N123" s="4">
        <v>0.7888888888888889</v>
      </c>
      <c r="O123" s="1" t="s">
        <v>292</v>
      </c>
      <c r="P123" s="1">
        <f t="shared" si="1"/>
        <v>114</v>
      </c>
      <c r="Q123" s="1">
        <f t="shared" si="2"/>
        <v>117</v>
      </c>
      <c r="R123" s="5">
        <f t="shared" si="3"/>
        <v>117</v>
      </c>
      <c r="S123" s="5" t="s">
        <v>90</v>
      </c>
    </row>
    <row r="124">
      <c r="A124" s="1" t="s">
        <v>454</v>
      </c>
      <c r="B124" s="2">
        <v>3.0</v>
      </c>
      <c r="C124" s="1" t="s">
        <v>55</v>
      </c>
      <c r="D124" s="1" t="s">
        <v>30</v>
      </c>
      <c r="E124" s="4">
        <v>0.019444444444444445</v>
      </c>
      <c r="F124" s="1" t="s">
        <v>115</v>
      </c>
      <c r="G124" s="1" t="s">
        <v>28</v>
      </c>
      <c r="H124" s="4">
        <v>0.27361111111111114</v>
      </c>
      <c r="I124" s="1" t="s">
        <v>338</v>
      </c>
      <c r="J124" s="1" t="s">
        <v>30</v>
      </c>
      <c r="K124" s="4">
        <v>0.5520833333333334</v>
      </c>
      <c r="L124" s="1" t="s">
        <v>386</v>
      </c>
      <c r="M124" s="1" t="s">
        <v>28</v>
      </c>
      <c r="N124" s="4">
        <v>0.8118055555555556</v>
      </c>
      <c r="O124" s="1" t="s">
        <v>402</v>
      </c>
      <c r="P124" s="1">
        <f t="shared" si="1"/>
        <v>114</v>
      </c>
      <c r="Q124" s="1">
        <f t="shared" si="2"/>
        <v>111</v>
      </c>
      <c r="R124" s="5">
        <f t="shared" si="3"/>
        <v>114</v>
      </c>
      <c r="S124" s="5" t="s">
        <v>90</v>
      </c>
    </row>
    <row r="125">
      <c r="A125" s="1" t="s">
        <v>454</v>
      </c>
      <c r="B125" s="2">
        <v>4.0</v>
      </c>
      <c r="C125" s="1" t="s">
        <v>25</v>
      </c>
      <c r="D125" s="1" t="s">
        <v>30</v>
      </c>
      <c r="E125" s="4">
        <v>0.03819444444444445</v>
      </c>
      <c r="F125" s="1" t="s">
        <v>333</v>
      </c>
      <c r="G125" s="1" t="s">
        <v>28</v>
      </c>
      <c r="H125" s="4">
        <v>0.29375</v>
      </c>
      <c r="I125" s="1" t="s">
        <v>436</v>
      </c>
      <c r="J125" s="1" t="s">
        <v>30</v>
      </c>
      <c r="K125" s="4">
        <v>0.5743055555555555</v>
      </c>
      <c r="L125" s="1" t="s">
        <v>215</v>
      </c>
      <c r="M125" s="1" t="s">
        <v>28</v>
      </c>
      <c r="N125" s="4">
        <v>0.8347222222222223</v>
      </c>
      <c r="O125" s="1" t="s">
        <v>181</v>
      </c>
      <c r="P125" s="1">
        <f t="shared" si="1"/>
        <v>110</v>
      </c>
      <c r="Q125" s="1">
        <f t="shared" si="2"/>
        <v>101</v>
      </c>
      <c r="R125" s="5">
        <f t="shared" si="3"/>
        <v>110</v>
      </c>
      <c r="S125" s="5" t="s">
        <v>90</v>
      </c>
    </row>
    <row r="126">
      <c r="A126" s="1" t="s">
        <v>454</v>
      </c>
      <c r="B126" s="2">
        <v>5.0</v>
      </c>
      <c r="C126" s="1" t="s">
        <v>75</v>
      </c>
      <c r="D126" s="1" t="s">
        <v>30</v>
      </c>
      <c r="E126" s="4">
        <v>0.05763888888888889</v>
      </c>
      <c r="F126" s="1" t="s">
        <v>120</v>
      </c>
      <c r="G126" s="1" t="s">
        <v>28</v>
      </c>
      <c r="H126" s="4">
        <v>0.3145833333333333</v>
      </c>
      <c r="I126" s="1" t="s">
        <v>385</v>
      </c>
      <c r="J126" s="1" t="s">
        <v>30</v>
      </c>
      <c r="K126" s="4">
        <v>0.5979166666666667</v>
      </c>
      <c r="L126" s="1" t="s">
        <v>274</v>
      </c>
      <c r="M126" s="1" t="s">
        <v>28</v>
      </c>
      <c r="N126" s="4">
        <v>0.8576388888888888</v>
      </c>
      <c r="O126" s="1" t="s">
        <v>256</v>
      </c>
      <c r="P126" s="1">
        <f t="shared" si="1"/>
        <v>105</v>
      </c>
      <c r="Q126" s="1">
        <f t="shared" si="2"/>
        <v>89</v>
      </c>
      <c r="R126" s="5">
        <f t="shared" si="3"/>
        <v>105</v>
      </c>
      <c r="S126" s="5" t="s">
        <v>90</v>
      </c>
    </row>
    <row r="127">
      <c r="A127" s="1" t="s">
        <v>454</v>
      </c>
      <c r="B127" s="2">
        <v>6.0</v>
      </c>
      <c r="C127" s="1" t="s">
        <v>86</v>
      </c>
      <c r="D127" s="1" t="s">
        <v>30</v>
      </c>
      <c r="E127" s="4">
        <v>0.07777777777777778</v>
      </c>
      <c r="F127" s="1" t="s">
        <v>328</v>
      </c>
      <c r="G127" s="1" t="s">
        <v>28</v>
      </c>
      <c r="H127" s="4">
        <v>0.33819444444444446</v>
      </c>
      <c r="I127" s="1" t="s">
        <v>158</v>
      </c>
      <c r="J127" s="1" t="s">
        <v>30</v>
      </c>
      <c r="K127" s="4">
        <v>0.6229166666666667</v>
      </c>
      <c r="L127" s="1" t="s">
        <v>45</v>
      </c>
      <c r="M127" s="1" t="s">
        <v>28</v>
      </c>
      <c r="N127" s="4">
        <v>0.8833333333333333</v>
      </c>
      <c r="O127" s="1" t="s">
        <v>65</v>
      </c>
      <c r="P127" s="1">
        <f t="shared" si="1"/>
        <v>95</v>
      </c>
      <c r="Q127" s="1">
        <f t="shared" si="2"/>
        <v>74</v>
      </c>
      <c r="R127" s="5">
        <f t="shared" si="3"/>
        <v>95</v>
      </c>
      <c r="S127" s="5" t="s">
        <v>90</v>
      </c>
    </row>
    <row r="128">
      <c r="A128" s="1" t="s">
        <v>454</v>
      </c>
      <c r="B128" s="2">
        <v>7.0</v>
      </c>
      <c r="C128" s="1" t="s">
        <v>26</v>
      </c>
      <c r="D128" s="1" t="s">
        <v>30</v>
      </c>
      <c r="E128" s="4">
        <v>0.10069444444444445</v>
      </c>
      <c r="F128" s="1" t="s">
        <v>327</v>
      </c>
      <c r="G128" s="1" t="s">
        <v>28</v>
      </c>
      <c r="H128" s="4">
        <v>0.3638888888888889</v>
      </c>
      <c r="I128" s="1" t="s">
        <v>147</v>
      </c>
      <c r="J128" s="1" t="s">
        <v>30</v>
      </c>
      <c r="K128" s="4">
        <v>0.6520833333333333</v>
      </c>
      <c r="L128" s="1" t="s">
        <v>134</v>
      </c>
      <c r="M128" s="1" t="s">
        <v>28</v>
      </c>
      <c r="N128" s="4">
        <v>0.9159722222222222</v>
      </c>
      <c r="O128" s="1" t="s">
        <v>44</v>
      </c>
      <c r="P128" s="1">
        <f t="shared" si="1"/>
        <v>83</v>
      </c>
      <c r="Q128" s="1">
        <f t="shared" si="2"/>
        <v>60</v>
      </c>
      <c r="R128" s="5">
        <f t="shared" si="3"/>
        <v>83</v>
      </c>
      <c r="S128" s="5" t="s">
        <v>39</v>
      </c>
    </row>
    <row r="129">
      <c r="A129" s="1" t="s">
        <v>454</v>
      </c>
      <c r="B129" s="2">
        <v>8.0</v>
      </c>
      <c r="C129" s="1" t="s">
        <v>34</v>
      </c>
      <c r="D129" s="1" t="s">
        <v>30</v>
      </c>
      <c r="E129" s="4">
        <v>0.1284722222222222</v>
      </c>
      <c r="F129" s="1" t="s">
        <v>291</v>
      </c>
      <c r="G129" s="1" t="s">
        <v>28</v>
      </c>
      <c r="H129" s="4">
        <v>0.39444444444444443</v>
      </c>
      <c r="I129" s="1" t="s">
        <v>301</v>
      </c>
      <c r="J129" s="1" t="s">
        <v>30</v>
      </c>
      <c r="K129" s="4">
        <v>0.6902777777777778</v>
      </c>
      <c r="L129" s="1" t="s">
        <v>446</v>
      </c>
      <c r="M129" s="1" t="s">
        <v>28</v>
      </c>
      <c r="N129" s="4">
        <v>0.9673611111111111</v>
      </c>
      <c r="O129" s="1" t="s">
        <v>36</v>
      </c>
      <c r="P129" s="1">
        <f t="shared" si="1"/>
        <v>69</v>
      </c>
      <c r="Q129" s="1">
        <f t="shared" si="2"/>
        <v>48</v>
      </c>
      <c r="R129" s="5">
        <f t="shared" si="3"/>
        <v>69</v>
      </c>
      <c r="S129" s="5" t="s">
        <v>39</v>
      </c>
    </row>
    <row r="130">
      <c r="A130" s="1" t="s">
        <v>454</v>
      </c>
      <c r="B130" s="2">
        <v>9.0</v>
      </c>
      <c r="C130" s="1" t="s">
        <v>41</v>
      </c>
      <c r="D130" s="1" t="s">
        <v>30</v>
      </c>
      <c r="E130" s="4">
        <v>0.16805555555555557</v>
      </c>
      <c r="F130" s="1" t="s">
        <v>427</v>
      </c>
      <c r="G130" s="1" t="s">
        <v>28</v>
      </c>
      <c r="H130" s="4">
        <v>0.4354166666666667</v>
      </c>
      <c r="I130" s="1" t="s">
        <v>131</v>
      </c>
      <c r="J130" s="1" t="s">
        <v>30</v>
      </c>
      <c r="K130" s="4">
        <v>0.74375</v>
      </c>
      <c r="L130" s="1" t="s">
        <v>286</v>
      </c>
      <c r="P130" s="1">
        <f t="shared" si="1"/>
        <v>55</v>
      </c>
      <c r="Q130" s="1">
        <f t="shared" si="2"/>
        <v>35</v>
      </c>
      <c r="R130" s="5">
        <f t="shared" si="3"/>
        <v>55</v>
      </c>
      <c r="S130" s="5" t="s">
        <v>39</v>
      </c>
    </row>
    <row r="131">
      <c r="A131" s="1" t="s">
        <v>454</v>
      </c>
      <c r="B131" s="2">
        <v>10.0</v>
      </c>
      <c r="C131" s="1" t="s">
        <v>55</v>
      </c>
      <c r="D131" s="1" t="s">
        <v>28</v>
      </c>
      <c r="E131" s="4">
        <v>0.03125</v>
      </c>
      <c r="F131" s="1" t="s">
        <v>44</v>
      </c>
      <c r="G131" s="1" t="s">
        <v>30</v>
      </c>
      <c r="H131" s="4">
        <v>0.23125</v>
      </c>
      <c r="I131" s="1" t="s">
        <v>116</v>
      </c>
      <c r="J131" s="1" t="s">
        <v>28</v>
      </c>
      <c r="K131" s="4">
        <v>0.49166666666666664</v>
      </c>
      <c r="L131" s="1" t="s">
        <v>402</v>
      </c>
      <c r="M131" s="1" t="s">
        <v>30</v>
      </c>
      <c r="N131" s="4">
        <v>0.8013888888888889</v>
      </c>
      <c r="O131" s="1" t="s">
        <v>286</v>
      </c>
      <c r="P131" s="1">
        <f t="shared" si="1"/>
        <v>21</v>
      </c>
      <c r="Q131" s="1">
        <f t="shared" si="2"/>
        <v>70</v>
      </c>
      <c r="R131" s="5">
        <f t="shared" si="3"/>
        <v>70</v>
      </c>
      <c r="S131" s="5" t="s">
        <v>39</v>
      </c>
    </row>
    <row r="132">
      <c r="A132" s="1" t="s">
        <v>454</v>
      </c>
      <c r="B132" s="2">
        <v>11.0</v>
      </c>
      <c r="C132" s="1" t="s">
        <v>25</v>
      </c>
      <c r="D132" s="1" t="s">
        <v>28</v>
      </c>
      <c r="E132" s="4">
        <v>0.07847222222222222</v>
      </c>
      <c r="F132" s="1" t="s">
        <v>230</v>
      </c>
      <c r="G132" s="1" t="s">
        <v>30</v>
      </c>
      <c r="H132" s="4">
        <v>0.3020833333333333</v>
      </c>
      <c r="I132" s="1" t="s">
        <v>427</v>
      </c>
      <c r="J132" s="1" t="s">
        <v>28</v>
      </c>
      <c r="K132" s="4">
        <v>0.5541666666666667</v>
      </c>
      <c r="L132" s="1" t="s">
        <v>220</v>
      </c>
      <c r="M132" s="1" t="s">
        <v>30</v>
      </c>
      <c r="N132" s="4">
        <v>0.8451388888888889</v>
      </c>
      <c r="O132" s="1" t="s">
        <v>122</v>
      </c>
      <c r="P132" s="1">
        <f t="shared" si="1"/>
        <v>34</v>
      </c>
      <c r="Q132" s="1">
        <f t="shared" si="2"/>
        <v>74</v>
      </c>
      <c r="R132" s="5">
        <f t="shared" si="3"/>
        <v>74</v>
      </c>
      <c r="S132" s="5" t="s">
        <v>39</v>
      </c>
    </row>
    <row r="133">
      <c r="A133" s="1" t="s">
        <v>454</v>
      </c>
      <c r="B133" s="2">
        <v>12.0</v>
      </c>
      <c r="C133" s="1" t="s">
        <v>75</v>
      </c>
      <c r="D133" s="1" t="s">
        <v>28</v>
      </c>
      <c r="E133" s="4">
        <v>0.1111111111111111</v>
      </c>
      <c r="F133" s="1" t="s">
        <v>128</v>
      </c>
      <c r="G133" s="1" t="s">
        <v>30</v>
      </c>
      <c r="H133" s="4">
        <v>0.35555555555555557</v>
      </c>
      <c r="I133" s="1" t="s">
        <v>236</v>
      </c>
      <c r="J133" s="1" t="s">
        <v>28</v>
      </c>
      <c r="K133" s="4">
        <v>0.6055555555555555</v>
      </c>
      <c r="L133" s="1" t="s">
        <v>251</v>
      </c>
      <c r="M133" s="1" t="s">
        <v>30</v>
      </c>
      <c r="N133" s="4">
        <v>0.8784722222222222</v>
      </c>
      <c r="O133" s="1" t="s">
        <v>446</v>
      </c>
      <c r="P133" s="1">
        <f t="shared" si="1"/>
        <v>58</v>
      </c>
      <c r="Q133" s="1">
        <f t="shared" si="2"/>
        <v>83</v>
      </c>
      <c r="R133" s="5">
        <f t="shared" si="3"/>
        <v>83</v>
      </c>
      <c r="S133" s="5" t="s">
        <v>39</v>
      </c>
    </row>
    <row r="134">
      <c r="A134" s="1" t="s">
        <v>454</v>
      </c>
      <c r="B134" s="2">
        <v>13.0</v>
      </c>
      <c r="C134" s="1" t="s">
        <v>86</v>
      </c>
      <c r="D134" s="1" t="s">
        <v>28</v>
      </c>
      <c r="E134" s="4">
        <v>0.1375</v>
      </c>
      <c r="F134" s="1" t="s">
        <v>360</v>
      </c>
      <c r="G134" s="1" t="s">
        <v>30</v>
      </c>
      <c r="H134" s="4">
        <v>0.3951388888888889</v>
      </c>
      <c r="I134" s="1" t="s">
        <v>224</v>
      </c>
      <c r="J134" s="1" t="s">
        <v>28</v>
      </c>
      <c r="K134" s="4">
        <v>0.6465277777777778</v>
      </c>
      <c r="L134" s="1" t="s">
        <v>89</v>
      </c>
      <c r="M134" s="1" t="s">
        <v>30</v>
      </c>
      <c r="N134" s="4">
        <v>0.9069444444444444</v>
      </c>
      <c r="O134" s="1" t="s">
        <v>115</v>
      </c>
      <c r="P134" s="1">
        <f t="shared" si="1"/>
        <v>87</v>
      </c>
      <c r="Q134" s="1">
        <f t="shared" si="2"/>
        <v>94</v>
      </c>
      <c r="R134" s="5">
        <f t="shared" si="3"/>
        <v>94</v>
      </c>
      <c r="S134" s="5" t="s">
        <v>90</v>
      </c>
    </row>
    <row r="135">
      <c r="A135" s="1" t="s">
        <v>454</v>
      </c>
      <c r="B135" s="2">
        <v>14.0</v>
      </c>
      <c r="C135" s="1" t="s">
        <v>26</v>
      </c>
      <c r="D135" s="1" t="s">
        <v>28</v>
      </c>
      <c r="E135" s="4">
        <v>0.1625</v>
      </c>
      <c r="F135" s="1" t="s">
        <v>434</v>
      </c>
      <c r="G135" s="1" t="s">
        <v>30</v>
      </c>
      <c r="H135" s="4">
        <v>0.42916666666666664</v>
      </c>
      <c r="I135" s="1" t="s">
        <v>110</v>
      </c>
      <c r="J135" s="1" t="s">
        <v>28</v>
      </c>
      <c r="K135" s="4">
        <v>0.6826388888888889</v>
      </c>
      <c r="L135" s="1" t="s">
        <v>32</v>
      </c>
      <c r="M135" s="1" t="s">
        <v>30</v>
      </c>
      <c r="N135" s="4">
        <v>0.9333333333333333</v>
      </c>
      <c r="O135" s="1" t="s">
        <v>112</v>
      </c>
      <c r="P135" s="1">
        <f t="shared" si="1"/>
        <v>119</v>
      </c>
      <c r="Q135" s="1">
        <f t="shared" si="2"/>
        <v>101</v>
      </c>
      <c r="R135" s="5">
        <f t="shared" si="3"/>
        <v>119</v>
      </c>
      <c r="S135" s="5" t="s">
        <v>90</v>
      </c>
    </row>
    <row r="136">
      <c r="A136" s="1" t="s">
        <v>454</v>
      </c>
      <c r="B136" s="2">
        <v>15.0</v>
      </c>
      <c r="C136" s="1" t="s">
        <v>34</v>
      </c>
      <c r="D136" s="1" t="s">
        <v>28</v>
      </c>
      <c r="E136" s="4">
        <v>0.18819444444444444</v>
      </c>
      <c r="F136" s="1" t="s">
        <v>67</v>
      </c>
      <c r="G136" s="1" t="s">
        <v>30</v>
      </c>
      <c r="H136" s="4">
        <v>0.46041666666666664</v>
      </c>
      <c r="I136" s="1" t="s">
        <v>219</v>
      </c>
      <c r="J136" s="1" t="s">
        <v>28</v>
      </c>
      <c r="K136" s="4">
        <v>0.7166666666666667</v>
      </c>
      <c r="L136" s="1" t="s">
        <v>388</v>
      </c>
      <c r="M136" s="1" t="s">
        <v>30</v>
      </c>
      <c r="N136" s="4">
        <v>0.9590277777777778</v>
      </c>
      <c r="O136" s="1" t="s">
        <v>200</v>
      </c>
      <c r="P136" s="1">
        <f t="shared" si="1"/>
        <v>148</v>
      </c>
      <c r="Q136" s="1">
        <f t="shared" si="2"/>
        <v>104</v>
      </c>
      <c r="R136" s="5">
        <f t="shared" si="3"/>
        <v>148</v>
      </c>
      <c r="S136" s="5" t="s">
        <v>47</v>
      </c>
    </row>
    <row r="137">
      <c r="A137" s="1" t="s">
        <v>454</v>
      </c>
      <c r="B137" s="2">
        <v>16.0</v>
      </c>
      <c r="C137" s="1" t="s">
        <v>41</v>
      </c>
      <c r="D137" s="1" t="s">
        <v>28</v>
      </c>
      <c r="E137" s="4">
        <v>0.21458333333333332</v>
      </c>
      <c r="F137" s="1" t="s">
        <v>451</v>
      </c>
      <c r="G137" s="1" t="s">
        <v>30</v>
      </c>
      <c r="H137" s="4">
        <v>0.49236111111111114</v>
      </c>
      <c r="I137" s="1" t="s">
        <v>177</v>
      </c>
      <c r="J137" s="1" t="s">
        <v>28</v>
      </c>
      <c r="K137" s="4">
        <v>0.75</v>
      </c>
      <c r="L137" s="1" t="s">
        <v>32</v>
      </c>
      <c r="M137" s="1" t="s">
        <v>30</v>
      </c>
      <c r="N137" s="4">
        <v>0.9854166666666667</v>
      </c>
      <c r="O137" s="1" t="s">
        <v>200</v>
      </c>
      <c r="P137" s="1">
        <f t="shared" si="1"/>
        <v>172</v>
      </c>
      <c r="Q137" s="1">
        <f t="shared" si="2"/>
        <v>102</v>
      </c>
      <c r="R137" s="5">
        <f t="shared" si="3"/>
        <v>172</v>
      </c>
      <c r="S137" s="5" t="s">
        <v>47</v>
      </c>
    </row>
    <row r="138">
      <c r="A138" s="1" t="s">
        <v>454</v>
      </c>
      <c r="B138" s="2">
        <v>17.0</v>
      </c>
      <c r="C138" s="1" t="s">
        <v>55</v>
      </c>
      <c r="D138" s="1" t="s">
        <v>28</v>
      </c>
      <c r="E138" s="4">
        <v>0.24305555555555555</v>
      </c>
      <c r="F138" s="1" t="s">
        <v>455</v>
      </c>
      <c r="G138" s="1" t="s">
        <v>30</v>
      </c>
      <c r="H138" s="4">
        <v>0.525</v>
      </c>
      <c r="I138" s="1" t="s">
        <v>456</v>
      </c>
      <c r="J138" s="1" t="s">
        <v>28</v>
      </c>
      <c r="K138" s="4">
        <v>0.7833333333333333</v>
      </c>
      <c r="L138" s="1" t="s">
        <v>89</v>
      </c>
      <c r="P138" s="1">
        <f t="shared" si="1"/>
        <v>185</v>
      </c>
      <c r="Q138" s="1">
        <f t="shared" si="2"/>
        <v>49</v>
      </c>
      <c r="R138" s="5">
        <f t="shared" si="3"/>
        <v>185</v>
      </c>
      <c r="S138" s="5" t="s">
        <v>47</v>
      </c>
    </row>
    <row r="139">
      <c r="A139" s="1" t="s">
        <v>454</v>
      </c>
      <c r="B139" s="2">
        <v>18.0</v>
      </c>
      <c r="C139" s="1" t="s">
        <v>25</v>
      </c>
      <c r="D139" s="1" t="s">
        <v>30</v>
      </c>
      <c r="E139" s="4">
        <v>0.0125</v>
      </c>
      <c r="F139" s="1" t="s">
        <v>223</v>
      </c>
      <c r="G139" s="1" t="s">
        <v>28</v>
      </c>
      <c r="H139" s="4">
        <v>0.27291666666666664</v>
      </c>
      <c r="I139" s="1" t="s">
        <v>461</v>
      </c>
      <c r="J139" s="1" t="s">
        <v>30</v>
      </c>
      <c r="K139" s="4">
        <v>0.5590277777777778</v>
      </c>
      <c r="L139" s="1" t="s">
        <v>175</v>
      </c>
      <c r="M139" s="1" t="s">
        <v>28</v>
      </c>
      <c r="N139" s="4">
        <v>0.8180555555555555</v>
      </c>
      <c r="O139" s="1" t="s">
        <v>292</v>
      </c>
      <c r="P139" s="1">
        <f t="shared" si="1"/>
        <v>140</v>
      </c>
      <c r="Q139" s="1">
        <f t="shared" si="2"/>
        <v>135</v>
      </c>
      <c r="R139" s="5">
        <f t="shared" si="3"/>
        <v>140</v>
      </c>
      <c r="S139" s="5" t="s">
        <v>47</v>
      </c>
    </row>
    <row r="140">
      <c r="A140" s="1" t="s">
        <v>454</v>
      </c>
      <c r="B140" s="2">
        <v>19.0</v>
      </c>
      <c r="C140" s="1" t="s">
        <v>75</v>
      </c>
      <c r="D140" s="1" t="s">
        <v>30</v>
      </c>
      <c r="E140" s="4">
        <v>0.04097222222222222</v>
      </c>
      <c r="F140" s="1" t="s">
        <v>224</v>
      </c>
      <c r="G140" s="1" t="s">
        <v>28</v>
      </c>
      <c r="H140" s="4">
        <v>0.30486111111111114</v>
      </c>
      <c r="I140" s="1" t="s">
        <v>464</v>
      </c>
      <c r="J140" s="1" t="s">
        <v>30</v>
      </c>
      <c r="K140" s="4">
        <v>0.5951388888888889</v>
      </c>
      <c r="L140" s="1" t="s">
        <v>217</v>
      </c>
      <c r="M140" s="1" t="s">
        <v>28</v>
      </c>
      <c r="N140" s="4">
        <v>0.8534722222222222</v>
      </c>
      <c r="O140" s="1" t="s">
        <v>183</v>
      </c>
      <c r="P140" s="1">
        <f t="shared" si="1"/>
        <v>135</v>
      </c>
      <c r="Q140" s="1">
        <f t="shared" si="2"/>
        <v>120</v>
      </c>
      <c r="R140" s="5">
        <f t="shared" si="3"/>
        <v>135</v>
      </c>
      <c r="S140" s="5" t="s">
        <v>47</v>
      </c>
    </row>
    <row r="141">
      <c r="A141" s="1" t="s">
        <v>454</v>
      </c>
      <c r="B141" s="2">
        <v>20.0</v>
      </c>
      <c r="C141" s="1" t="s">
        <v>86</v>
      </c>
      <c r="D141" s="1" t="s">
        <v>30</v>
      </c>
      <c r="E141" s="4">
        <v>0.07222222222222222</v>
      </c>
      <c r="F141" s="1" t="s">
        <v>326</v>
      </c>
      <c r="G141" s="1" t="s">
        <v>28</v>
      </c>
      <c r="H141" s="4">
        <v>0.3388888888888889</v>
      </c>
      <c r="I141" s="1" t="s">
        <v>414</v>
      </c>
      <c r="J141" s="1" t="s">
        <v>30</v>
      </c>
      <c r="K141" s="4">
        <v>0.6340277777777777</v>
      </c>
      <c r="L141" s="1" t="s">
        <v>129</v>
      </c>
      <c r="M141" s="1" t="s">
        <v>28</v>
      </c>
      <c r="N141" s="4">
        <v>0.8923611111111112</v>
      </c>
      <c r="O141" s="1" t="s">
        <v>176</v>
      </c>
      <c r="P141" s="1">
        <f t="shared" si="1"/>
        <v>123</v>
      </c>
      <c r="Q141" s="1">
        <f t="shared" si="2"/>
        <v>102</v>
      </c>
      <c r="R141" s="5">
        <f t="shared" si="3"/>
        <v>123</v>
      </c>
      <c r="S141" s="5" t="s">
        <v>90</v>
      </c>
    </row>
    <row r="142">
      <c r="A142" s="1" t="s">
        <v>454</v>
      </c>
      <c r="B142" s="2">
        <v>21.0</v>
      </c>
      <c r="C142" s="1" t="s">
        <v>26</v>
      </c>
      <c r="D142" s="1" t="s">
        <v>30</v>
      </c>
      <c r="E142" s="4">
        <v>0.1076388888888889</v>
      </c>
      <c r="F142" s="1" t="s">
        <v>389</v>
      </c>
      <c r="G142" s="1" t="s">
        <v>28</v>
      </c>
      <c r="H142" s="4">
        <v>0.3763888888888889</v>
      </c>
      <c r="I142" s="1" t="s">
        <v>59</v>
      </c>
      <c r="J142" s="1" t="s">
        <v>30</v>
      </c>
      <c r="K142" s="4">
        <v>0.6756944444444445</v>
      </c>
      <c r="L142" s="1" t="s">
        <v>66</v>
      </c>
      <c r="M142" s="1" t="s">
        <v>28</v>
      </c>
      <c r="N142" s="4">
        <v>0.9361111111111111</v>
      </c>
      <c r="O142" s="1" t="s">
        <v>230</v>
      </c>
      <c r="P142" s="1">
        <f t="shared" si="1"/>
        <v>105</v>
      </c>
      <c r="Q142" s="1">
        <f t="shared" si="2"/>
        <v>84</v>
      </c>
      <c r="R142" s="5">
        <f t="shared" si="3"/>
        <v>105</v>
      </c>
      <c r="S142" s="5" t="s">
        <v>90</v>
      </c>
    </row>
    <row r="143">
      <c r="A143" s="1" t="s">
        <v>454</v>
      </c>
      <c r="B143" s="2">
        <v>22.0</v>
      </c>
      <c r="C143" s="1" t="s">
        <v>34</v>
      </c>
      <c r="D143" s="1" t="s">
        <v>30</v>
      </c>
      <c r="E143" s="4">
        <v>0.15</v>
      </c>
      <c r="F143" s="1" t="s">
        <v>334</v>
      </c>
      <c r="G143" s="1" t="s">
        <v>28</v>
      </c>
      <c r="H143" s="4">
        <v>0.41805555555555557</v>
      </c>
      <c r="I143" s="1" t="s">
        <v>158</v>
      </c>
      <c r="J143" s="1" t="s">
        <v>30</v>
      </c>
      <c r="K143" s="4">
        <v>0.7222222222222222</v>
      </c>
      <c r="L143" s="1" t="s">
        <v>469</v>
      </c>
      <c r="M143" s="1" t="s">
        <v>28</v>
      </c>
      <c r="N143" s="4">
        <v>0.9840277777777777</v>
      </c>
      <c r="O143" s="1" t="s">
        <v>470</v>
      </c>
      <c r="P143" s="1">
        <f t="shared" si="1"/>
        <v>86</v>
      </c>
      <c r="Q143" s="1">
        <f t="shared" si="2"/>
        <v>72</v>
      </c>
      <c r="R143" s="5">
        <f t="shared" si="3"/>
        <v>86</v>
      </c>
      <c r="S143" s="5" t="s">
        <v>39</v>
      </c>
    </row>
    <row r="144">
      <c r="A144" s="1" t="s">
        <v>454</v>
      </c>
      <c r="B144" s="2">
        <v>23.0</v>
      </c>
      <c r="C144" s="1" t="s">
        <v>41</v>
      </c>
      <c r="D144" s="1" t="s">
        <v>30</v>
      </c>
      <c r="E144" s="4">
        <v>0.20347222222222222</v>
      </c>
      <c r="F144" s="1" t="s">
        <v>355</v>
      </c>
      <c r="G144" s="1" t="s">
        <v>28</v>
      </c>
      <c r="H144" s="4">
        <v>0.46875</v>
      </c>
      <c r="I144" s="1" t="s">
        <v>135</v>
      </c>
      <c r="J144" s="1" t="s">
        <v>30</v>
      </c>
      <c r="K144" s="4">
        <v>0.7701388888888889</v>
      </c>
      <c r="L144" s="1" t="s">
        <v>115</v>
      </c>
      <c r="P144" s="1">
        <f t="shared" si="1"/>
        <v>69</v>
      </c>
      <c r="Q144" s="1">
        <f t="shared" si="2"/>
        <v>45</v>
      </c>
      <c r="R144" s="5">
        <f t="shared" si="3"/>
        <v>69</v>
      </c>
      <c r="S144" s="5" t="s">
        <v>39</v>
      </c>
    </row>
    <row r="145">
      <c r="A145" s="1" t="s">
        <v>454</v>
      </c>
      <c r="B145" s="2">
        <v>24.0</v>
      </c>
      <c r="C145" s="1" t="s">
        <v>55</v>
      </c>
      <c r="D145" s="1" t="s">
        <v>28</v>
      </c>
      <c r="E145" s="4">
        <v>0.03194444444444444</v>
      </c>
      <c r="F145" s="1" t="s">
        <v>256</v>
      </c>
      <c r="G145" s="1" t="s">
        <v>30</v>
      </c>
      <c r="H145" s="4">
        <v>0.2673611111111111</v>
      </c>
      <c r="I145" s="1" t="s">
        <v>355</v>
      </c>
      <c r="J145" s="1" t="s">
        <v>28</v>
      </c>
      <c r="K145" s="4">
        <v>0.5263888888888889</v>
      </c>
      <c r="L145" s="1" t="s">
        <v>192</v>
      </c>
      <c r="M145" s="1" t="s">
        <v>30</v>
      </c>
      <c r="N145" s="4">
        <v>0.8138888888888889</v>
      </c>
      <c r="O145" s="1" t="s">
        <v>120</v>
      </c>
      <c r="P145" s="1">
        <f t="shared" si="1"/>
        <v>43</v>
      </c>
      <c r="Q145" s="1">
        <f t="shared" si="2"/>
        <v>78</v>
      </c>
      <c r="R145" s="5">
        <f t="shared" si="3"/>
        <v>78</v>
      </c>
      <c r="S145" s="5" t="s">
        <v>39</v>
      </c>
    </row>
    <row r="146">
      <c r="A146" s="1" t="s">
        <v>454</v>
      </c>
      <c r="B146" s="2">
        <v>25.0</v>
      </c>
      <c r="C146" s="1" t="s">
        <v>25</v>
      </c>
      <c r="D146" s="1" t="s">
        <v>28</v>
      </c>
      <c r="E146" s="4">
        <v>0.07361111111111111</v>
      </c>
      <c r="F146" s="1" t="s">
        <v>181</v>
      </c>
      <c r="G146" s="1" t="s">
        <v>30</v>
      </c>
      <c r="H146" s="4">
        <v>0.3298611111111111</v>
      </c>
      <c r="I146" s="1" t="s">
        <v>248</v>
      </c>
      <c r="J146" s="1" t="s">
        <v>28</v>
      </c>
      <c r="K146" s="4">
        <v>0.58125</v>
      </c>
      <c r="L146" s="1" t="s">
        <v>402</v>
      </c>
      <c r="M146" s="1" t="s">
        <v>30</v>
      </c>
      <c r="N146" s="4">
        <v>0.8513888888888889</v>
      </c>
      <c r="O146" s="1" t="s">
        <v>286</v>
      </c>
      <c r="P146" s="1">
        <f t="shared" si="1"/>
        <v>54</v>
      </c>
      <c r="Q146" s="1">
        <f t="shared" si="2"/>
        <v>70</v>
      </c>
      <c r="R146" s="5">
        <f t="shared" si="3"/>
        <v>70</v>
      </c>
      <c r="S146" s="5" t="s">
        <v>39</v>
      </c>
    </row>
    <row r="147">
      <c r="A147" s="1" t="s">
        <v>454</v>
      </c>
      <c r="B147" s="2">
        <v>26.0</v>
      </c>
      <c r="C147" s="1" t="s">
        <v>75</v>
      </c>
      <c r="D147" s="1" t="s">
        <v>28</v>
      </c>
      <c r="E147" s="4">
        <v>0.10833333333333334</v>
      </c>
      <c r="F147" s="1" t="s">
        <v>357</v>
      </c>
      <c r="G147" s="1" t="s">
        <v>30</v>
      </c>
      <c r="H147" s="4">
        <v>0.37916666666666665</v>
      </c>
      <c r="I147" s="1" t="s">
        <v>191</v>
      </c>
      <c r="J147" s="1" t="s">
        <v>28</v>
      </c>
      <c r="K147" s="4">
        <v>0.6291666666666667</v>
      </c>
      <c r="L147" s="1" t="s">
        <v>100</v>
      </c>
      <c r="M147" s="1" t="s">
        <v>30</v>
      </c>
      <c r="N147" s="4">
        <v>0.8833333333333333</v>
      </c>
      <c r="O147" s="1" t="s">
        <v>250</v>
      </c>
      <c r="P147" s="1">
        <f t="shared" si="1"/>
        <v>72</v>
      </c>
      <c r="Q147" s="1">
        <f t="shared" si="2"/>
        <v>66</v>
      </c>
      <c r="R147" s="5">
        <f t="shared" si="3"/>
        <v>72</v>
      </c>
      <c r="S147" s="5" t="s">
        <v>39</v>
      </c>
    </row>
    <row r="148">
      <c r="A148" s="1" t="s">
        <v>454</v>
      </c>
      <c r="B148" s="2">
        <v>27.0</v>
      </c>
      <c r="C148" s="1" t="s">
        <v>86</v>
      </c>
      <c r="D148" s="1" t="s">
        <v>28</v>
      </c>
      <c r="E148" s="4">
        <v>0.13819444444444445</v>
      </c>
      <c r="F148" s="1" t="s">
        <v>360</v>
      </c>
      <c r="G148" s="1" t="s">
        <v>30</v>
      </c>
      <c r="H148" s="4">
        <v>0.4166666666666667</v>
      </c>
      <c r="I148" s="1" t="s">
        <v>223</v>
      </c>
      <c r="J148" s="1" t="s">
        <v>28</v>
      </c>
      <c r="K148" s="4">
        <v>0.66875</v>
      </c>
      <c r="L148" s="1" t="s">
        <v>100</v>
      </c>
      <c r="M148" s="1" t="s">
        <v>30</v>
      </c>
      <c r="N148" s="4">
        <v>0.9097222222222222</v>
      </c>
      <c r="O148" s="1" t="s">
        <v>250</v>
      </c>
      <c r="P148" s="1">
        <f t="shared" si="1"/>
        <v>90</v>
      </c>
      <c r="Q148" s="1">
        <f t="shared" si="2"/>
        <v>66</v>
      </c>
      <c r="R148" s="5">
        <f t="shared" si="3"/>
        <v>90</v>
      </c>
      <c r="S148" s="5" t="s">
        <v>39</v>
      </c>
    </row>
    <row r="149">
      <c r="A149" s="1" t="s">
        <v>454</v>
      </c>
      <c r="B149" s="2">
        <v>28.0</v>
      </c>
      <c r="C149" s="1" t="s">
        <v>26</v>
      </c>
      <c r="D149" s="1" t="s">
        <v>28</v>
      </c>
      <c r="E149" s="4">
        <v>0.16458333333333333</v>
      </c>
      <c r="F149" s="1" t="s">
        <v>307</v>
      </c>
      <c r="G149" s="1" t="s">
        <v>30</v>
      </c>
      <c r="H149" s="4">
        <v>0.44722222222222224</v>
      </c>
      <c r="I149" s="1" t="s">
        <v>37</v>
      </c>
      <c r="J149" s="1" t="s">
        <v>28</v>
      </c>
      <c r="K149" s="4">
        <v>0.7013888888888888</v>
      </c>
      <c r="L149" s="1" t="s">
        <v>218</v>
      </c>
      <c r="M149" s="1" t="s">
        <v>30</v>
      </c>
      <c r="N149" s="4">
        <v>0.9340277777777778</v>
      </c>
      <c r="O149" s="1" t="s">
        <v>250</v>
      </c>
      <c r="P149" s="1">
        <f t="shared" si="1"/>
        <v>106</v>
      </c>
      <c r="Q149" s="1">
        <f t="shared" si="2"/>
        <v>67</v>
      </c>
      <c r="R149" s="5">
        <f t="shared" si="3"/>
        <v>106</v>
      </c>
      <c r="S149" s="5" t="s">
        <v>90</v>
      </c>
    </row>
    <row r="150">
      <c r="A150" s="1" t="s">
        <v>454</v>
      </c>
      <c r="B150" s="2">
        <v>29.0</v>
      </c>
      <c r="C150" s="1" t="s">
        <v>34</v>
      </c>
      <c r="D150" s="1" t="s">
        <v>28</v>
      </c>
      <c r="E150" s="4">
        <v>0.18958333333333333</v>
      </c>
      <c r="F150" s="1" t="s">
        <v>434</v>
      </c>
      <c r="G150" s="1" t="s">
        <v>30</v>
      </c>
      <c r="H150" s="4">
        <v>0.47291666666666665</v>
      </c>
      <c r="I150" s="1" t="s">
        <v>58</v>
      </c>
      <c r="J150" s="1" t="s">
        <v>28</v>
      </c>
      <c r="K150" s="4">
        <v>0.7305555555555555</v>
      </c>
      <c r="L150" s="1" t="s">
        <v>218</v>
      </c>
      <c r="M150" s="1" t="s">
        <v>30</v>
      </c>
      <c r="N150" s="4">
        <v>0.9569444444444445</v>
      </c>
      <c r="O150" s="1" t="s">
        <v>328</v>
      </c>
      <c r="P150" s="1">
        <f t="shared" si="1"/>
        <v>121</v>
      </c>
      <c r="Q150" s="1">
        <f t="shared" si="2"/>
        <v>68</v>
      </c>
      <c r="R150" s="5">
        <f t="shared" si="3"/>
        <v>121</v>
      </c>
      <c r="S150" s="5" t="s">
        <v>90</v>
      </c>
    </row>
    <row r="151">
      <c r="A151" s="1" t="s">
        <v>454</v>
      </c>
      <c r="B151" s="2">
        <v>30.0</v>
      </c>
      <c r="C151" s="1" t="s">
        <v>41</v>
      </c>
      <c r="D151" s="1" t="s">
        <v>28</v>
      </c>
      <c r="E151" s="4">
        <v>0.21319444444444444</v>
      </c>
      <c r="F151" s="1" t="s">
        <v>167</v>
      </c>
      <c r="G151" s="1" t="s">
        <v>30</v>
      </c>
      <c r="H151" s="4">
        <v>0.49722222222222223</v>
      </c>
      <c r="I151" s="1" t="s">
        <v>124</v>
      </c>
      <c r="J151" s="1" t="s">
        <v>28</v>
      </c>
      <c r="K151" s="4">
        <v>0.7569444444444444</v>
      </c>
      <c r="L151" s="1" t="s">
        <v>218</v>
      </c>
      <c r="M151" s="1" t="s">
        <v>30</v>
      </c>
      <c r="N151" s="4">
        <v>0.9798611111111111</v>
      </c>
      <c r="O151" s="1" t="s">
        <v>191</v>
      </c>
      <c r="P151" s="1">
        <f t="shared" si="1"/>
        <v>132</v>
      </c>
      <c r="Q151" s="1">
        <f t="shared" si="2"/>
        <v>70</v>
      </c>
      <c r="R151" s="5">
        <f t="shared" si="3"/>
        <v>132</v>
      </c>
      <c r="S151" s="5" t="s">
        <v>47</v>
      </c>
    </row>
    <row r="152">
      <c r="A152" s="1" t="s">
        <v>454</v>
      </c>
      <c r="B152" s="2">
        <v>31.0</v>
      </c>
      <c r="C152" s="1" t="s">
        <v>55</v>
      </c>
      <c r="D152" s="1" t="s">
        <v>28</v>
      </c>
      <c r="E152" s="4">
        <v>0.23680555555555555</v>
      </c>
      <c r="F152" s="1" t="s">
        <v>297</v>
      </c>
      <c r="G152" s="1" t="s">
        <v>30</v>
      </c>
      <c r="H152" s="4">
        <v>0.5201388888888889</v>
      </c>
      <c r="I152" s="1" t="s">
        <v>215</v>
      </c>
      <c r="J152" s="1" t="s">
        <v>28</v>
      </c>
      <c r="K152" s="4">
        <v>0.7819444444444444</v>
      </c>
      <c r="L152" s="1" t="s">
        <v>183</v>
      </c>
      <c r="P152" s="1">
        <f t="shared" si="1"/>
        <v>140</v>
      </c>
      <c r="Q152" s="1">
        <f t="shared" si="2"/>
        <v>32</v>
      </c>
      <c r="R152" s="5">
        <f t="shared" si="3"/>
        <v>140</v>
      </c>
      <c r="S152" s="5" t="s">
        <v>47</v>
      </c>
    </row>
    <row r="153">
      <c r="A153" s="1" t="s">
        <v>474</v>
      </c>
      <c r="B153" s="2">
        <v>1.0</v>
      </c>
      <c r="C153" s="1" t="s">
        <v>25</v>
      </c>
      <c r="D153" s="1" t="s">
        <v>30</v>
      </c>
      <c r="E153" s="4">
        <v>0.0020833333333333333</v>
      </c>
      <c r="F153" s="1" t="s">
        <v>191</v>
      </c>
      <c r="G153" s="1" t="s">
        <v>28</v>
      </c>
      <c r="H153" s="4">
        <v>0.2590277777777778</v>
      </c>
      <c r="I153" s="1" t="s">
        <v>338</v>
      </c>
      <c r="J153" s="1" t="s">
        <v>30</v>
      </c>
      <c r="K153" s="4">
        <v>0.5430555555555555</v>
      </c>
      <c r="L153" s="1" t="s">
        <v>215</v>
      </c>
      <c r="M153" s="1" t="s">
        <v>28</v>
      </c>
      <c r="N153" s="4">
        <v>0.8055555555555556</v>
      </c>
      <c r="O153" s="1" t="s">
        <v>190</v>
      </c>
      <c r="P153" s="1">
        <f t="shared" si="1"/>
        <v>105</v>
      </c>
      <c r="Q153" s="1">
        <f t="shared" si="2"/>
        <v>103</v>
      </c>
      <c r="R153" s="5">
        <f t="shared" si="3"/>
        <v>105</v>
      </c>
      <c r="S153" s="5" t="s">
        <v>90</v>
      </c>
    </row>
    <row r="154">
      <c r="A154" s="1" t="s">
        <v>474</v>
      </c>
      <c r="B154" s="2">
        <v>2.0</v>
      </c>
      <c r="C154" s="1" t="s">
        <v>75</v>
      </c>
      <c r="D154" s="1" t="s">
        <v>30</v>
      </c>
      <c r="E154" s="4">
        <v>0.024305555555555556</v>
      </c>
      <c r="F154" s="1" t="s">
        <v>191</v>
      </c>
      <c r="G154" s="1" t="s">
        <v>28</v>
      </c>
      <c r="H154" s="4">
        <v>0.2826388888888889</v>
      </c>
      <c r="I154" s="1" t="s">
        <v>412</v>
      </c>
      <c r="J154" s="1" t="s">
        <v>30</v>
      </c>
      <c r="K154" s="4">
        <v>0.5659722222222222</v>
      </c>
      <c r="L154" s="1" t="s">
        <v>185</v>
      </c>
      <c r="M154" s="1" t="s">
        <v>28</v>
      </c>
      <c r="N154" s="4">
        <v>0.8284722222222223</v>
      </c>
      <c r="O154" s="1" t="s">
        <v>181</v>
      </c>
      <c r="P154" s="1">
        <f t="shared" si="1"/>
        <v>106</v>
      </c>
      <c r="Q154" s="1">
        <f t="shared" si="2"/>
        <v>99</v>
      </c>
      <c r="R154" s="5">
        <f t="shared" si="3"/>
        <v>106</v>
      </c>
      <c r="S154" s="5" t="s">
        <v>90</v>
      </c>
    </row>
    <row r="155">
      <c r="A155" s="1" t="s">
        <v>474</v>
      </c>
      <c r="B155" s="2">
        <v>3.0</v>
      </c>
      <c r="C155" s="1" t="s">
        <v>86</v>
      </c>
      <c r="D155" s="1" t="s">
        <v>30</v>
      </c>
      <c r="E155" s="4">
        <v>0.04722222222222222</v>
      </c>
      <c r="F155" s="1" t="s">
        <v>191</v>
      </c>
      <c r="G155" s="1" t="s">
        <v>28</v>
      </c>
      <c r="H155" s="4">
        <v>0.3055555555555556</v>
      </c>
      <c r="I155" s="1" t="s">
        <v>338</v>
      </c>
      <c r="J155" s="1" t="s">
        <v>30</v>
      </c>
      <c r="K155" s="4">
        <v>0.5895833333333333</v>
      </c>
      <c r="L155" s="1" t="s">
        <v>274</v>
      </c>
      <c r="M155" s="1" t="s">
        <v>28</v>
      </c>
      <c r="N155" s="4">
        <v>0.8520833333333333</v>
      </c>
      <c r="O155" s="1" t="s">
        <v>471</v>
      </c>
      <c r="P155" s="1">
        <f t="shared" si="1"/>
        <v>105</v>
      </c>
      <c r="Q155" s="1">
        <f t="shared" si="2"/>
        <v>92</v>
      </c>
      <c r="R155" s="5">
        <f t="shared" si="3"/>
        <v>105</v>
      </c>
      <c r="S155" s="5" t="s">
        <v>90</v>
      </c>
    </row>
    <row r="156">
      <c r="A156" s="1" t="s">
        <v>474</v>
      </c>
      <c r="B156" s="2">
        <v>4.0</v>
      </c>
      <c r="C156" s="1" t="s">
        <v>26</v>
      </c>
      <c r="D156" s="1" t="s">
        <v>30</v>
      </c>
      <c r="E156" s="4">
        <v>0.07152777777777777</v>
      </c>
      <c r="F156" s="1" t="s">
        <v>328</v>
      </c>
      <c r="G156" s="1" t="s">
        <v>28</v>
      </c>
      <c r="H156" s="4">
        <v>0.33055555555555555</v>
      </c>
      <c r="I156" s="1" t="s">
        <v>385</v>
      </c>
      <c r="J156" s="1" t="s">
        <v>30</v>
      </c>
      <c r="K156" s="4">
        <v>0.6152777777777778</v>
      </c>
      <c r="L156" s="1" t="s">
        <v>110</v>
      </c>
      <c r="M156" s="1" t="s">
        <v>28</v>
      </c>
      <c r="N156" s="4">
        <v>0.8770833333333333</v>
      </c>
      <c r="O156" s="1" t="s">
        <v>123</v>
      </c>
      <c r="P156" s="1">
        <f t="shared" si="1"/>
        <v>100</v>
      </c>
      <c r="Q156" s="1">
        <f t="shared" si="2"/>
        <v>84</v>
      </c>
      <c r="R156" s="5">
        <f t="shared" si="3"/>
        <v>100</v>
      </c>
      <c r="S156" s="5" t="s">
        <v>90</v>
      </c>
    </row>
    <row r="157">
      <c r="A157" s="1" t="s">
        <v>474</v>
      </c>
      <c r="B157" s="2">
        <v>5.0</v>
      </c>
      <c r="C157" s="1" t="s">
        <v>34</v>
      </c>
      <c r="D157" s="1" t="s">
        <v>30</v>
      </c>
      <c r="E157" s="4">
        <v>0.09791666666666667</v>
      </c>
      <c r="F157" s="1" t="s">
        <v>391</v>
      </c>
      <c r="G157" s="1" t="s">
        <v>28</v>
      </c>
      <c r="H157" s="4">
        <v>0.35694444444444445</v>
      </c>
      <c r="I157" s="1" t="s">
        <v>78</v>
      </c>
      <c r="J157" s="1" t="s">
        <v>30</v>
      </c>
      <c r="K157" s="4">
        <v>0.6423611111111112</v>
      </c>
      <c r="L157" s="1" t="s">
        <v>469</v>
      </c>
      <c r="M157" s="1" t="s">
        <v>28</v>
      </c>
      <c r="N157" s="4">
        <v>0.9055555555555556</v>
      </c>
      <c r="O157" s="1" t="s">
        <v>256</v>
      </c>
      <c r="P157" s="1">
        <f t="shared" si="1"/>
        <v>92</v>
      </c>
      <c r="Q157" s="1">
        <f t="shared" si="2"/>
        <v>76</v>
      </c>
      <c r="R157" s="5">
        <f t="shared" si="3"/>
        <v>92</v>
      </c>
      <c r="S157" s="5" t="s">
        <v>90</v>
      </c>
    </row>
    <row r="158">
      <c r="A158" s="1" t="s">
        <v>474</v>
      </c>
      <c r="B158" s="2">
        <v>6.0</v>
      </c>
      <c r="C158" s="1" t="s">
        <v>41</v>
      </c>
      <c r="D158" s="1" t="s">
        <v>30</v>
      </c>
      <c r="E158" s="4">
        <v>0.1284722222222222</v>
      </c>
      <c r="F158" s="1" t="s">
        <v>248</v>
      </c>
      <c r="G158" s="1" t="s">
        <v>28</v>
      </c>
      <c r="H158" s="4">
        <v>0.3875</v>
      </c>
      <c r="I158" s="1" t="s">
        <v>388</v>
      </c>
      <c r="J158" s="1" t="s">
        <v>30</v>
      </c>
      <c r="K158" s="4">
        <v>0.6736111111111112</v>
      </c>
      <c r="L158" s="1" t="s">
        <v>200</v>
      </c>
      <c r="M158" s="1" t="s">
        <v>28</v>
      </c>
      <c r="N158" s="4">
        <v>0.9402777777777778</v>
      </c>
      <c r="O158" s="1" t="s">
        <v>256</v>
      </c>
      <c r="P158" s="1">
        <f t="shared" si="1"/>
        <v>82</v>
      </c>
      <c r="Q158" s="1">
        <f t="shared" si="2"/>
        <v>70</v>
      </c>
      <c r="R158" s="5">
        <f t="shared" si="3"/>
        <v>82</v>
      </c>
      <c r="S158" s="5" t="s">
        <v>39</v>
      </c>
    </row>
    <row r="159">
      <c r="A159" s="1" t="s">
        <v>474</v>
      </c>
      <c r="B159" s="2">
        <v>7.0</v>
      </c>
      <c r="C159" s="1" t="s">
        <v>55</v>
      </c>
      <c r="D159" s="1" t="s">
        <v>30</v>
      </c>
      <c r="E159" s="4">
        <v>0.16597222222222222</v>
      </c>
      <c r="F159" s="1" t="s">
        <v>291</v>
      </c>
      <c r="G159" s="1" t="s">
        <v>28</v>
      </c>
      <c r="H159" s="4">
        <v>0.42291666666666666</v>
      </c>
      <c r="I159" s="1" t="s">
        <v>89</v>
      </c>
      <c r="J159" s="1" t="s">
        <v>30</v>
      </c>
      <c r="K159" s="4">
        <v>0.7097222222222223</v>
      </c>
      <c r="L159" s="1" t="s">
        <v>333</v>
      </c>
      <c r="M159" s="1" t="s">
        <v>28</v>
      </c>
      <c r="N159" s="4">
        <v>0.9805555555555555</v>
      </c>
      <c r="O159" s="1" t="s">
        <v>471</v>
      </c>
      <c r="P159" s="1">
        <f t="shared" si="1"/>
        <v>71</v>
      </c>
      <c r="Q159" s="1">
        <f t="shared" si="2"/>
        <v>67</v>
      </c>
      <c r="R159" s="5">
        <f t="shared" si="3"/>
        <v>71</v>
      </c>
      <c r="S159" s="5" t="s">
        <v>39</v>
      </c>
    </row>
    <row r="160">
      <c r="A160" s="1" t="s">
        <v>474</v>
      </c>
      <c r="B160" s="2">
        <v>8.0</v>
      </c>
      <c r="C160" s="1" t="s">
        <v>25</v>
      </c>
      <c r="D160" s="1" t="s">
        <v>30</v>
      </c>
      <c r="E160" s="4">
        <v>0.21388888888888888</v>
      </c>
      <c r="F160" s="1" t="s">
        <v>355</v>
      </c>
      <c r="G160" s="1" t="s">
        <v>28</v>
      </c>
      <c r="H160" s="4">
        <v>0.4666666666666667</v>
      </c>
      <c r="I160" s="1" t="s">
        <v>472</v>
      </c>
      <c r="J160" s="1" t="s">
        <v>30</v>
      </c>
      <c r="K160" s="4">
        <v>0.7506944444444444</v>
      </c>
      <c r="L160" s="1" t="s">
        <v>122</v>
      </c>
      <c r="P160" s="1">
        <f t="shared" si="1"/>
        <v>64</v>
      </c>
      <c r="Q160" s="1">
        <f t="shared" si="2"/>
        <v>37</v>
      </c>
      <c r="R160" s="5">
        <f t="shared" si="3"/>
        <v>64</v>
      </c>
      <c r="S160" s="5" t="s">
        <v>39</v>
      </c>
    </row>
    <row r="161">
      <c r="A161" s="1" t="s">
        <v>474</v>
      </c>
      <c r="B161" s="2">
        <v>9.0</v>
      </c>
      <c r="C161" s="1" t="s">
        <v>75</v>
      </c>
      <c r="D161" s="1" t="s">
        <v>28</v>
      </c>
      <c r="E161" s="4">
        <v>0.022222222222222223</v>
      </c>
      <c r="F161" s="1" t="s">
        <v>190</v>
      </c>
      <c r="G161" s="1" t="s">
        <v>30</v>
      </c>
      <c r="H161" s="4">
        <v>0.26875</v>
      </c>
      <c r="I161" s="1" t="s">
        <v>422</v>
      </c>
      <c r="J161" s="1" t="s">
        <v>28</v>
      </c>
      <c r="K161" s="4">
        <v>0.5180555555555556</v>
      </c>
      <c r="L161" s="1" t="s">
        <v>262</v>
      </c>
      <c r="M161" s="1" t="s">
        <v>30</v>
      </c>
      <c r="N161" s="4">
        <v>0.7923611111111111</v>
      </c>
      <c r="O161" s="1" t="s">
        <v>328</v>
      </c>
      <c r="P161" s="1">
        <f t="shared" si="1"/>
        <v>54</v>
      </c>
      <c r="Q161" s="1">
        <f t="shared" si="2"/>
        <v>72</v>
      </c>
      <c r="R161" s="5">
        <f t="shared" si="3"/>
        <v>72</v>
      </c>
      <c r="S161" s="5" t="s">
        <v>39</v>
      </c>
    </row>
    <row r="162">
      <c r="A162" s="1" t="s">
        <v>474</v>
      </c>
      <c r="B162" s="2">
        <v>10.0</v>
      </c>
      <c r="C162" s="1" t="s">
        <v>86</v>
      </c>
      <c r="D162" s="1" t="s">
        <v>28</v>
      </c>
      <c r="E162" s="4">
        <v>0.06041666666666667</v>
      </c>
      <c r="F162" s="1" t="s">
        <v>192</v>
      </c>
      <c r="G162" s="1" t="s">
        <v>30</v>
      </c>
      <c r="H162" s="4">
        <v>0.32222222222222224</v>
      </c>
      <c r="I162" s="1" t="s">
        <v>250</v>
      </c>
      <c r="J162" s="1" t="s">
        <v>28</v>
      </c>
      <c r="K162" s="4">
        <v>0.5715277777777777</v>
      </c>
      <c r="L162" s="1" t="s">
        <v>220</v>
      </c>
      <c r="M162" s="1" t="s">
        <v>30</v>
      </c>
      <c r="N162" s="4">
        <v>0.8319444444444445</v>
      </c>
      <c r="O162" s="1" t="s">
        <v>250</v>
      </c>
      <c r="P162" s="1">
        <f t="shared" si="1"/>
        <v>72</v>
      </c>
      <c r="Q162" s="1">
        <f t="shared" si="2"/>
        <v>70</v>
      </c>
      <c r="R162" s="5">
        <f t="shared" si="3"/>
        <v>72</v>
      </c>
      <c r="S162" s="5" t="s">
        <v>39</v>
      </c>
    </row>
    <row r="163">
      <c r="A163" s="1" t="s">
        <v>474</v>
      </c>
      <c r="B163" s="2">
        <v>11.0</v>
      </c>
      <c r="C163" s="1" t="s">
        <v>26</v>
      </c>
      <c r="D163" s="1" t="s">
        <v>28</v>
      </c>
      <c r="E163" s="4">
        <v>0.09513888888888888</v>
      </c>
      <c r="F163" s="1" t="s">
        <v>89</v>
      </c>
      <c r="G163" s="1" t="s">
        <v>30</v>
      </c>
      <c r="H163" s="4">
        <v>0.36944444444444446</v>
      </c>
      <c r="I163" s="1" t="s">
        <v>112</v>
      </c>
      <c r="J163" s="1" t="s">
        <v>28</v>
      </c>
      <c r="K163" s="4">
        <v>0.6229166666666667</v>
      </c>
      <c r="L163" s="1" t="s">
        <v>262</v>
      </c>
      <c r="M163" s="1" t="s">
        <v>30</v>
      </c>
      <c r="N163" s="4">
        <v>0.8680555555555556</v>
      </c>
      <c r="O163" s="1" t="s">
        <v>295</v>
      </c>
      <c r="P163" s="1">
        <f t="shared" si="1"/>
        <v>96</v>
      </c>
      <c r="Q163" s="1">
        <f t="shared" si="2"/>
        <v>70</v>
      </c>
      <c r="R163" s="5">
        <f t="shared" si="3"/>
        <v>96</v>
      </c>
      <c r="S163" s="5" t="s">
        <v>90</v>
      </c>
    </row>
    <row r="164">
      <c r="A164" s="1" t="s">
        <v>474</v>
      </c>
      <c r="B164" s="2">
        <v>12.0</v>
      </c>
      <c r="C164" s="1" t="s">
        <v>34</v>
      </c>
      <c r="D164" s="1" t="s">
        <v>28</v>
      </c>
      <c r="E164" s="4">
        <v>0.12916666666666668</v>
      </c>
      <c r="F164" s="1" t="s">
        <v>158</v>
      </c>
      <c r="G164" s="1" t="s">
        <v>30</v>
      </c>
      <c r="H164" s="4">
        <v>0.41041666666666665</v>
      </c>
      <c r="I164" s="1" t="s">
        <v>88</v>
      </c>
      <c r="J164" s="1" t="s">
        <v>28</v>
      </c>
      <c r="K164" s="4">
        <v>0.66875</v>
      </c>
      <c r="L164" s="1" t="s">
        <v>131</v>
      </c>
      <c r="M164" s="1" t="s">
        <v>30</v>
      </c>
      <c r="N164" s="4">
        <v>0.9034722222222222</v>
      </c>
      <c r="O164" s="1" t="s">
        <v>250</v>
      </c>
      <c r="P164" s="1">
        <f t="shared" si="1"/>
        <v>123</v>
      </c>
      <c r="Q164" s="1">
        <f t="shared" si="2"/>
        <v>73</v>
      </c>
      <c r="R164" s="5">
        <f t="shared" si="3"/>
        <v>123</v>
      </c>
      <c r="S164" s="5" t="s">
        <v>90</v>
      </c>
    </row>
    <row r="165">
      <c r="A165" s="1" t="s">
        <v>474</v>
      </c>
      <c r="B165" s="2">
        <v>13.0</v>
      </c>
      <c r="C165" s="1" t="s">
        <v>41</v>
      </c>
      <c r="D165" s="1" t="s">
        <v>28</v>
      </c>
      <c r="E165" s="4">
        <v>0.1638888888888889</v>
      </c>
      <c r="F165" s="1" t="s">
        <v>205</v>
      </c>
      <c r="G165" s="1" t="s">
        <v>30</v>
      </c>
      <c r="H165" s="4">
        <v>0.4486111111111111</v>
      </c>
      <c r="I165" s="1" t="s">
        <v>386</v>
      </c>
      <c r="J165" s="1" t="s">
        <v>28</v>
      </c>
      <c r="K165" s="4">
        <v>0.7097222222222223</v>
      </c>
      <c r="L165" s="1" t="s">
        <v>251</v>
      </c>
      <c r="M165" s="1" t="s">
        <v>30</v>
      </c>
      <c r="N165" s="4">
        <v>0.9368055555555556</v>
      </c>
      <c r="O165" s="1" t="s">
        <v>328</v>
      </c>
      <c r="P165" s="1">
        <f t="shared" si="1"/>
        <v>149</v>
      </c>
      <c r="Q165" s="1">
        <f t="shared" si="2"/>
        <v>76</v>
      </c>
      <c r="R165" s="5">
        <f t="shared" si="3"/>
        <v>149</v>
      </c>
      <c r="S165" s="5" t="s">
        <v>47</v>
      </c>
    </row>
    <row r="166">
      <c r="A166" s="1" t="s">
        <v>474</v>
      </c>
      <c r="B166" s="2">
        <v>14.0</v>
      </c>
      <c r="C166" s="1" t="s">
        <v>55</v>
      </c>
      <c r="D166" s="1" t="s">
        <v>28</v>
      </c>
      <c r="E166" s="4">
        <v>0.1986111111111111</v>
      </c>
      <c r="F166" s="1" t="s">
        <v>473</v>
      </c>
      <c r="G166" s="1" t="s">
        <v>30</v>
      </c>
      <c r="H166" s="4">
        <v>0.4861111111111111</v>
      </c>
      <c r="I166" s="1" t="s">
        <v>132</v>
      </c>
      <c r="J166" s="1" t="s">
        <v>28</v>
      </c>
      <c r="K166" s="4">
        <v>0.7472222222222222</v>
      </c>
      <c r="L166" s="1" t="s">
        <v>251</v>
      </c>
      <c r="M166" s="1" t="s">
        <v>30</v>
      </c>
      <c r="N166" s="4">
        <v>0.9701388888888889</v>
      </c>
      <c r="O166" s="1" t="s">
        <v>191</v>
      </c>
      <c r="P166" s="1">
        <f t="shared" si="1"/>
        <v>170</v>
      </c>
      <c r="Q166" s="1">
        <f t="shared" si="2"/>
        <v>78</v>
      </c>
      <c r="R166" s="5">
        <f t="shared" si="3"/>
        <v>170</v>
      </c>
      <c r="S166" s="5" t="s">
        <v>47</v>
      </c>
    </row>
    <row r="167">
      <c r="A167" s="1" t="s">
        <v>474</v>
      </c>
      <c r="B167" s="2">
        <v>15.0</v>
      </c>
      <c r="C167" s="1" t="s">
        <v>25</v>
      </c>
      <c r="D167" s="1" t="s">
        <v>28</v>
      </c>
      <c r="E167" s="4">
        <v>0.23333333333333334</v>
      </c>
      <c r="F167" s="1" t="s">
        <v>464</v>
      </c>
      <c r="G167" s="1" t="s">
        <v>30</v>
      </c>
      <c r="H167" s="4">
        <v>0.5222222222222223</v>
      </c>
      <c r="I167" s="1" t="s">
        <v>475</v>
      </c>
      <c r="J167" s="1" t="s">
        <v>28</v>
      </c>
      <c r="K167" s="4">
        <v>0.7833333333333333</v>
      </c>
      <c r="L167" s="1" t="s">
        <v>251</v>
      </c>
      <c r="P167" s="1">
        <f t="shared" si="1"/>
        <v>183</v>
      </c>
      <c r="Q167" s="1">
        <f t="shared" si="2"/>
        <v>42</v>
      </c>
      <c r="R167" s="5">
        <f t="shared" si="3"/>
        <v>183</v>
      </c>
      <c r="S167" s="5" t="s">
        <v>47</v>
      </c>
    </row>
    <row r="168">
      <c r="A168" s="1" t="s">
        <v>474</v>
      </c>
      <c r="B168" s="2">
        <v>16.0</v>
      </c>
      <c r="C168" s="1" t="s">
        <v>75</v>
      </c>
      <c r="D168" s="1" t="s">
        <v>30</v>
      </c>
      <c r="E168" s="4">
        <v>0.003472222222222222</v>
      </c>
      <c r="F168" s="1" t="s">
        <v>326</v>
      </c>
      <c r="G168" s="1" t="s">
        <v>28</v>
      </c>
      <c r="H168" s="4">
        <v>0.26805555555555555</v>
      </c>
      <c r="I168" s="1" t="s">
        <v>476</v>
      </c>
      <c r="J168" s="1" t="s">
        <v>30</v>
      </c>
      <c r="K168" s="4">
        <v>0.5583333333333333</v>
      </c>
      <c r="L168" s="1" t="s">
        <v>475</v>
      </c>
      <c r="M168" s="1" t="s">
        <v>28</v>
      </c>
      <c r="N168" s="4">
        <v>0.8173611111111111</v>
      </c>
      <c r="O168" s="1" t="s">
        <v>131</v>
      </c>
      <c r="P168" s="1">
        <f t="shared" si="1"/>
        <v>135</v>
      </c>
      <c r="Q168" s="1">
        <f t="shared" si="2"/>
        <v>131</v>
      </c>
      <c r="R168" s="5">
        <f t="shared" si="3"/>
        <v>135</v>
      </c>
      <c r="S168" s="5" t="s">
        <v>47</v>
      </c>
    </row>
    <row r="169">
      <c r="A169" s="1" t="s">
        <v>474</v>
      </c>
      <c r="B169" s="2">
        <v>17.0</v>
      </c>
      <c r="C169" s="1" t="s">
        <v>86</v>
      </c>
      <c r="D169" s="1" t="s">
        <v>30</v>
      </c>
      <c r="E169" s="4">
        <v>0.0375</v>
      </c>
      <c r="F169" s="1" t="s">
        <v>120</v>
      </c>
      <c r="G169" s="1" t="s">
        <v>28</v>
      </c>
      <c r="H169" s="4">
        <v>0.30277777777777776</v>
      </c>
      <c r="I169" s="1" t="s">
        <v>477</v>
      </c>
      <c r="J169" s="1" t="s">
        <v>30</v>
      </c>
      <c r="K169" s="4">
        <v>0.59375</v>
      </c>
      <c r="L169" s="1" t="s">
        <v>300</v>
      </c>
      <c r="M169" s="1" t="s">
        <v>28</v>
      </c>
      <c r="N169" s="4">
        <v>0.8506944444444444</v>
      </c>
      <c r="O169" s="1" t="s">
        <v>262</v>
      </c>
      <c r="P169" s="1">
        <f t="shared" si="1"/>
        <v>135</v>
      </c>
      <c r="Q169" s="1">
        <f t="shared" si="2"/>
        <v>123</v>
      </c>
      <c r="R169" s="5">
        <f t="shared" si="3"/>
        <v>135</v>
      </c>
      <c r="S169" s="5" t="s">
        <v>47</v>
      </c>
    </row>
    <row r="170">
      <c r="A170" s="1" t="s">
        <v>474</v>
      </c>
      <c r="B170" s="2">
        <v>18.0</v>
      </c>
      <c r="C170" s="1" t="s">
        <v>26</v>
      </c>
      <c r="D170" s="1" t="s">
        <v>30</v>
      </c>
      <c r="E170" s="4">
        <v>0.07291666666666667</v>
      </c>
      <c r="F170" s="1" t="s">
        <v>326</v>
      </c>
      <c r="G170" s="1" t="s">
        <v>28</v>
      </c>
      <c r="H170" s="4">
        <v>0.3368055555555556</v>
      </c>
      <c r="I170" s="1" t="s">
        <v>478</v>
      </c>
      <c r="J170" s="1" t="s">
        <v>30</v>
      </c>
      <c r="K170" s="4">
        <v>0.6284722222222222</v>
      </c>
      <c r="L170" s="1" t="s">
        <v>386</v>
      </c>
      <c r="M170" s="1" t="s">
        <v>28</v>
      </c>
      <c r="N170" s="4">
        <v>0.8833333333333333</v>
      </c>
      <c r="O170" s="1" t="s">
        <v>220</v>
      </c>
      <c r="P170" s="1">
        <f t="shared" si="1"/>
        <v>129</v>
      </c>
      <c r="Q170" s="1">
        <f t="shared" si="2"/>
        <v>113</v>
      </c>
      <c r="R170" s="5">
        <f t="shared" si="3"/>
        <v>129</v>
      </c>
      <c r="S170" s="5" t="s">
        <v>47</v>
      </c>
    </row>
    <row r="171">
      <c r="A171" s="1" t="s">
        <v>474</v>
      </c>
      <c r="B171" s="2">
        <v>19.0</v>
      </c>
      <c r="C171" s="1" t="s">
        <v>34</v>
      </c>
      <c r="D171" s="1" t="s">
        <v>30</v>
      </c>
      <c r="E171" s="4">
        <v>0.10972222222222222</v>
      </c>
      <c r="F171" s="1" t="s">
        <v>191</v>
      </c>
      <c r="G171" s="1" t="s">
        <v>28</v>
      </c>
      <c r="H171" s="4">
        <v>0.37222222222222223</v>
      </c>
      <c r="I171" s="1" t="s">
        <v>419</v>
      </c>
      <c r="J171" s="1" t="s">
        <v>30</v>
      </c>
      <c r="K171" s="4">
        <v>0.6625</v>
      </c>
      <c r="L171" s="1" t="s">
        <v>313</v>
      </c>
      <c r="M171" s="1" t="s">
        <v>28</v>
      </c>
      <c r="N171" s="4">
        <v>0.9166666666666666</v>
      </c>
      <c r="O171" s="1" t="s">
        <v>357</v>
      </c>
      <c r="P171" s="1">
        <f t="shared" si="1"/>
        <v>116</v>
      </c>
      <c r="Q171" s="1">
        <f t="shared" si="2"/>
        <v>100</v>
      </c>
      <c r="R171" s="5">
        <f t="shared" si="3"/>
        <v>116</v>
      </c>
      <c r="S171" s="5" t="s">
        <v>90</v>
      </c>
    </row>
    <row r="172">
      <c r="A172" s="1" t="s">
        <v>474</v>
      </c>
      <c r="B172" s="2">
        <v>20.0</v>
      </c>
      <c r="C172" s="1" t="s">
        <v>41</v>
      </c>
      <c r="D172" s="1" t="s">
        <v>30</v>
      </c>
      <c r="E172" s="4">
        <v>0.14930555555555555</v>
      </c>
      <c r="F172" s="1" t="s">
        <v>250</v>
      </c>
      <c r="G172" s="1" t="s">
        <v>28</v>
      </c>
      <c r="H172" s="4">
        <v>0.40902777777777777</v>
      </c>
      <c r="I172" s="1" t="s">
        <v>385</v>
      </c>
      <c r="J172" s="1" t="s">
        <v>30</v>
      </c>
      <c r="K172" s="4">
        <v>0.6951388888888889</v>
      </c>
      <c r="L172" s="1" t="s">
        <v>114</v>
      </c>
      <c r="M172" s="1" t="s">
        <v>28</v>
      </c>
      <c r="N172" s="4">
        <v>0.9506944444444444</v>
      </c>
      <c r="O172" s="1" t="s">
        <v>402</v>
      </c>
      <c r="P172" s="1">
        <f t="shared" si="1"/>
        <v>99</v>
      </c>
      <c r="Q172" s="1">
        <f t="shared" si="2"/>
        <v>86</v>
      </c>
      <c r="R172" s="5">
        <f t="shared" si="3"/>
        <v>99</v>
      </c>
      <c r="S172" s="5" t="s">
        <v>90</v>
      </c>
    </row>
    <row r="173">
      <c r="A173" s="1" t="s">
        <v>474</v>
      </c>
      <c r="B173" s="2">
        <v>21.0</v>
      </c>
      <c r="C173" s="1" t="s">
        <v>55</v>
      </c>
      <c r="D173" s="1" t="s">
        <v>30</v>
      </c>
      <c r="E173" s="4">
        <v>0.19236111111111112</v>
      </c>
      <c r="F173" s="1" t="s">
        <v>480</v>
      </c>
      <c r="G173" s="1" t="s">
        <v>28</v>
      </c>
      <c r="H173" s="4">
        <v>0.4486111111111111</v>
      </c>
      <c r="I173" s="1" t="s">
        <v>307</v>
      </c>
      <c r="J173" s="1" t="s">
        <v>30</v>
      </c>
      <c r="K173" s="4">
        <v>0.7277777777777777</v>
      </c>
      <c r="L173" s="1" t="s">
        <v>120</v>
      </c>
      <c r="M173" s="1" t="s">
        <v>28</v>
      </c>
      <c r="N173" s="4">
        <v>0.9868055555555556</v>
      </c>
      <c r="O173" s="1" t="s">
        <v>357</v>
      </c>
      <c r="P173" s="1">
        <f t="shared" si="1"/>
        <v>80</v>
      </c>
      <c r="Q173" s="1">
        <f t="shared" si="2"/>
        <v>75</v>
      </c>
      <c r="R173" s="5">
        <f t="shared" si="3"/>
        <v>80</v>
      </c>
      <c r="S173" s="5" t="s">
        <v>39</v>
      </c>
    </row>
    <row r="174">
      <c r="A174" s="1" t="s">
        <v>474</v>
      </c>
      <c r="B174" s="2">
        <v>22.0</v>
      </c>
      <c r="C174" s="1" t="s">
        <v>25</v>
      </c>
      <c r="D174" s="1" t="s">
        <v>30</v>
      </c>
      <c r="E174" s="4">
        <v>0.24097222222222223</v>
      </c>
      <c r="F174" s="1" t="s">
        <v>248</v>
      </c>
      <c r="G174" s="1" t="s">
        <v>28</v>
      </c>
      <c r="H174" s="4">
        <v>0.49444444444444446</v>
      </c>
      <c r="I174" s="1" t="s">
        <v>220</v>
      </c>
      <c r="J174" s="1" t="s">
        <v>30</v>
      </c>
      <c r="K174" s="4">
        <v>0.7618055555555555</v>
      </c>
      <c r="L174" s="1" t="s">
        <v>480</v>
      </c>
      <c r="P174" s="1">
        <f t="shared" si="1"/>
        <v>63</v>
      </c>
      <c r="Q174" s="1">
        <f t="shared" si="2"/>
        <v>29</v>
      </c>
      <c r="R174" s="5">
        <f t="shared" si="3"/>
        <v>63</v>
      </c>
      <c r="S174" s="5" t="s">
        <v>39</v>
      </c>
    </row>
    <row r="175">
      <c r="A175" s="1" t="s">
        <v>474</v>
      </c>
      <c r="B175" s="2">
        <v>23.0</v>
      </c>
      <c r="C175" s="1" t="s">
        <v>75</v>
      </c>
      <c r="D175" s="1" t="s">
        <v>28</v>
      </c>
      <c r="E175" s="4">
        <v>0.024305555555555556</v>
      </c>
      <c r="F175" s="1" t="s">
        <v>262</v>
      </c>
      <c r="G175" s="1" t="s">
        <v>30</v>
      </c>
      <c r="H175" s="4">
        <v>0.29583333333333334</v>
      </c>
      <c r="I175" s="1" t="s">
        <v>248</v>
      </c>
      <c r="J175" s="1" t="s">
        <v>28</v>
      </c>
      <c r="K175" s="4">
        <v>0.5465277777777777</v>
      </c>
      <c r="L175" s="1" t="s">
        <v>189</v>
      </c>
      <c r="M175" s="1" t="s">
        <v>30</v>
      </c>
      <c r="N175" s="4">
        <v>0.7979166666666667</v>
      </c>
      <c r="O175" s="1" t="s">
        <v>291</v>
      </c>
      <c r="P175" s="1">
        <f t="shared" si="1"/>
        <v>64</v>
      </c>
      <c r="Q175" s="1">
        <f t="shared" si="2"/>
        <v>49</v>
      </c>
      <c r="R175" s="5">
        <f t="shared" si="3"/>
        <v>64</v>
      </c>
      <c r="S175" s="5" t="s">
        <v>39</v>
      </c>
    </row>
    <row r="176">
      <c r="A176" s="1" t="s">
        <v>474</v>
      </c>
      <c r="B176" s="2">
        <v>24.0</v>
      </c>
      <c r="C176" s="1" t="s">
        <v>86</v>
      </c>
      <c r="D176" s="1" t="s">
        <v>28</v>
      </c>
      <c r="E176" s="4">
        <v>0.06319444444444444</v>
      </c>
      <c r="F176" s="1" t="s">
        <v>292</v>
      </c>
      <c r="G176" s="1" t="s">
        <v>30</v>
      </c>
      <c r="H176" s="4">
        <v>0.35208333333333336</v>
      </c>
      <c r="I176" s="1" t="s">
        <v>391</v>
      </c>
      <c r="J176" s="1" t="s">
        <v>28</v>
      </c>
      <c r="K176" s="4">
        <v>0.6034722222222222</v>
      </c>
      <c r="L176" s="1" t="s">
        <v>256</v>
      </c>
      <c r="M176" s="1" t="s">
        <v>30</v>
      </c>
      <c r="N176" s="4">
        <v>0.8361111111111111</v>
      </c>
      <c r="O176" s="1" t="s">
        <v>235</v>
      </c>
      <c r="P176" s="1">
        <f t="shared" si="1"/>
        <v>71</v>
      </c>
      <c r="Q176" s="1">
        <f t="shared" si="2"/>
        <v>40</v>
      </c>
      <c r="R176" s="5">
        <f t="shared" si="3"/>
        <v>71</v>
      </c>
      <c r="S176" s="5" t="s">
        <v>39</v>
      </c>
    </row>
    <row r="177">
      <c r="A177" s="1" t="s">
        <v>474</v>
      </c>
      <c r="B177" s="2">
        <v>25.0</v>
      </c>
      <c r="C177" s="1" t="s">
        <v>26</v>
      </c>
      <c r="D177" s="1" t="s">
        <v>28</v>
      </c>
      <c r="E177" s="4">
        <v>0.10208333333333333</v>
      </c>
      <c r="F177" s="1" t="s">
        <v>179</v>
      </c>
      <c r="G177" s="1" t="s">
        <v>30</v>
      </c>
      <c r="H177" s="4">
        <v>0.39861111111111114</v>
      </c>
      <c r="I177" s="1" t="s">
        <v>326</v>
      </c>
      <c r="J177" s="1" t="s">
        <v>28</v>
      </c>
      <c r="K177" s="4">
        <v>0.6541666666666667</v>
      </c>
      <c r="L177" s="1" t="s">
        <v>173</v>
      </c>
      <c r="M177" s="1" t="s">
        <v>30</v>
      </c>
      <c r="N177" s="4">
        <v>0.8736111111111111</v>
      </c>
      <c r="O177" s="1" t="s">
        <v>235</v>
      </c>
      <c r="P177" s="1">
        <f t="shared" si="1"/>
        <v>83</v>
      </c>
      <c r="Q177" s="1">
        <f t="shared" si="2"/>
        <v>39</v>
      </c>
      <c r="R177" s="5">
        <f t="shared" si="3"/>
        <v>83</v>
      </c>
      <c r="S177" s="5" t="s">
        <v>39</v>
      </c>
    </row>
    <row r="178">
      <c r="A178" s="1" t="s">
        <v>474</v>
      </c>
      <c r="B178" s="2">
        <v>26.0</v>
      </c>
      <c r="C178" s="1" t="s">
        <v>34</v>
      </c>
      <c r="D178" s="1" t="s">
        <v>28</v>
      </c>
      <c r="E178" s="4">
        <v>0.13819444444444445</v>
      </c>
      <c r="F178" s="1" t="s">
        <v>265</v>
      </c>
      <c r="G178" s="1" t="s">
        <v>30</v>
      </c>
      <c r="H178" s="4">
        <v>0.43472222222222223</v>
      </c>
      <c r="I178" s="1" t="s">
        <v>112</v>
      </c>
      <c r="J178" s="1" t="s">
        <v>28</v>
      </c>
      <c r="K178" s="4">
        <v>0.69375</v>
      </c>
      <c r="L178" s="1" t="s">
        <v>176</v>
      </c>
      <c r="M178" s="1" t="s">
        <v>30</v>
      </c>
      <c r="N178" s="4">
        <v>0.9076388888888889</v>
      </c>
      <c r="O178" s="1" t="s">
        <v>481</v>
      </c>
      <c r="P178" s="1">
        <f t="shared" si="1"/>
        <v>97</v>
      </c>
      <c r="Q178" s="1">
        <f t="shared" si="2"/>
        <v>43</v>
      </c>
      <c r="R178" s="5">
        <f t="shared" si="3"/>
        <v>97</v>
      </c>
      <c r="S178" s="5" t="s">
        <v>90</v>
      </c>
    </row>
    <row r="179">
      <c r="A179" s="1" t="s">
        <v>474</v>
      </c>
      <c r="B179" s="2">
        <v>27.0</v>
      </c>
      <c r="C179" s="1" t="s">
        <v>41</v>
      </c>
      <c r="D179" s="1" t="s">
        <v>28</v>
      </c>
      <c r="E179" s="4">
        <v>0.1701388888888889</v>
      </c>
      <c r="F179" s="1" t="s">
        <v>388</v>
      </c>
      <c r="G179" s="1" t="s">
        <v>30</v>
      </c>
      <c r="H179" s="4">
        <v>0.4638888888888889</v>
      </c>
      <c r="I179" s="1" t="s">
        <v>37</v>
      </c>
      <c r="J179" s="1" t="s">
        <v>28</v>
      </c>
      <c r="K179" s="4">
        <v>0.7243055555555555</v>
      </c>
      <c r="L179" s="1" t="s">
        <v>189</v>
      </c>
      <c r="M179" s="1" t="s">
        <v>30</v>
      </c>
      <c r="N179" s="4">
        <v>0.9381944444444444</v>
      </c>
      <c r="O179" s="1" t="s">
        <v>291</v>
      </c>
      <c r="P179" s="1">
        <f t="shared" si="1"/>
        <v>111</v>
      </c>
      <c r="Q179" s="1">
        <f t="shared" si="2"/>
        <v>49</v>
      </c>
      <c r="R179" s="5">
        <f t="shared" si="3"/>
        <v>111</v>
      </c>
      <c r="S179" s="5" t="s">
        <v>90</v>
      </c>
    </row>
    <row r="180">
      <c r="A180" s="1" t="s">
        <v>474</v>
      </c>
      <c r="B180" s="2">
        <v>28.0</v>
      </c>
      <c r="C180" s="1" t="s">
        <v>55</v>
      </c>
      <c r="D180" s="1" t="s">
        <v>28</v>
      </c>
      <c r="E180" s="4">
        <v>0.19930555555555557</v>
      </c>
      <c r="F180" s="1" t="s">
        <v>78</v>
      </c>
      <c r="G180" s="1" t="s">
        <v>30</v>
      </c>
      <c r="H180" s="4">
        <v>0.4888888888888889</v>
      </c>
      <c r="I180" s="1" t="s">
        <v>88</v>
      </c>
      <c r="J180" s="1" t="s">
        <v>28</v>
      </c>
      <c r="K180" s="4">
        <v>0.7506944444444444</v>
      </c>
      <c r="L180" s="1" t="s">
        <v>190</v>
      </c>
      <c r="M180" s="1" t="s">
        <v>30</v>
      </c>
      <c r="N180" s="4">
        <v>0.9652777777777778</v>
      </c>
      <c r="O180" s="1" t="s">
        <v>248</v>
      </c>
      <c r="P180" s="1">
        <f t="shared" si="1"/>
        <v>124</v>
      </c>
      <c r="Q180" s="1">
        <f t="shared" si="2"/>
        <v>56</v>
      </c>
      <c r="R180" s="5">
        <f t="shared" si="3"/>
        <v>124</v>
      </c>
      <c r="S180" s="5" t="s">
        <v>47</v>
      </c>
    </row>
    <row r="181">
      <c r="A181" s="1" t="s">
        <v>474</v>
      </c>
      <c r="B181" s="2">
        <v>29.0</v>
      </c>
      <c r="C181" s="1" t="s">
        <v>25</v>
      </c>
      <c r="D181" s="1" t="s">
        <v>28</v>
      </c>
      <c r="E181" s="4">
        <v>0.22569444444444445</v>
      </c>
      <c r="F181" s="1" t="s">
        <v>436</v>
      </c>
      <c r="G181" s="1" t="s">
        <v>30</v>
      </c>
      <c r="H181" s="4">
        <v>0.5131944444444444</v>
      </c>
      <c r="I181" s="1" t="s">
        <v>182</v>
      </c>
      <c r="J181" s="1" t="s">
        <v>28</v>
      </c>
      <c r="K181" s="4">
        <v>0.7743055555555556</v>
      </c>
      <c r="L181" s="1" t="s">
        <v>100</v>
      </c>
      <c r="M181" s="1" t="s">
        <v>30</v>
      </c>
      <c r="N181" s="4">
        <v>0.9909722222222223</v>
      </c>
      <c r="O181" s="1" t="s">
        <v>391</v>
      </c>
      <c r="P181" s="1">
        <f t="shared" si="1"/>
        <v>134</v>
      </c>
      <c r="Q181" s="1">
        <f t="shared" si="2"/>
        <v>63</v>
      </c>
      <c r="R181" s="5">
        <f t="shared" si="3"/>
        <v>134</v>
      </c>
      <c r="S181" s="5" t="s">
        <v>47</v>
      </c>
    </row>
    <row r="182">
      <c r="A182" s="1" t="s">
        <v>474</v>
      </c>
      <c r="B182" s="2">
        <v>30.0</v>
      </c>
      <c r="C182" s="1" t="s">
        <v>75</v>
      </c>
      <c r="D182" s="1" t="s">
        <v>28</v>
      </c>
      <c r="E182" s="4">
        <v>0.25069444444444444</v>
      </c>
      <c r="F182" s="1" t="s">
        <v>46</v>
      </c>
      <c r="G182" s="1" t="s">
        <v>30</v>
      </c>
      <c r="H182" s="4">
        <v>0.5361111111111111</v>
      </c>
      <c r="I182" s="1" t="s">
        <v>174</v>
      </c>
      <c r="J182" s="1" t="s">
        <v>28</v>
      </c>
      <c r="K182" s="4">
        <v>0.7972222222222223</v>
      </c>
      <c r="L182" s="1" t="s">
        <v>218</v>
      </c>
      <c r="P182" s="1">
        <f t="shared" si="1"/>
        <v>140</v>
      </c>
      <c r="Q182" s="1">
        <f t="shared" si="2"/>
        <v>34</v>
      </c>
      <c r="R182" s="5">
        <f t="shared" si="3"/>
        <v>140</v>
      </c>
      <c r="S182" s="5" t="s">
        <v>47</v>
      </c>
    </row>
    <row r="183">
      <c r="A183" s="1" t="s">
        <v>485</v>
      </c>
      <c r="B183" s="2">
        <v>1.0</v>
      </c>
      <c r="C183" s="1" t="s">
        <v>86</v>
      </c>
      <c r="D183" s="1" t="s">
        <v>30</v>
      </c>
      <c r="E183" s="4">
        <v>0.01597222222222222</v>
      </c>
      <c r="F183" s="1" t="s">
        <v>250</v>
      </c>
      <c r="G183" s="1" t="s">
        <v>28</v>
      </c>
      <c r="H183" s="4">
        <v>0.2743055555555556</v>
      </c>
      <c r="I183" s="1" t="s">
        <v>211</v>
      </c>
      <c r="J183" s="1" t="s">
        <v>30</v>
      </c>
      <c r="K183" s="4">
        <v>0.5583333333333333</v>
      </c>
      <c r="L183" s="1" t="s">
        <v>274</v>
      </c>
      <c r="M183" s="1" t="s">
        <v>28</v>
      </c>
      <c r="N183" s="4">
        <v>0.8180555555555555</v>
      </c>
      <c r="O183" s="1" t="s">
        <v>357</v>
      </c>
      <c r="P183" s="1">
        <f t="shared" si="1"/>
        <v>109</v>
      </c>
      <c r="Q183" s="1">
        <f t="shared" si="2"/>
        <v>103</v>
      </c>
      <c r="R183" s="5">
        <f t="shared" si="3"/>
        <v>109</v>
      </c>
      <c r="S183" s="5" t="s">
        <v>90</v>
      </c>
    </row>
    <row r="184">
      <c r="A184" s="1" t="s">
        <v>485</v>
      </c>
      <c r="B184" s="2">
        <v>2.0</v>
      </c>
      <c r="C184" s="1" t="s">
        <v>26</v>
      </c>
      <c r="D184" s="1" t="s">
        <v>30</v>
      </c>
      <c r="E184" s="4">
        <v>0.04027777777777778</v>
      </c>
      <c r="F184" s="1" t="s">
        <v>286</v>
      </c>
      <c r="G184" s="1" t="s">
        <v>28</v>
      </c>
      <c r="H184" s="4">
        <v>0.2986111111111111</v>
      </c>
      <c r="I184" s="1" t="s">
        <v>346</v>
      </c>
      <c r="J184" s="1" t="s">
        <v>30</v>
      </c>
      <c r="K184" s="4">
        <v>0.58125</v>
      </c>
      <c r="L184" s="1" t="s">
        <v>66</v>
      </c>
      <c r="M184" s="1" t="s">
        <v>28</v>
      </c>
      <c r="N184" s="4">
        <v>0.8395833333333333</v>
      </c>
      <c r="O184" s="1" t="s">
        <v>220</v>
      </c>
      <c r="P184" s="1">
        <f t="shared" si="1"/>
        <v>112</v>
      </c>
      <c r="Q184" s="1">
        <f t="shared" si="2"/>
        <v>102</v>
      </c>
      <c r="R184" s="5">
        <f t="shared" si="3"/>
        <v>112</v>
      </c>
      <c r="S184" s="5" t="s">
        <v>90</v>
      </c>
    </row>
    <row r="185">
      <c r="A185" s="1" t="s">
        <v>485</v>
      </c>
      <c r="B185" s="2">
        <v>3.0</v>
      </c>
      <c r="C185" s="1" t="s">
        <v>34</v>
      </c>
      <c r="D185" s="1" t="s">
        <v>30</v>
      </c>
      <c r="E185" s="4">
        <v>0.06597222222222222</v>
      </c>
      <c r="F185" s="1" t="s">
        <v>191</v>
      </c>
      <c r="G185" s="1" t="s">
        <v>28</v>
      </c>
      <c r="H185" s="4">
        <v>0.3229166666666667</v>
      </c>
      <c r="I185" s="1" t="s">
        <v>211</v>
      </c>
      <c r="J185" s="1" t="s">
        <v>30</v>
      </c>
      <c r="K185" s="4">
        <v>0.6041666666666666</v>
      </c>
      <c r="L185" s="1" t="s">
        <v>110</v>
      </c>
      <c r="M185" s="1" t="s">
        <v>28</v>
      </c>
      <c r="N185" s="4">
        <v>0.8618055555555556</v>
      </c>
      <c r="O185" s="1" t="s">
        <v>262</v>
      </c>
      <c r="P185" s="1">
        <f t="shared" si="1"/>
        <v>112</v>
      </c>
      <c r="Q185" s="1">
        <f t="shared" si="2"/>
        <v>99</v>
      </c>
      <c r="R185" s="5">
        <f t="shared" si="3"/>
        <v>112</v>
      </c>
      <c r="S185" s="5" t="s">
        <v>90</v>
      </c>
    </row>
    <row r="186">
      <c r="A186" s="1" t="s">
        <v>485</v>
      </c>
      <c r="B186" s="2">
        <v>4.0</v>
      </c>
      <c r="C186" s="1" t="s">
        <v>41</v>
      </c>
      <c r="D186" s="1" t="s">
        <v>30</v>
      </c>
      <c r="E186" s="4">
        <v>0.09305555555555556</v>
      </c>
      <c r="F186" s="1" t="s">
        <v>286</v>
      </c>
      <c r="G186" s="1" t="s">
        <v>28</v>
      </c>
      <c r="H186" s="4">
        <v>0.3486111111111111</v>
      </c>
      <c r="I186" s="1" t="s">
        <v>46</v>
      </c>
      <c r="J186" s="1" t="s">
        <v>30</v>
      </c>
      <c r="K186" s="4">
        <v>0.6270833333333333</v>
      </c>
      <c r="L186" s="1" t="s">
        <v>146</v>
      </c>
      <c r="M186" s="1" t="s">
        <v>28</v>
      </c>
      <c r="N186" s="4">
        <v>0.8854166666666666</v>
      </c>
      <c r="O186" s="1" t="s">
        <v>131</v>
      </c>
      <c r="P186" s="1">
        <f t="shared" si="1"/>
        <v>107</v>
      </c>
      <c r="Q186" s="1">
        <f t="shared" si="2"/>
        <v>96</v>
      </c>
      <c r="R186" s="5">
        <f t="shared" si="3"/>
        <v>107</v>
      </c>
      <c r="S186" s="5" t="s">
        <v>90</v>
      </c>
    </row>
    <row r="187">
      <c r="A187" s="1" t="s">
        <v>485</v>
      </c>
      <c r="B187" s="2">
        <v>5.0</v>
      </c>
      <c r="C187" s="1" t="s">
        <v>55</v>
      </c>
      <c r="D187" s="1" t="s">
        <v>30</v>
      </c>
      <c r="E187" s="4">
        <v>0.12222222222222222</v>
      </c>
      <c r="F187" s="1" t="s">
        <v>328</v>
      </c>
      <c r="G187" s="1" t="s">
        <v>28</v>
      </c>
      <c r="H187" s="4">
        <v>0.3763888888888889</v>
      </c>
      <c r="I187" s="1" t="s">
        <v>385</v>
      </c>
      <c r="J187" s="1" t="s">
        <v>30</v>
      </c>
      <c r="K187" s="4">
        <v>0.6513888888888889</v>
      </c>
      <c r="L187" s="1" t="s">
        <v>134</v>
      </c>
      <c r="M187" s="1" t="s">
        <v>28</v>
      </c>
      <c r="N187" s="4">
        <v>0.9111111111111111</v>
      </c>
      <c r="O187" s="1" t="s">
        <v>292</v>
      </c>
      <c r="P187" s="1">
        <f t="shared" si="1"/>
        <v>100</v>
      </c>
      <c r="Q187" s="1">
        <f t="shared" si="2"/>
        <v>91</v>
      </c>
      <c r="R187" s="5">
        <f t="shared" si="3"/>
        <v>100</v>
      </c>
      <c r="S187" s="5" t="s">
        <v>90</v>
      </c>
    </row>
    <row r="188">
      <c r="A188" s="1" t="s">
        <v>485</v>
      </c>
      <c r="B188" s="2">
        <v>6.0</v>
      </c>
      <c r="C188" s="1" t="s">
        <v>25</v>
      </c>
      <c r="D188" s="1" t="s">
        <v>30</v>
      </c>
      <c r="E188" s="4">
        <v>0.15555555555555556</v>
      </c>
      <c r="F188" s="1" t="s">
        <v>295</v>
      </c>
      <c r="G188" s="1" t="s">
        <v>28</v>
      </c>
      <c r="H188" s="4">
        <v>0.40694444444444444</v>
      </c>
      <c r="I188" s="1" t="s">
        <v>434</v>
      </c>
      <c r="J188" s="1" t="s">
        <v>30</v>
      </c>
      <c r="K188" s="4">
        <v>0.6784722222222223</v>
      </c>
      <c r="L188" s="1" t="s">
        <v>224</v>
      </c>
      <c r="M188" s="1" t="s">
        <v>28</v>
      </c>
      <c r="N188" s="4">
        <v>0.9409722222222222</v>
      </c>
      <c r="O188" s="1" t="s">
        <v>472</v>
      </c>
      <c r="P188" s="1">
        <f t="shared" si="1"/>
        <v>90</v>
      </c>
      <c r="Q188" s="1">
        <f t="shared" si="2"/>
        <v>86</v>
      </c>
      <c r="R188" s="5">
        <f t="shared" si="3"/>
        <v>90</v>
      </c>
      <c r="S188" s="5" t="s">
        <v>39</v>
      </c>
    </row>
    <row r="189">
      <c r="A189" s="1" t="s">
        <v>485</v>
      </c>
      <c r="B189" s="2">
        <v>7.0</v>
      </c>
      <c r="C189" s="1" t="s">
        <v>75</v>
      </c>
      <c r="D189" s="1" t="s">
        <v>30</v>
      </c>
      <c r="E189" s="4">
        <v>0.19444444444444445</v>
      </c>
      <c r="F189" s="1" t="s">
        <v>389</v>
      </c>
      <c r="G189" s="1" t="s">
        <v>28</v>
      </c>
      <c r="H189" s="4">
        <v>0.44375</v>
      </c>
      <c r="I189" s="1" t="s">
        <v>135</v>
      </c>
      <c r="J189" s="1" t="s">
        <v>30</v>
      </c>
      <c r="K189" s="4">
        <v>0.7083333333333334</v>
      </c>
      <c r="L189" s="1" t="s">
        <v>286</v>
      </c>
      <c r="M189" s="1" t="s">
        <v>28</v>
      </c>
      <c r="N189" s="4">
        <v>0.9743055555555555</v>
      </c>
      <c r="O189" s="1" t="s">
        <v>335</v>
      </c>
      <c r="P189" s="1">
        <f t="shared" si="1"/>
        <v>79</v>
      </c>
      <c r="Q189" s="1">
        <f t="shared" si="2"/>
        <v>81</v>
      </c>
      <c r="R189" s="5">
        <f t="shared" si="3"/>
        <v>81</v>
      </c>
      <c r="S189" s="5" t="s">
        <v>39</v>
      </c>
    </row>
    <row r="190">
      <c r="A190" s="1" t="s">
        <v>485</v>
      </c>
      <c r="B190" s="2">
        <v>8.0</v>
      </c>
      <c r="C190" s="1" t="s">
        <v>86</v>
      </c>
      <c r="D190" s="1" t="s">
        <v>30</v>
      </c>
      <c r="E190" s="4">
        <v>0.24097222222222223</v>
      </c>
      <c r="F190" s="1" t="s">
        <v>295</v>
      </c>
      <c r="G190" s="1" t="s">
        <v>28</v>
      </c>
      <c r="H190" s="4">
        <v>0.48819444444444443</v>
      </c>
      <c r="I190" s="1" t="s">
        <v>262</v>
      </c>
      <c r="J190" s="1" t="s">
        <v>30</v>
      </c>
      <c r="K190" s="4">
        <v>0.74375</v>
      </c>
      <c r="L190" s="1" t="s">
        <v>236</v>
      </c>
      <c r="P190" s="1">
        <f t="shared" si="1"/>
        <v>70</v>
      </c>
      <c r="Q190" s="1">
        <f t="shared" si="2"/>
        <v>27</v>
      </c>
      <c r="R190" s="5">
        <f t="shared" si="3"/>
        <v>70</v>
      </c>
      <c r="S190" s="5" t="s">
        <v>39</v>
      </c>
    </row>
    <row r="191">
      <c r="A191" s="1" t="s">
        <v>485</v>
      </c>
      <c r="B191" s="2">
        <v>9.0</v>
      </c>
      <c r="C191" s="1" t="s">
        <v>26</v>
      </c>
      <c r="D191" s="1" t="s">
        <v>28</v>
      </c>
      <c r="E191" s="4">
        <v>0.013194444444444444</v>
      </c>
      <c r="F191" s="1" t="s">
        <v>89</v>
      </c>
      <c r="G191" s="1" t="s">
        <v>30</v>
      </c>
      <c r="H191" s="4">
        <v>0.29444444444444445</v>
      </c>
      <c r="I191" s="1" t="s">
        <v>191</v>
      </c>
      <c r="J191" s="1" t="s">
        <v>28</v>
      </c>
      <c r="K191" s="4">
        <v>0.5444444444444444</v>
      </c>
      <c r="L191" s="1" t="s">
        <v>190</v>
      </c>
      <c r="M191" s="1" t="s">
        <v>30</v>
      </c>
      <c r="N191" s="4">
        <v>0.7861111111111111</v>
      </c>
      <c r="O191" s="1" t="s">
        <v>355</v>
      </c>
      <c r="P191" s="1">
        <f t="shared" si="1"/>
        <v>85</v>
      </c>
      <c r="Q191" s="1">
        <f t="shared" si="2"/>
        <v>51</v>
      </c>
      <c r="R191" s="5">
        <f t="shared" si="3"/>
        <v>85</v>
      </c>
      <c r="S191" s="5" t="s">
        <v>39</v>
      </c>
    </row>
    <row r="192">
      <c r="A192" s="1" t="s">
        <v>485</v>
      </c>
      <c r="B192" s="2">
        <v>10.0</v>
      </c>
      <c r="C192" s="1" t="s">
        <v>34</v>
      </c>
      <c r="D192" s="1" t="s">
        <v>28</v>
      </c>
      <c r="E192" s="4">
        <v>0.05763888888888889</v>
      </c>
      <c r="F192" s="1" t="s">
        <v>147</v>
      </c>
      <c r="G192" s="1" t="s">
        <v>30</v>
      </c>
      <c r="H192" s="4">
        <v>0.35138888888888886</v>
      </c>
      <c r="I192" s="1" t="s">
        <v>117</v>
      </c>
      <c r="J192" s="1" t="s">
        <v>28</v>
      </c>
      <c r="K192" s="4">
        <v>0.6104166666666667</v>
      </c>
      <c r="L192" s="1" t="s">
        <v>189</v>
      </c>
      <c r="M192" s="1" t="s">
        <v>30</v>
      </c>
      <c r="N192" s="4">
        <v>0.8340277777777778</v>
      </c>
      <c r="O192" s="1" t="s">
        <v>483</v>
      </c>
      <c r="P192" s="1">
        <f t="shared" si="1"/>
        <v>99</v>
      </c>
      <c r="Q192" s="1">
        <f t="shared" si="2"/>
        <v>44</v>
      </c>
      <c r="R192" s="5">
        <f t="shared" si="3"/>
        <v>99</v>
      </c>
      <c r="S192" s="5" t="s">
        <v>90</v>
      </c>
    </row>
    <row r="193">
      <c r="A193" s="1" t="s">
        <v>485</v>
      </c>
      <c r="B193" s="2">
        <v>11.0</v>
      </c>
      <c r="C193" s="1" t="s">
        <v>41</v>
      </c>
      <c r="D193" s="1" t="s">
        <v>28</v>
      </c>
      <c r="E193" s="4">
        <v>0.10486111111111111</v>
      </c>
      <c r="F193" s="1" t="s">
        <v>167</v>
      </c>
      <c r="G193" s="1" t="s">
        <v>30</v>
      </c>
      <c r="H193" s="4">
        <v>0.4027777777777778</v>
      </c>
      <c r="I193" s="1" t="s">
        <v>146</v>
      </c>
      <c r="J193" s="1" t="s">
        <v>28</v>
      </c>
      <c r="K193" s="4">
        <v>0.6680555555555555</v>
      </c>
      <c r="L193" s="1" t="s">
        <v>214</v>
      </c>
      <c r="M193" s="1" t="s">
        <v>30</v>
      </c>
      <c r="N193" s="4">
        <v>0.8826388888888889</v>
      </c>
      <c r="O193" s="1" t="s">
        <v>483</v>
      </c>
      <c r="P193" s="1">
        <f t="shared" si="1"/>
        <v>119</v>
      </c>
      <c r="Q193" s="1">
        <f t="shared" si="2"/>
        <v>46</v>
      </c>
      <c r="R193" s="5">
        <f t="shared" si="3"/>
        <v>119</v>
      </c>
      <c r="S193" s="5" t="s">
        <v>90</v>
      </c>
    </row>
    <row r="194">
      <c r="A194" s="1" t="s">
        <v>485</v>
      </c>
      <c r="B194" s="2">
        <v>12.0</v>
      </c>
      <c r="C194" s="1" t="s">
        <v>55</v>
      </c>
      <c r="D194" s="1" t="s">
        <v>28</v>
      </c>
      <c r="E194" s="4">
        <v>0.15069444444444444</v>
      </c>
      <c r="F194" s="1" t="s">
        <v>59</v>
      </c>
      <c r="G194" s="1" t="s">
        <v>30</v>
      </c>
      <c r="H194" s="4">
        <v>0.44722222222222224</v>
      </c>
      <c r="I194" s="1" t="s">
        <v>124</v>
      </c>
      <c r="J194" s="1" t="s">
        <v>28</v>
      </c>
      <c r="K194" s="4">
        <v>0.7118055555555556</v>
      </c>
      <c r="L194" s="1" t="s">
        <v>402</v>
      </c>
      <c r="M194" s="1" t="s">
        <v>30</v>
      </c>
      <c r="N194" s="4">
        <v>0.9263888888888889</v>
      </c>
      <c r="O194" s="1" t="s">
        <v>291</v>
      </c>
      <c r="P194" s="1">
        <f t="shared" si="1"/>
        <v>143</v>
      </c>
      <c r="Q194" s="1">
        <f t="shared" si="2"/>
        <v>57</v>
      </c>
      <c r="R194" s="5">
        <f t="shared" si="3"/>
        <v>143</v>
      </c>
      <c r="S194" s="5" t="s">
        <v>47</v>
      </c>
    </row>
    <row r="195">
      <c r="A195" s="1" t="s">
        <v>485</v>
      </c>
      <c r="B195" s="2">
        <v>13.0</v>
      </c>
      <c r="C195" s="1" t="s">
        <v>25</v>
      </c>
      <c r="D195" s="1" t="s">
        <v>28</v>
      </c>
      <c r="E195" s="4">
        <v>0.19305555555555556</v>
      </c>
      <c r="F195" s="1" t="s">
        <v>484</v>
      </c>
      <c r="G195" s="1" t="s">
        <v>30</v>
      </c>
      <c r="H195" s="4">
        <v>0.48680555555555555</v>
      </c>
      <c r="I195" s="1" t="s">
        <v>302</v>
      </c>
      <c r="J195" s="1" t="s">
        <v>28</v>
      </c>
      <c r="K195" s="4">
        <v>0.7479166666666667</v>
      </c>
      <c r="L195" s="1" t="s">
        <v>292</v>
      </c>
      <c r="M195" s="1" t="s">
        <v>30</v>
      </c>
      <c r="N195" s="4">
        <v>0.9659722222222222</v>
      </c>
      <c r="O195" s="1" t="s">
        <v>327</v>
      </c>
      <c r="P195" s="1">
        <f t="shared" si="1"/>
        <v>165</v>
      </c>
      <c r="Q195" s="1">
        <f t="shared" si="2"/>
        <v>69</v>
      </c>
      <c r="R195" s="5">
        <f t="shared" si="3"/>
        <v>165</v>
      </c>
      <c r="S195" s="5" t="s">
        <v>47</v>
      </c>
    </row>
    <row r="196">
      <c r="A196" s="1" t="s">
        <v>485</v>
      </c>
      <c r="B196" s="2">
        <v>14.0</v>
      </c>
      <c r="C196" s="1" t="s">
        <v>75</v>
      </c>
      <c r="D196" s="1" t="s">
        <v>28</v>
      </c>
      <c r="E196" s="4">
        <v>0.23055555555555557</v>
      </c>
      <c r="F196" s="1" t="s">
        <v>476</v>
      </c>
      <c r="G196" s="1" t="s">
        <v>30</v>
      </c>
      <c r="H196" s="4">
        <v>0.5215277777777778</v>
      </c>
      <c r="I196" s="1" t="s">
        <v>300</v>
      </c>
      <c r="J196" s="1" t="s">
        <v>28</v>
      </c>
      <c r="K196" s="4">
        <v>0.7798611111111111</v>
      </c>
      <c r="L196" s="1" t="s">
        <v>335</v>
      </c>
      <c r="P196" s="1">
        <f t="shared" si="1"/>
        <v>182</v>
      </c>
      <c r="Q196" s="1">
        <f t="shared" si="2"/>
        <v>46</v>
      </c>
      <c r="R196" s="5">
        <f t="shared" si="3"/>
        <v>182</v>
      </c>
      <c r="S196" s="5" t="s">
        <v>47</v>
      </c>
    </row>
    <row r="197">
      <c r="A197" s="1" t="s">
        <v>485</v>
      </c>
      <c r="B197" s="2">
        <v>15.0</v>
      </c>
      <c r="C197" s="1" t="s">
        <v>86</v>
      </c>
      <c r="D197" s="1" t="s">
        <v>30</v>
      </c>
      <c r="E197" s="4">
        <v>0.0020833333333333333</v>
      </c>
      <c r="F197" s="1" t="s">
        <v>286</v>
      </c>
      <c r="G197" s="1" t="s">
        <v>28</v>
      </c>
      <c r="H197" s="4">
        <v>0.2652777777777778</v>
      </c>
      <c r="I197" s="1" t="s">
        <v>486</v>
      </c>
      <c r="J197" s="1" t="s">
        <v>30</v>
      </c>
      <c r="K197" s="4">
        <v>0.5541666666666667</v>
      </c>
      <c r="L197" s="1" t="s">
        <v>300</v>
      </c>
      <c r="M197" s="1" t="s">
        <v>28</v>
      </c>
      <c r="N197" s="4">
        <v>0.8090277777777778</v>
      </c>
      <c r="O197" s="1" t="s">
        <v>307</v>
      </c>
      <c r="P197" s="1">
        <f t="shared" si="1"/>
        <v>138</v>
      </c>
      <c r="Q197" s="1">
        <f t="shared" si="2"/>
        <v>136</v>
      </c>
      <c r="R197" s="5">
        <f t="shared" si="3"/>
        <v>138</v>
      </c>
      <c r="S197" s="5" t="s">
        <v>47</v>
      </c>
    </row>
    <row r="198">
      <c r="A198" s="1" t="s">
        <v>485</v>
      </c>
      <c r="B198" s="2">
        <v>16.0</v>
      </c>
      <c r="C198" s="1" t="s">
        <v>26</v>
      </c>
      <c r="D198" s="1" t="s">
        <v>30</v>
      </c>
      <c r="E198" s="4">
        <v>0.03611111111111111</v>
      </c>
      <c r="F198" s="1" t="s">
        <v>127</v>
      </c>
      <c r="G198" s="1" t="s">
        <v>28</v>
      </c>
      <c r="H198" s="4">
        <v>0.29791666666666666</v>
      </c>
      <c r="I198" s="1" t="s">
        <v>486</v>
      </c>
      <c r="J198" s="1" t="s">
        <v>30</v>
      </c>
      <c r="K198" s="4">
        <v>0.5840277777777778</v>
      </c>
      <c r="L198" s="1" t="s">
        <v>302</v>
      </c>
      <c r="M198" s="1" t="s">
        <v>28</v>
      </c>
      <c r="N198" s="4">
        <v>0.8361111111111111</v>
      </c>
      <c r="O198" s="1" t="s">
        <v>267</v>
      </c>
      <c r="P198" s="1">
        <f t="shared" si="1"/>
        <v>143</v>
      </c>
      <c r="Q198" s="1">
        <f t="shared" si="2"/>
        <v>132</v>
      </c>
      <c r="R198" s="5">
        <f t="shared" si="3"/>
        <v>143</v>
      </c>
      <c r="S198" s="5" t="s">
        <v>47</v>
      </c>
    </row>
    <row r="199">
      <c r="A199" s="1" t="s">
        <v>485</v>
      </c>
      <c r="B199" s="2">
        <v>17.0</v>
      </c>
      <c r="C199" s="1" t="s">
        <v>34</v>
      </c>
      <c r="D199" s="1" t="s">
        <v>30</v>
      </c>
      <c r="E199" s="4">
        <v>0.06944444444444445</v>
      </c>
      <c r="F199" s="1" t="s">
        <v>224</v>
      </c>
      <c r="G199" s="1" t="s">
        <v>28</v>
      </c>
      <c r="H199" s="4">
        <v>0.32916666666666666</v>
      </c>
      <c r="I199" s="1" t="s">
        <v>477</v>
      </c>
      <c r="J199" s="1" t="s">
        <v>30</v>
      </c>
      <c r="K199" s="4">
        <v>0.6111111111111112</v>
      </c>
      <c r="L199" s="1" t="s">
        <v>124</v>
      </c>
      <c r="M199" s="1" t="s">
        <v>28</v>
      </c>
      <c r="N199" s="4">
        <v>0.8625</v>
      </c>
      <c r="O199" s="1" t="s">
        <v>147</v>
      </c>
      <c r="P199" s="1">
        <f t="shared" si="1"/>
        <v>139</v>
      </c>
      <c r="Q199" s="1">
        <f t="shared" si="2"/>
        <v>124</v>
      </c>
      <c r="R199" s="5">
        <f t="shared" si="3"/>
        <v>139</v>
      </c>
      <c r="S199" s="5" t="s">
        <v>47</v>
      </c>
    </row>
    <row r="200">
      <c r="A200" s="1" t="s">
        <v>485</v>
      </c>
      <c r="B200" s="2">
        <v>18.0</v>
      </c>
      <c r="C200" s="1" t="s">
        <v>41</v>
      </c>
      <c r="D200" s="1" t="s">
        <v>30</v>
      </c>
      <c r="E200" s="4">
        <v>0.10277777777777777</v>
      </c>
      <c r="F200" s="1" t="s">
        <v>224</v>
      </c>
      <c r="G200" s="1" t="s">
        <v>28</v>
      </c>
      <c r="H200" s="4">
        <v>0.3597222222222222</v>
      </c>
      <c r="I200" s="1" t="s">
        <v>473</v>
      </c>
      <c r="J200" s="1" t="s">
        <v>30</v>
      </c>
      <c r="K200" s="4">
        <v>0.6368055555555555</v>
      </c>
      <c r="L200" s="1" t="s">
        <v>277</v>
      </c>
      <c r="M200" s="1" t="s">
        <v>28</v>
      </c>
      <c r="N200" s="4">
        <v>0.8881944444444444</v>
      </c>
      <c r="O200" s="1" t="s">
        <v>147</v>
      </c>
      <c r="P200" s="1">
        <f t="shared" si="1"/>
        <v>127</v>
      </c>
      <c r="Q200" s="1">
        <f t="shared" si="2"/>
        <v>112</v>
      </c>
      <c r="R200" s="5">
        <f t="shared" si="3"/>
        <v>127</v>
      </c>
      <c r="S200" s="5" t="s">
        <v>47</v>
      </c>
    </row>
    <row r="201">
      <c r="A201" s="1" t="s">
        <v>485</v>
      </c>
      <c r="B201" s="2">
        <v>19.0</v>
      </c>
      <c r="C201" s="1" t="s">
        <v>55</v>
      </c>
      <c r="D201" s="1" t="s">
        <v>30</v>
      </c>
      <c r="E201" s="4">
        <v>0.13541666666666666</v>
      </c>
      <c r="F201" s="1" t="s">
        <v>120</v>
      </c>
      <c r="G201" s="1" t="s">
        <v>28</v>
      </c>
      <c r="H201" s="4">
        <v>0.3902777777777778</v>
      </c>
      <c r="I201" s="1" t="s">
        <v>338</v>
      </c>
      <c r="J201" s="1" t="s">
        <v>30</v>
      </c>
      <c r="K201" s="4">
        <v>0.6597222222222222</v>
      </c>
      <c r="L201" s="1" t="s">
        <v>117</v>
      </c>
      <c r="M201" s="1" t="s">
        <v>28</v>
      </c>
      <c r="N201" s="4">
        <v>0.9138888888888889</v>
      </c>
      <c r="O201" s="1" t="s">
        <v>267</v>
      </c>
      <c r="P201" s="1">
        <f t="shared" si="1"/>
        <v>108</v>
      </c>
      <c r="Q201" s="1">
        <f t="shared" si="2"/>
        <v>97</v>
      </c>
      <c r="R201" s="5">
        <f t="shared" si="3"/>
        <v>108</v>
      </c>
      <c r="S201" s="5" t="s">
        <v>90</v>
      </c>
    </row>
    <row r="202">
      <c r="A202" s="1" t="s">
        <v>485</v>
      </c>
      <c r="B202" s="2">
        <v>20.0</v>
      </c>
      <c r="C202" s="1" t="s">
        <v>25</v>
      </c>
      <c r="D202" s="1" t="s">
        <v>30</v>
      </c>
      <c r="E202" s="4">
        <v>0.1701388888888889</v>
      </c>
      <c r="F202" s="1" t="s">
        <v>250</v>
      </c>
      <c r="G202" s="1" t="s">
        <v>28</v>
      </c>
      <c r="H202" s="4">
        <v>0.4222222222222222</v>
      </c>
      <c r="I202" s="1" t="s">
        <v>307</v>
      </c>
      <c r="J202" s="1" t="s">
        <v>30</v>
      </c>
      <c r="K202" s="4">
        <v>0.6833333333333333</v>
      </c>
      <c r="L202" s="1" t="s">
        <v>295</v>
      </c>
      <c r="M202" s="1" t="s">
        <v>28</v>
      </c>
      <c r="N202" s="4">
        <v>0.9416666666666667</v>
      </c>
      <c r="O202" s="1" t="s">
        <v>307</v>
      </c>
      <c r="P202" s="1">
        <f t="shared" si="1"/>
        <v>84</v>
      </c>
      <c r="Q202" s="1">
        <f t="shared" si="2"/>
        <v>83</v>
      </c>
      <c r="R202" s="5">
        <f t="shared" si="3"/>
        <v>84</v>
      </c>
      <c r="S202" s="5" t="s">
        <v>39</v>
      </c>
    </row>
    <row r="203">
      <c r="A203" s="1" t="s">
        <v>485</v>
      </c>
      <c r="B203" s="2">
        <v>21.0</v>
      </c>
      <c r="C203" s="1" t="s">
        <v>75</v>
      </c>
      <c r="D203" s="1" t="s">
        <v>30</v>
      </c>
      <c r="E203" s="4">
        <v>0.20972222222222223</v>
      </c>
      <c r="F203" s="1" t="s">
        <v>236</v>
      </c>
      <c r="G203" s="1" t="s">
        <v>28</v>
      </c>
      <c r="H203" s="4">
        <v>0.4583333333333333</v>
      </c>
      <c r="I203" s="1" t="s">
        <v>402</v>
      </c>
      <c r="J203" s="1" t="s">
        <v>30</v>
      </c>
      <c r="K203" s="4">
        <v>0.7083333333333334</v>
      </c>
      <c r="L203" s="1" t="s">
        <v>355</v>
      </c>
      <c r="M203" s="1" t="s">
        <v>28</v>
      </c>
      <c r="N203" s="4">
        <v>0.9743055555555555</v>
      </c>
      <c r="O203" s="1" t="s">
        <v>135</v>
      </c>
      <c r="P203" s="1">
        <f t="shared" si="1"/>
        <v>62</v>
      </c>
      <c r="Q203" s="1">
        <f t="shared" si="2"/>
        <v>69</v>
      </c>
      <c r="R203" s="5">
        <f t="shared" si="3"/>
        <v>69</v>
      </c>
      <c r="S203" s="5" t="s">
        <v>39</v>
      </c>
    </row>
    <row r="204">
      <c r="A204" s="1" t="s">
        <v>485</v>
      </c>
      <c r="B204" s="2">
        <v>22.0</v>
      </c>
      <c r="C204" s="1" t="s">
        <v>86</v>
      </c>
      <c r="D204" s="1" t="s">
        <v>30</v>
      </c>
      <c r="E204" s="4">
        <v>0.2590277777777778</v>
      </c>
      <c r="F204" s="1" t="s">
        <v>291</v>
      </c>
      <c r="G204" s="1" t="s">
        <v>28</v>
      </c>
      <c r="H204" s="4">
        <v>0.5076388888888889</v>
      </c>
      <c r="I204" s="1" t="s">
        <v>173</v>
      </c>
      <c r="J204" s="1" t="s">
        <v>30</v>
      </c>
      <c r="K204" s="4">
        <v>0.7409722222222223</v>
      </c>
      <c r="L204" s="1" t="s">
        <v>329</v>
      </c>
      <c r="P204" s="1">
        <f t="shared" si="1"/>
        <v>43</v>
      </c>
      <c r="Q204" s="1">
        <f t="shared" si="2"/>
        <v>12</v>
      </c>
      <c r="R204" s="5">
        <f t="shared" si="3"/>
        <v>43</v>
      </c>
      <c r="S204" s="5" t="s">
        <v>39</v>
      </c>
    </row>
    <row r="205">
      <c r="A205" s="1" t="s">
        <v>485</v>
      </c>
      <c r="B205" s="2">
        <v>23.0</v>
      </c>
      <c r="C205" s="1" t="s">
        <v>26</v>
      </c>
      <c r="D205" s="1" t="s">
        <v>28</v>
      </c>
      <c r="E205" s="4">
        <v>0.015277777777777777</v>
      </c>
      <c r="F205" s="1" t="s">
        <v>179</v>
      </c>
      <c r="G205" s="1" t="s">
        <v>30</v>
      </c>
      <c r="H205" s="4">
        <v>0.3236111111111111</v>
      </c>
      <c r="I205" s="1" t="s">
        <v>291</v>
      </c>
      <c r="J205" s="1" t="s">
        <v>28</v>
      </c>
      <c r="K205" s="4">
        <v>0.5798611111111112</v>
      </c>
      <c r="L205" s="1" t="s">
        <v>111</v>
      </c>
      <c r="M205" s="1" t="s">
        <v>30</v>
      </c>
      <c r="N205" s="4">
        <v>0.7861111111111111</v>
      </c>
      <c r="O205" s="1" t="s">
        <v>247</v>
      </c>
      <c r="P205" s="1">
        <f t="shared" si="1"/>
        <v>67</v>
      </c>
      <c r="Q205" s="1">
        <f t="shared" si="2"/>
        <v>19</v>
      </c>
      <c r="R205" s="5">
        <f t="shared" si="3"/>
        <v>67</v>
      </c>
      <c r="S205" s="5" t="s">
        <v>39</v>
      </c>
    </row>
    <row r="206">
      <c r="A206" s="1" t="s">
        <v>485</v>
      </c>
      <c r="B206" s="2">
        <v>24.0</v>
      </c>
      <c r="C206" s="1" t="s">
        <v>34</v>
      </c>
      <c r="D206" s="1" t="s">
        <v>28</v>
      </c>
      <c r="E206" s="4">
        <v>0.06527777777777778</v>
      </c>
      <c r="F206" s="1" t="s">
        <v>179</v>
      </c>
      <c r="G206" s="1" t="s">
        <v>30</v>
      </c>
      <c r="H206" s="4">
        <v>0.38472222222222224</v>
      </c>
      <c r="I206" s="1" t="s">
        <v>327</v>
      </c>
      <c r="J206" s="1" t="s">
        <v>28</v>
      </c>
      <c r="K206" s="4">
        <v>0.6486111111111111</v>
      </c>
      <c r="L206" s="1" t="s">
        <v>77</v>
      </c>
      <c r="M206" s="1" t="s">
        <v>30</v>
      </c>
      <c r="N206" s="4">
        <v>0.8395833333333333</v>
      </c>
      <c r="O206" s="1" t="s">
        <v>278</v>
      </c>
      <c r="P206" s="1">
        <f t="shared" si="1"/>
        <v>73</v>
      </c>
      <c r="Q206" s="1">
        <f t="shared" si="2"/>
        <v>20</v>
      </c>
      <c r="R206" s="5">
        <f t="shared" si="3"/>
        <v>73</v>
      </c>
      <c r="S206" s="5" t="s">
        <v>39</v>
      </c>
    </row>
    <row r="207">
      <c r="A207" s="1" t="s">
        <v>485</v>
      </c>
      <c r="B207" s="2">
        <v>25.0</v>
      </c>
      <c r="C207" s="1" t="s">
        <v>41</v>
      </c>
      <c r="D207" s="1" t="s">
        <v>28</v>
      </c>
      <c r="E207" s="4">
        <v>0.11597222222222223</v>
      </c>
      <c r="F207" s="1" t="s">
        <v>89</v>
      </c>
      <c r="G207" s="1" t="s">
        <v>30</v>
      </c>
      <c r="H207" s="4">
        <v>0.4263888888888889</v>
      </c>
      <c r="I207" s="1" t="s">
        <v>122</v>
      </c>
      <c r="J207" s="1" t="s">
        <v>28</v>
      </c>
      <c r="K207" s="4">
        <v>0.6902777777777778</v>
      </c>
      <c r="L207" s="1" t="s">
        <v>123</v>
      </c>
      <c r="M207" s="1" t="s">
        <v>30</v>
      </c>
      <c r="N207" s="4">
        <v>0.8888888888888888</v>
      </c>
      <c r="O207" s="1" t="s">
        <v>398</v>
      </c>
      <c r="P207" s="1">
        <f t="shared" si="1"/>
        <v>86</v>
      </c>
      <c r="Q207" s="1">
        <f t="shared" si="2"/>
        <v>29</v>
      </c>
      <c r="R207" s="5">
        <f t="shared" si="3"/>
        <v>86</v>
      </c>
      <c r="S207" s="5" t="s">
        <v>39</v>
      </c>
    </row>
    <row r="208">
      <c r="A208" s="1" t="s">
        <v>485</v>
      </c>
      <c r="B208" s="2">
        <v>26.0</v>
      </c>
      <c r="C208" s="1" t="s">
        <v>55</v>
      </c>
      <c r="D208" s="1" t="s">
        <v>28</v>
      </c>
      <c r="E208" s="4">
        <v>0.15694444444444444</v>
      </c>
      <c r="F208" s="1" t="s">
        <v>388</v>
      </c>
      <c r="G208" s="1" t="s">
        <v>30</v>
      </c>
      <c r="H208" s="4">
        <v>0.45694444444444443</v>
      </c>
      <c r="I208" s="1" t="s">
        <v>115</v>
      </c>
      <c r="J208" s="1" t="s">
        <v>28</v>
      </c>
      <c r="K208" s="4">
        <v>0.71875</v>
      </c>
      <c r="L208" s="1" t="s">
        <v>214</v>
      </c>
      <c r="M208" s="1" t="s">
        <v>30</v>
      </c>
      <c r="N208" s="4">
        <v>0.9263888888888889</v>
      </c>
      <c r="O208" s="1" t="s">
        <v>329</v>
      </c>
      <c r="P208" s="1">
        <f t="shared" si="1"/>
        <v>101</v>
      </c>
      <c r="Q208" s="1">
        <f t="shared" si="2"/>
        <v>41</v>
      </c>
      <c r="R208" s="5">
        <f t="shared" si="3"/>
        <v>101</v>
      </c>
      <c r="S208" s="5" t="s">
        <v>90</v>
      </c>
    </row>
    <row r="209">
      <c r="A209" s="1" t="s">
        <v>485</v>
      </c>
      <c r="B209" s="2">
        <v>27.0</v>
      </c>
      <c r="C209" s="1" t="s">
        <v>25</v>
      </c>
      <c r="D209" s="1" t="s">
        <v>28</v>
      </c>
      <c r="E209" s="4">
        <v>0.18958333333333333</v>
      </c>
      <c r="F209" s="1" t="s">
        <v>38</v>
      </c>
      <c r="G209" s="1" t="s">
        <v>30</v>
      </c>
      <c r="H209" s="4">
        <v>0.48194444444444445</v>
      </c>
      <c r="I209" s="1" t="s">
        <v>257</v>
      </c>
      <c r="J209" s="1" t="s">
        <v>28</v>
      </c>
      <c r="K209" s="4">
        <v>0.7416666666666667</v>
      </c>
      <c r="L209" s="1" t="s">
        <v>402</v>
      </c>
      <c r="M209" s="1" t="s">
        <v>30</v>
      </c>
      <c r="N209" s="4">
        <v>0.95625</v>
      </c>
      <c r="O209" s="1" t="s">
        <v>481</v>
      </c>
      <c r="P209" s="1">
        <f t="shared" si="1"/>
        <v>118</v>
      </c>
      <c r="Q209" s="1">
        <f t="shared" si="2"/>
        <v>54</v>
      </c>
      <c r="R209" s="5">
        <f t="shared" si="3"/>
        <v>118</v>
      </c>
      <c r="S209" s="5" t="s">
        <v>90</v>
      </c>
    </row>
    <row r="210">
      <c r="A210" s="1" t="s">
        <v>485</v>
      </c>
      <c r="B210" s="2">
        <v>28.0</v>
      </c>
      <c r="C210" s="1" t="s">
        <v>75</v>
      </c>
      <c r="D210" s="1" t="s">
        <v>28</v>
      </c>
      <c r="E210" s="4">
        <v>0.21666666666666667</v>
      </c>
      <c r="F210" s="1" t="s">
        <v>205</v>
      </c>
      <c r="G210" s="1" t="s">
        <v>30</v>
      </c>
      <c r="H210" s="4">
        <v>0.5048611111111111</v>
      </c>
      <c r="I210" s="1" t="s">
        <v>99</v>
      </c>
      <c r="J210" s="1" t="s">
        <v>28</v>
      </c>
      <c r="K210" s="4">
        <v>0.7625</v>
      </c>
      <c r="L210" s="1" t="s">
        <v>292</v>
      </c>
      <c r="M210" s="1" t="s">
        <v>30</v>
      </c>
      <c r="N210" s="4">
        <v>0.9826388888888888</v>
      </c>
      <c r="O210" s="1" t="s">
        <v>334</v>
      </c>
      <c r="P210" s="1">
        <f t="shared" si="1"/>
        <v>131</v>
      </c>
      <c r="Q210" s="1">
        <f t="shared" si="2"/>
        <v>66</v>
      </c>
      <c r="R210" s="5">
        <f t="shared" si="3"/>
        <v>131</v>
      </c>
      <c r="S210" s="5" t="s">
        <v>47</v>
      </c>
    </row>
    <row r="211">
      <c r="A211" s="1" t="s">
        <v>485</v>
      </c>
      <c r="B211" s="2">
        <v>29.0</v>
      </c>
      <c r="C211" s="1" t="s">
        <v>86</v>
      </c>
      <c r="D211" s="1" t="s">
        <v>28</v>
      </c>
      <c r="E211" s="4">
        <v>0.24166666666666667</v>
      </c>
      <c r="F211" s="1" t="s">
        <v>419</v>
      </c>
      <c r="G211" s="1" t="s">
        <v>30</v>
      </c>
      <c r="H211" s="4">
        <v>0.5256944444444445</v>
      </c>
      <c r="I211" s="1" t="s">
        <v>110</v>
      </c>
      <c r="J211" s="1" t="s">
        <v>28</v>
      </c>
      <c r="K211" s="4">
        <v>0.7819444444444444</v>
      </c>
      <c r="L211" s="1" t="s">
        <v>335</v>
      </c>
      <c r="P211" s="1">
        <f t="shared" si="1"/>
        <v>141</v>
      </c>
      <c r="Q211" s="1">
        <f t="shared" si="2"/>
        <v>46</v>
      </c>
      <c r="R211" s="5">
        <f t="shared" si="3"/>
        <v>141</v>
      </c>
      <c r="S211" s="5" t="s">
        <v>47</v>
      </c>
    </row>
    <row r="212">
      <c r="A212" s="1" t="s">
        <v>485</v>
      </c>
      <c r="B212" s="2">
        <v>30.0</v>
      </c>
      <c r="C212" s="1" t="s">
        <v>26</v>
      </c>
      <c r="D212" s="1" t="s">
        <v>30</v>
      </c>
      <c r="E212" s="4">
        <v>0.007638888888888889</v>
      </c>
      <c r="F212" s="1" t="s">
        <v>295</v>
      </c>
      <c r="G212" s="1" t="s">
        <v>28</v>
      </c>
      <c r="H212" s="4">
        <v>0.2652777777777778</v>
      </c>
      <c r="I212" s="1" t="s">
        <v>414</v>
      </c>
      <c r="J212" s="1" t="s">
        <v>30</v>
      </c>
      <c r="K212" s="4">
        <v>0.5458333333333333</v>
      </c>
      <c r="L212" s="1" t="s">
        <v>58</v>
      </c>
      <c r="M212" s="1" t="s">
        <v>28</v>
      </c>
      <c r="N212" s="4">
        <v>0.8006944444444445</v>
      </c>
      <c r="O212" s="1" t="s">
        <v>307</v>
      </c>
      <c r="P212" s="1">
        <f t="shared" si="1"/>
        <v>117</v>
      </c>
      <c r="Q212" s="1">
        <f t="shared" si="2"/>
        <v>114</v>
      </c>
      <c r="R212" s="5">
        <f t="shared" si="3"/>
        <v>117</v>
      </c>
      <c r="S212" s="5" t="s">
        <v>90</v>
      </c>
    </row>
    <row r="213">
      <c r="A213" s="1" t="s">
        <v>485</v>
      </c>
      <c r="B213" s="2">
        <v>31.0</v>
      </c>
      <c r="C213" s="1" t="s">
        <v>34</v>
      </c>
      <c r="D213" s="1" t="s">
        <v>30</v>
      </c>
      <c r="E213" s="4">
        <v>0.03263888888888889</v>
      </c>
      <c r="F213" s="1" t="s">
        <v>122</v>
      </c>
      <c r="G213" s="1" t="s">
        <v>28</v>
      </c>
      <c r="H213" s="4">
        <v>0.2881944444444444</v>
      </c>
      <c r="I213" s="1" t="s">
        <v>417</v>
      </c>
      <c r="J213" s="1" t="s">
        <v>30</v>
      </c>
      <c r="K213" s="4">
        <v>0.5659722222222222</v>
      </c>
      <c r="L213" s="1" t="s">
        <v>88</v>
      </c>
      <c r="M213" s="1" t="s">
        <v>28</v>
      </c>
      <c r="N213" s="4">
        <v>0.8201388888888889</v>
      </c>
      <c r="O213" s="1" t="s">
        <v>147</v>
      </c>
      <c r="P213" s="1">
        <f t="shared" si="1"/>
        <v>124</v>
      </c>
      <c r="Q213" s="1">
        <f t="shared" si="2"/>
        <v>117</v>
      </c>
      <c r="R213" s="5">
        <f t="shared" si="3"/>
        <v>124</v>
      </c>
      <c r="S213" s="5" t="s">
        <v>47</v>
      </c>
    </row>
    <row r="214">
      <c r="A214" s="1" t="s">
        <v>490</v>
      </c>
      <c r="B214" s="2">
        <v>1.0</v>
      </c>
      <c r="C214" s="1" t="s">
        <v>41</v>
      </c>
      <c r="D214" s="1" t="s">
        <v>30</v>
      </c>
      <c r="E214" s="4">
        <v>0.05763888888888889</v>
      </c>
      <c r="F214" s="1" t="s">
        <v>446</v>
      </c>
      <c r="G214" s="1" t="s">
        <v>28</v>
      </c>
      <c r="H214" s="4">
        <v>0.3111111111111111</v>
      </c>
      <c r="I214" s="1" t="s">
        <v>484</v>
      </c>
      <c r="J214" s="1" t="s">
        <v>30</v>
      </c>
      <c r="K214" s="4">
        <v>0.5854166666666667</v>
      </c>
      <c r="L214" s="1" t="s">
        <v>45</v>
      </c>
      <c r="M214" s="1" t="s">
        <v>28</v>
      </c>
      <c r="N214" s="4">
        <v>0.8388888888888889</v>
      </c>
      <c r="O214" s="1" t="s">
        <v>337</v>
      </c>
      <c r="P214" s="1">
        <f t="shared" si="1"/>
        <v>127</v>
      </c>
      <c r="Q214" s="1">
        <f t="shared" si="2"/>
        <v>118</v>
      </c>
      <c r="R214" s="5">
        <f t="shared" si="3"/>
        <v>127</v>
      </c>
      <c r="S214" s="5" t="s">
        <v>47</v>
      </c>
    </row>
    <row r="215">
      <c r="A215" s="1" t="s">
        <v>490</v>
      </c>
      <c r="B215" s="2">
        <v>2.0</v>
      </c>
      <c r="C215" s="1" t="s">
        <v>55</v>
      </c>
      <c r="D215" s="1" t="s">
        <v>30</v>
      </c>
      <c r="E215" s="4">
        <v>0.08333333333333333</v>
      </c>
      <c r="F215" s="1" t="s">
        <v>224</v>
      </c>
      <c r="G215" s="1" t="s">
        <v>28</v>
      </c>
      <c r="H215" s="4">
        <v>0.33541666666666664</v>
      </c>
      <c r="I215" s="1" t="s">
        <v>488</v>
      </c>
      <c r="J215" s="1" t="s">
        <v>30</v>
      </c>
      <c r="K215" s="4">
        <v>0.6048611111111111</v>
      </c>
      <c r="L215" s="1" t="s">
        <v>469</v>
      </c>
      <c r="M215" s="1" t="s">
        <v>28</v>
      </c>
      <c r="N215" s="4">
        <v>0.8597222222222223</v>
      </c>
      <c r="O215" s="1" t="s">
        <v>158</v>
      </c>
      <c r="P215" s="1">
        <f t="shared" si="1"/>
        <v>125</v>
      </c>
      <c r="Q215" s="1">
        <f t="shared" si="2"/>
        <v>115</v>
      </c>
      <c r="R215" s="5">
        <f t="shared" si="3"/>
        <v>125</v>
      </c>
      <c r="S215" s="5" t="s">
        <v>47</v>
      </c>
    </row>
    <row r="216">
      <c r="A216" s="1" t="s">
        <v>490</v>
      </c>
      <c r="B216" s="2">
        <v>3.0</v>
      </c>
      <c r="C216" s="1" t="s">
        <v>25</v>
      </c>
      <c r="D216" s="1" t="s">
        <v>30</v>
      </c>
      <c r="E216" s="4">
        <v>0.11041666666666666</v>
      </c>
      <c r="F216" s="1" t="s">
        <v>224</v>
      </c>
      <c r="G216" s="1" t="s">
        <v>28</v>
      </c>
      <c r="H216" s="4">
        <v>0.3611111111111111</v>
      </c>
      <c r="I216" s="1" t="s">
        <v>205</v>
      </c>
      <c r="J216" s="1" t="s">
        <v>30</v>
      </c>
      <c r="K216" s="4">
        <v>0.625</v>
      </c>
      <c r="L216" s="1" t="s">
        <v>112</v>
      </c>
      <c r="M216" s="1" t="s">
        <v>28</v>
      </c>
      <c r="N216" s="4">
        <v>0.8819444444444444</v>
      </c>
      <c r="O216" s="1" t="s">
        <v>78</v>
      </c>
      <c r="P216" s="1">
        <f t="shared" si="1"/>
        <v>116</v>
      </c>
      <c r="Q216" s="1">
        <f t="shared" si="2"/>
        <v>109</v>
      </c>
      <c r="R216" s="5">
        <f t="shared" si="3"/>
        <v>116</v>
      </c>
      <c r="S216" s="5" t="s">
        <v>90</v>
      </c>
    </row>
    <row r="217">
      <c r="A217" s="1" t="s">
        <v>490</v>
      </c>
      <c r="B217" s="2">
        <v>4.0</v>
      </c>
      <c r="C217" s="1" t="s">
        <v>75</v>
      </c>
      <c r="D217" s="1" t="s">
        <v>30</v>
      </c>
      <c r="E217" s="4">
        <v>0.14027777777777778</v>
      </c>
      <c r="F217" s="1" t="s">
        <v>333</v>
      </c>
      <c r="G217" s="1" t="s">
        <v>28</v>
      </c>
      <c r="H217" s="4">
        <v>0.38958333333333334</v>
      </c>
      <c r="I217" s="1" t="s">
        <v>78</v>
      </c>
      <c r="J217" s="1" t="s">
        <v>30</v>
      </c>
      <c r="K217" s="4">
        <v>0.6465277777777778</v>
      </c>
      <c r="L217" s="1" t="s">
        <v>120</v>
      </c>
      <c r="M217" s="1" t="s">
        <v>28</v>
      </c>
      <c r="N217" s="4">
        <v>0.9076388888888889</v>
      </c>
      <c r="O217" s="1" t="s">
        <v>78</v>
      </c>
      <c r="P217" s="1">
        <f t="shared" si="1"/>
        <v>104</v>
      </c>
      <c r="Q217" s="1">
        <f t="shared" si="2"/>
        <v>101</v>
      </c>
      <c r="R217" s="5">
        <f t="shared" si="3"/>
        <v>104</v>
      </c>
      <c r="S217" s="5" t="s">
        <v>90</v>
      </c>
    </row>
    <row r="218">
      <c r="A218" s="1" t="s">
        <v>490</v>
      </c>
      <c r="B218" s="2">
        <v>5.0</v>
      </c>
      <c r="C218" s="1" t="s">
        <v>86</v>
      </c>
      <c r="D218" s="1" t="s">
        <v>30</v>
      </c>
      <c r="E218" s="4">
        <v>0.175</v>
      </c>
      <c r="F218" s="1" t="s">
        <v>326</v>
      </c>
      <c r="G218" s="1" t="s">
        <v>28</v>
      </c>
      <c r="H218" s="4">
        <v>0.42291666666666666</v>
      </c>
      <c r="I218" s="1" t="s">
        <v>301</v>
      </c>
      <c r="J218" s="1" t="s">
        <v>30</v>
      </c>
      <c r="K218" s="4">
        <v>0.6715277777777777</v>
      </c>
      <c r="L218" s="1" t="s">
        <v>480</v>
      </c>
      <c r="M218" s="1" t="s">
        <v>28</v>
      </c>
      <c r="N218" s="4">
        <v>0.9375</v>
      </c>
      <c r="O218" s="1" t="s">
        <v>378</v>
      </c>
      <c r="P218" s="1">
        <f t="shared" si="1"/>
        <v>85</v>
      </c>
      <c r="Q218" s="1">
        <f t="shared" si="2"/>
        <v>89</v>
      </c>
      <c r="R218" s="5">
        <f t="shared" si="3"/>
        <v>89</v>
      </c>
      <c r="S218" s="5" t="s">
        <v>39</v>
      </c>
    </row>
    <row r="219">
      <c r="A219" s="1" t="s">
        <v>490</v>
      </c>
      <c r="B219" s="2">
        <v>6.0</v>
      </c>
      <c r="C219" s="1" t="s">
        <v>26</v>
      </c>
      <c r="D219" s="1" t="s">
        <v>30</v>
      </c>
      <c r="E219" s="4">
        <v>0.21875</v>
      </c>
      <c r="F219" s="1" t="s">
        <v>286</v>
      </c>
      <c r="G219" s="1" t="s">
        <v>28</v>
      </c>
      <c r="H219" s="4">
        <v>0.4652777777777778</v>
      </c>
      <c r="I219" s="1" t="s">
        <v>183</v>
      </c>
      <c r="J219" s="1" t="s">
        <v>30</v>
      </c>
      <c r="K219" s="4">
        <v>0.7020833333333333</v>
      </c>
      <c r="L219" s="1" t="s">
        <v>235</v>
      </c>
      <c r="M219" s="1" t="s">
        <v>28</v>
      </c>
      <c r="N219" s="4">
        <v>0.9770833333333333</v>
      </c>
      <c r="O219" s="1" t="s">
        <v>434</v>
      </c>
      <c r="P219" s="1">
        <f t="shared" si="1"/>
        <v>67</v>
      </c>
      <c r="Q219" s="1">
        <f t="shared" si="2"/>
        <v>76</v>
      </c>
      <c r="R219" s="5">
        <f t="shared" si="3"/>
        <v>76</v>
      </c>
      <c r="S219" s="5" t="s">
        <v>39</v>
      </c>
    </row>
    <row r="220">
      <c r="A220" s="1" t="s">
        <v>490</v>
      </c>
      <c r="B220" s="2">
        <v>7.0</v>
      </c>
      <c r="C220" s="1" t="s">
        <v>34</v>
      </c>
      <c r="D220" s="1" t="s">
        <v>30</v>
      </c>
      <c r="E220" s="4">
        <v>0.27847222222222223</v>
      </c>
      <c r="F220" s="1" t="s">
        <v>250</v>
      </c>
      <c r="G220" s="1" t="s">
        <v>28</v>
      </c>
      <c r="H220" s="4">
        <v>0.53125</v>
      </c>
      <c r="I220" s="1" t="s">
        <v>296</v>
      </c>
      <c r="J220" s="1" t="s">
        <v>30</v>
      </c>
      <c r="K220" s="4">
        <v>0.7465277777777778</v>
      </c>
      <c r="L220" s="1" t="s">
        <v>126</v>
      </c>
      <c r="P220" s="1">
        <f t="shared" si="1"/>
        <v>53</v>
      </c>
      <c r="Q220" s="1">
        <f t="shared" si="2"/>
        <v>8</v>
      </c>
      <c r="R220" s="5">
        <f t="shared" si="3"/>
        <v>53</v>
      </c>
      <c r="S220" s="5" t="s">
        <v>39</v>
      </c>
    </row>
    <row r="221">
      <c r="A221" s="1" t="s">
        <v>490</v>
      </c>
      <c r="B221" s="2">
        <v>8.0</v>
      </c>
      <c r="C221" s="1" t="s">
        <v>41</v>
      </c>
      <c r="D221" s="1" t="s">
        <v>28</v>
      </c>
      <c r="E221" s="4">
        <v>0.03194444444444444</v>
      </c>
      <c r="F221" s="1" t="s">
        <v>434</v>
      </c>
      <c r="G221" s="1" t="s">
        <v>30</v>
      </c>
      <c r="H221" s="4">
        <v>0.3506944444444444</v>
      </c>
      <c r="I221" s="1" t="s">
        <v>326</v>
      </c>
      <c r="J221" s="1" t="s">
        <v>28</v>
      </c>
      <c r="K221" s="4">
        <v>0.6215277777777778</v>
      </c>
      <c r="L221" s="1" t="s">
        <v>230</v>
      </c>
      <c r="M221" s="1" t="s">
        <v>30</v>
      </c>
      <c r="N221" s="4">
        <v>0.8138888888888889</v>
      </c>
      <c r="O221" s="1" t="s">
        <v>356</v>
      </c>
      <c r="P221" s="1">
        <f t="shared" si="1"/>
        <v>96</v>
      </c>
      <c r="Q221" s="1">
        <f t="shared" si="2"/>
        <v>22</v>
      </c>
      <c r="R221" s="5">
        <f t="shared" si="3"/>
        <v>96</v>
      </c>
      <c r="S221" s="5" t="s">
        <v>90</v>
      </c>
    </row>
    <row r="222">
      <c r="A222" s="1" t="s">
        <v>490</v>
      </c>
      <c r="B222" s="2">
        <v>9.0</v>
      </c>
      <c r="C222" s="1" t="s">
        <v>55</v>
      </c>
      <c r="D222" s="1" t="s">
        <v>28</v>
      </c>
      <c r="E222" s="4">
        <v>0.09652777777777778</v>
      </c>
      <c r="F222" s="1" t="s">
        <v>216</v>
      </c>
      <c r="G222" s="1" t="s">
        <v>30</v>
      </c>
      <c r="H222" s="4">
        <v>0.40902777777777777</v>
      </c>
      <c r="I222" s="1" t="s">
        <v>114</v>
      </c>
      <c r="J222" s="1" t="s">
        <v>28</v>
      </c>
      <c r="K222" s="4">
        <v>0.6777777777777778</v>
      </c>
      <c r="L222" s="1" t="s">
        <v>181</v>
      </c>
      <c r="M222" s="1" t="s">
        <v>30</v>
      </c>
      <c r="N222" s="4">
        <v>0.8798611111111111</v>
      </c>
      <c r="O222" s="1" t="s">
        <v>331</v>
      </c>
      <c r="P222" s="1">
        <f t="shared" si="1"/>
        <v>115</v>
      </c>
      <c r="Q222" s="1">
        <f t="shared" si="2"/>
        <v>35</v>
      </c>
      <c r="R222" s="5">
        <f t="shared" si="3"/>
        <v>115</v>
      </c>
      <c r="S222" s="5" t="s">
        <v>90</v>
      </c>
    </row>
    <row r="223">
      <c r="A223" s="1" t="s">
        <v>490</v>
      </c>
      <c r="B223" s="2">
        <v>10.0</v>
      </c>
      <c r="C223" s="1" t="s">
        <v>25</v>
      </c>
      <c r="D223" s="1" t="s">
        <v>28</v>
      </c>
      <c r="E223" s="4">
        <v>0.15069444444444444</v>
      </c>
      <c r="F223" s="1" t="s">
        <v>211</v>
      </c>
      <c r="G223" s="1" t="s">
        <v>30</v>
      </c>
      <c r="H223" s="4">
        <v>0.4513888888888889</v>
      </c>
      <c r="I223" s="1" t="s">
        <v>58</v>
      </c>
      <c r="J223" s="1" t="s">
        <v>28</v>
      </c>
      <c r="K223" s="4">
        <v>0.7131944444444445</v>
      </c>
      <c r="L223" s="1" t="s">
        <v>262</v>
      </c>
      <c r="M223" s="1" t="s">
        <v>30</v>
      </c>
      <c r="N223" s="4">
        <v>0.9291666666666667</v>
      </c>
      <c r="O223" s="1" t="s">
        <v>119</v>
      </c>
      <c r="P223" s="1">
        <f t="shared" si="1"/>
        <v>139</v>
      </c>
      <c r="Q223" s="1">
        <f t="shared" si="2"/>
        <v>54</v>
      </c>
      <c r="R223" s="5">
        <f t="shared" si="3"/>
        <v>139</v>
      </c>
      <c r="S223" s="5" t="s">
        <v>47</v>
      </c>
    </row>
    <row r="224">
      <c r="A224" s="1" t="s">
        <v>490</v>
      </c>
      <c r="B224" s="2">
        <v>11.0</v>
      </c>
      <c r="C224" s="1" t="s">
        <v>75</v>
      </c>
      <c r="D224" s="1" t="s">
        <v>28</v>
      </c>
      <c r="E224" s="4">
        <v>0.19305555555555556</v>
      </c>
      <c r="F224" s="1" t="s">
        <v>455</v>
      </c>
      <c r="G224" s="1" t="s">
        <v>30</v>
      </c>
      <c r="H224" s="4">
        <v>0.48541666666666666</v>
      </c>
      <c r="I224" s="1" t="s">
        <v>108</v>
      </c>
      <c r="J224" s="1" t="s">
        <v>28</v>
      </c>
      <c r="K224" s="4">
        <v>0.7416666666666667</v>
      </c>
      <c r="L224" s="1" t="s">
        <v>89</v>
      </c>
      <c r="M224" s="1" t="s">
        <v>30</v>
      </c>
      <c r="N224" s="4">
        <v>0.9666666666666667</v>
      </c>
      <c r="O224" s="1" t="s">
        <v>327</v>
      </c>
      <c r="P224" s="1">
        <f t="shared" si="1"/>
        <v>162</v>
      </c>
      <c r="Q224" s="1">
        <f t="shared" si="2"/>
        <v>77</v>
      </c>
      <c r="R224" s="5">
        <f t="shared" si="3"/>
        <v>162</v>
      </c>
      <c r="S224" s="5" t="s">
        <v>47</v>
      </c>
    </row>
    <row r="225">
      <c r="A225" s="1" t="s">
        <v>490</v>
      </c>
      <c r="B225" s="2">
        <v>12.0</v>
      </c>
      <c r="C225" s="1" t="s">
        <v>86</v>
      </c>
      <c r="D225" s="1" t="s">
        <v>28</v>
      </c>
      <c r="E225" s="4">
        <v>0.22777777777777777</v>
      </c>
      <c r="F225" s="1" t="s">
        <v>489</v>
      </c>
      <c r="G225" s="1" t="s">
        <v>30</v>
      </c>
      <c r="H225" s="4">
        <v>0.5145833333333333</v>
      </c>
      <c r="I225" s="1" t="s">
        <v>219</v>
      </c>
      <c r="J225" s="1" t="s">
        <v>28</v>
      </c>
      <c r="K225" s="4">
        <v>0.7666666666666667</v>
      </c>
      <c r="L225" s="1" t="s">
        <v>434</v>
      </c>
      <c r="P225" s="1">
        <f t="shared" si="1"/>
        <v>178</v>
      </c>
      <c r="Q225" s="1">
        <f t="shared" si="2"/>
        <v>58</v>
      </c>
      <c r="R225" s="5">
        <f t="shared" si="3"/>
        <v>178</v>
      </c>
      <c r="S225" s="5" t="s">
        <v>47</v>
      </c>
    </row>
    <row r="226">
      <c r="A226" s="1" t="s">
        <v>490</v>
      </c>
      <c r="B226" s="2">
        <v>13.0</v>
      </c>
      <c r="C226" s="1" t="s">
        <v>26</v>
      </c>
      <c r="D226" s="1" t="s">
        <v>30</v>
      </c>
      <c r="E226" s="4">
        <v>0.0</v>
      </c>
      <c r="F226" s="1" t="s">
        <v>120</v>
      </c>
      <c r="G226" s="1" t="s">
        <v>28</v>
      </c>
      <c r="H226" s="4">
        <v>0.25972222222222224</v>
      </c>
      <c r="I226" s="1" t="s">
        <v>491</v>
      </c>
      <c r="J226" s="1" t="s">
        <v>30</v>
      </c>
      <c r="K226" s="4">
        <v>0.5409722222222222</v>
      </c>
      <c r="L226" s="1" t="s">
        <v>252</v>
      </c>
      <c r="M226" s="1" t="s">
        <v>28</v>
      </c>
      <c r="N226" s="4">
        <v>0.7902777777777777</v>
      </c>
      <c r="O226" s="1" t="s">
        <v>38</v>
      </c>
      <c r="P226" s="1">
        <f t="shared" si="1"/>
        <v>145</v>
      </c>
      <c r="Q226" s="1">
        <f t="shared" si="2"/>
        <v>140</v>
      </c>
      <c r="R226" s="5">
        <f t="shared" si="3"/>
        <v>145</v>
      </c>
      <c r="S226" s="5" t="s">
        <v>47</v>
      </c>
    </row>
    <row r="227">
      <c r="A227" s="1" t="s">
        <v>490</v>
      </c>
      <c r="B227" s="2">
        <v>14.0</v>
      </c>
      <c r="C227" s="1" t="s">
        <v>34</v>
      </c>
      <c r="D227" s="1" t="s">
        <v>30</v>
      </c>
      <c r="E227" s="4">
        <v>0.030555555555555555</v>
      </c>
      <c r="F227" s="1" t="s">
        <v>112</v>
      </c>
      <c r="G227" s="1" t="s">
        <v>28</v>
      </c>
      <c r="H227" s="4">
        <v>0.28888888888888886</v>
      </c>
      <c r="I227" s="1" t="s">
        <v>486</v>
      </c>
      <c r="J227" s="1" t="s">
        <v>30</v>
      </c>
      <c r="K227" s="4">
        <v>0.5645833333333333</v>
      </c>
      <c r="L227" s="1" t="s">
        <v>124</v>
      </c>
      <c r="M227" s="1" t="s">
        <v>28</v>
      </c>
      <c r="N227" s="4">
        <v>0.8131944444444444</v>
      </c>
      <c r="O227" s="1" t="s">
        <v>338</v>
      </c>
      <c r="P227" s="1">
        <f t="shared" si="1"/>
        <v>150</v>
      </c>
      <c r="Q227" s="1">
        <f t="shared" si="2"/>
        <v>138</v>
      </c>
      <c r="R227" s="5">
        <f t="shared" si="3"/>
        <v>150</v>
      </c>
      <c r="S227" s="5" t="s">
        <v>47</v>
      </c>
    </row>
    <row r="228">
      <c r="A228" s="1" t="s">
        <v>490</v>
      </c>
      <c r="B228" s="2">
        <v>15.0</v>
      </c>
      <c r="C228" s="1" t="s">
        <v>41</v>
      </c>
      <c r="D228" s="1" t="s">
        <v>30</v>
      </c>
      <c r="E228" s="4">
        <v>0.059027777777777776</v>
      </c>
      <c r="F228" s="1" t="s">
        <v>134</v>
      </c>
      <c r="G228" s="1" t="s">
        <v>28</v>
      </c>
      <c r="H228" s="4">
        <v>0.3159722222222222</v>
      </c>
      <c r="I228" s="1" t="s">
        <v>492</v>
      </c>
      <c r="J228" s="1" t="s">
        <v>30</v>
      </c>
      <c r="K228" s="4">
        <v>0.5854166666666667</v>
      </c>
      <c r="L228" s="1" t="s">
        <v>45</v>
      </c>
      <c r="M228" s="1" t="s">
        <v>28</v>
      </c>
      <c r="N228" s="4">
        <v>0.8347222222222223</v>
      </c>
      <c r="O228" s="1" t="s">
        <v>67</v>
      </c>
      <c r="P228" s="1">
        <f t="shared" si="1"/>
        <v>145</v>
      </c>
      <c r="Q228" s="1">
        <f t="shared" si="2"/>
        <v>130</v>
      </c>
      <c r="R228" s="5">
        <f t="shared" si="3"/>
        <v>145</v>
      </c>
      <c r="S228" s="5" t="s">
        <v>47</v>
      </c>
    </row>
    <row r="229">
      <c r="A229" s="1" t="s">
        <v>490</v>
      </c>
      <c r="B229" s="2">
        <v>16.0</v>
      </c>
      <c r="C229" s="1" t="s">
        <v>55</v>
      </c>
      <c r="D229" s="1" t="s">
        <v>30</v>
      </c>
      <c r="E229" s="4">
        <v>0.0875</v>
      </c>
      <c r="F229" s="1" t="s">
        <v>118</v>
      </c>
      <c r="G229" s="1" t="s">
        <v>28</v>
      </c>
      <c r="H229" s="4">
        <v>0.3423611111111111</v>
      </c>
      <c r="I229" s="1" t="s">
        <v>493</v>
      </c>
      <c r="J229" s="1" t="s">
        <v>30</v>
      </c>
      <c r="K229" s="4">
        <v>0.6048611111111111</v>
      </c>
      <c r="L229" s="1" t="s">
        <v>200</v>
      </c>
      <c r="M229" s="1" t="s">
        <v>28</v>
      </c>
      <c r="N229" s="4">
        <v>0.8555555555555555</v>
      </c>
      <c r="O229" s="1" t="s">
        <v>412</v>
      </c>
      <c r="P229" s="1">
        <f t="shared" si="1"/>
        <v>130</v>
      </c>
      <c r="Q229" s="1">
        <f t="shared" si="2"/>
        <v>118</v>
      </c>
      <c r="R229" s="5">
        <f t="shared" si="3"/>
        <v>130</v>
      </c>
      <c r="S229" s="5" t="s">
        <v>47</v>
      </c>
    </row>
    <row r="230">
      <c r="A230" s="1" t="s">
        <v>490</v>
      </c>
      <c r="B230" s="2">
        <v>17.0</v>
      </c>
      <c r="C230" s="1" t="s">
        <v>25</v>
      </c>
      <c r="D230" s="1" t="s">
        <v>30</v>
      </c>
      <c r="E230" s="4">
        <v>0.11527777777777778</v>
      </c>
      <c r="F230" s="1" t="s">
        <v>117</v>
      </c>
      <c r="G230" s="1" t="s">
        <v>28</v>
      </c>
      <c r="H230" s="4">
        <v>0.3680555555555556</v>
      </c>
      <c r="I230" s="1" t="s">
        <v>38</v>
      </c>
      <c r="J230" s="1" t="s">
        <v>30</v>
      </c>
      <c r="K230" s="4">
        <v>0.6222222222222222</v>
      </c>
      <c r="L230" s="1" t="s">
        <v>191</v>
      </c>
      <c r="M230" s="1" t="s">
        <v>28</v>
      </c>
      <c r="N230" s="4">
        <v>0.8770833333333333</v>
      </c>
      <c r="O230" s="1" t="s">
        <v>297</v>
      </c>
      <c r="P230" s="1">
        <f t="shared" si="1"/>
        <v>109</v>
      </c>
      <c r="Q230" s="1">
        <f t="shared" si="2"/>
        <v>103</v>
      </c>
      <c r="R230" s="5">
        <f t="shared" si="3"/>
        <v>109</v>
      </c>
      <c r="S230" s="5" t="s">
        <v>90</v>
      </c>
    </row>
    <row r="231">
      <c r="A231" s="1" t="s">
        <v>490</v>
      </c>
      <c r="B231" s="2">
        <v>18.0</v>
      </c>
      <c r="C231" s="1" t="s">
        <v>75</v>
      </c>
      <c r="D231" s="1" t="s">
        <v>30</v>
      </c>
      <c r="E231" s="4">
        <v>0.14444444444444443</v>
      </c>
      <c r="F231" s="1" t="s">
        <v>122</v>
      </c>
      <c r="G231" s="1" t="s">
        <v>28</v>
      </c>
      <c r="H231" s="4">
        <v>0.39375</v>
      </c>
      <c r="I231" s="1" t="s">
        <v>135</v>
      </c>
      <c r="J231" s="1" t="s">
        <v>30</v>
      </c>
      <c r="K231" s="4">
        <v>0.6402777777777777</v>
      </c>
      <c r="L231" s="1" t="s">
        <v>334</v>
      </c>
      <c r="M231" s="1" t="s">
        <v>28</v>
      </c>
      <c r="N231" s="4">
        <v>0.9</v>
      </c>
      <c r="O231" s="1" t="s">
        <v>78</v>
      </c>
      <c r="P231" s="1">
        <f t="shared" si="1"/>
        <v>85</v>
      </c>
      <c r="Q231" s="1">
        <f t="shared" si="2"/>
        <v>87</v>
      </c>
      <c r="R231" s="5">
        <f t="shared" si="3"/>
        <v>87</v>
      </c>
      <c r="S231" s="5" t="s">
        <v>39</v>
      </c>
    </row>
    <row r="232">
      <c r="A232" s="1" t="s">
        <v>490</v>
      </c>
      <c r="B232" s="2">
        <v>19.0</v>
      </c>
      <c r="C232" s="1" t="s">
        <v>86</v>
      </c>
      <c r="D232" s="1" t="s">
        <v>30</v>
      </c>
      <c r="E232" s="4">
        <v>0.17708333333333334</v>
      </c>
      <c r="F232" s="1" t="s">
        <v>327</v>
      </c>
      <c r="G232" s="1" t="s">
        <v>28</v>
      </c>
      <c r="H232" s="4">
        <v>0.4236111111111111</v>
      </c>
      <c r="I232" s="1" t="s">
        <v>183</v>
      </c>
      <c r="J232" s="1" t="s">
        <v>30</v>
      </c>
      <c r="K232" s="4">
        <v>0.6590277777777778</v>
      </c>
      <c r="L232" s="1" t="s">
        <v>427</v>
      </c>
      <c r="M232" s="1" t="s">
        <v>28</v>
      </c>
      <c r="N232" s="4">
        <v>0.9270833333333334</v>
      </c>
      <c r="O232" s="1" t="s">
        <v>147</v>
      </c>
      <c r="P232" s="1">
        <f t="shared" si="1"/>
        <v>60</v>
      </c>
      <c r="Q232" s="1">
        <f t="shared" si="2"/>
        <v>70</v>
      </c>
      <c r="R232" s="5">
        <f t="shared" si="3"/>
        <v>70</v>
      </c>
      <c r="S232" s="5" t="s">
        <v>39</v>
      </c>
    </row>
    <row r="233">
      <c r="A233" s="1" t="s">
        <v>490</v>
      </c>
      <c r="B233" s="2">
        <v>20.0</v>
      </c>
      <c r="C233" s="1" t="s">
        <v>26</v>
      </c>
      <c r="D233" s="1" t="s">
        <v>30</v>
      </c>
      <c r="E233" s="4">
        <v>0.22083333333333333</v>
      </c>
      <c r="F233" s="1" t="s">
        <v>481</v>
      </c>
      <c r="G233" s="1" t="s">
        <v>28</v>
      </c>
      <c r="H233" s="4">
        <v>0.46805555555555556</v>
      </c>
      <c r="I233" s="1" t="s">
        <v>109</v>
      </c>
      <c r="J233" s="1" t="s">
        <v>30</v>
      </c>
      <c r="K233" s="4">
        <v>0.6840277777777778</v>
      </c>
      <c r="L233" s="1" t="s">
        <v>398</v>
      </c>
      <c r="M233" s="1" t="s">
        <v>28</v>
      </c>
      <c r="N233" s="4">
        <v>0.9645833333333333</v>
      </c>
      <c r="O233" s="1" t="s">
        <v>135</v>
      </c>
      <c r="P233" s="1">
        <f t="shared" si="1"/>
        <v>36</v>
      </c>
      <c r="Q233" s="1">
        <f t="shared" si="2"/>
        <v>54</v>
      </c>
      <c r="R233" s="5">
        <f t="shared" si="3"/>
        <v>54</v>
      </c>
      <c r="S233" s="5" t="s">
        <v>39</v>
      </c>
    </row>
    <row r="234">
      <c r="A234" s="1" t="s">
        <v>490</v>
      </c>
      <c r="B234" s="2">
        <v>21.0</v>
      </c>
      <c r="C234" s="1" t="s">
        <v>34</v>
      </c>
      <c r="D234" s="1" t="s">
        <v>30</v>
      </c>
      <c r="E234" s="4">
        <v>0.29097222222222224</v>
      </c>
      <c r="F234" s="1" t="s">
        <v>427</v>
      </c>
      <c r="G234" s="1" t="s">
        <v>28</v>
      </c>
      <c r="H234" s="4">
        <v>0.5631944444444444</v>
      </c>
      <c r="I234" s="1" t="s">
        <v>323</v>
      </c>
      <c r="J234" s="1" t="s">
        <v>30</v>
      </c>
      <c r="K234" s="4">
        <v>0.7333333333333333</v>
      </c>
      <c r="L234" s="1" t="s">
        <v>29</v>
      </c>
      <c r="P234" s="1">
        <f t="shared" si="1"/>
        <v>26</v>
      </c>
      <c r="Q234" s="1">
        <f t="shared" si="2"/>
        <v>3</v>
      </c>
      <c r="R234" s="5">
        <f t="shared" si="3"/>
        <v>26</v>
      </c>
      <c r="S234" s="5" t="s">
        <v>39</v>
      </c>
    </row>
    <row r="235">
      <c r="A235" s="1" t="s">
        <v>490</v>
      </c>
      <c r="B235" s="2">
        <v>22.0</v>
      </c>
      <c r="C235" s="1" t="s">
        <v>41</v>
      </c>
      <c r="D235" s="1" t="s">
        <v>28</v>
      </c>
      <c r="E235" s="4">
        <v>0.025694444444444443</v>
      </c>
      <c r="F235" s="1" t="s">
        <v>360</v>
      </c>
      <c r="G235" s="1" t="s">
        <v>30</v>
      </c>
      <c r="H235" s="4">
        <v>0.3736111111111111</v>
      </c>
      <c r="I235" s="1" t="s">
        <v>494</v>
      </c>
      <c r="J235" s="1" t="s">
        <v>28</v>
      </c>
      <c r="K235" s="4">
        <v>0.65</v>
      </c>
      <c r="L235" s="1" t="s">
        <v>77</v>
      </c>
      <c r="M235" s="1" t="s">
        <v>30</v>
      </c>
      <c r="N235" s="4">
        <v>0.8118055555555556</v>
      </c>
      <c r="O235" s="1" t="s">
        <v>222</v>
      </c>
      <c r="P235" s="1">
        <f t="shared" si="1"/>
        <v>64</v>
      </c>
      <c r="Q235" s="1">
        <f t="shared" si="2"/>
        <v>10</v>
      </c>
      <c r="R235" s="5">
        <f t="shared" si="3"/>
        <v>64</v>
      </c>
      <c r="S235" s="5" t="s">
        <v>39</v>
      </c>
    </row>
    <row r="236">
      <c r="A236" s="1" t="s">
        <v>490</v>
      </c>
      <c r="B236" s="2">
        <v>23.0</v>
      </c>
      <c r="C236" s="1" t="s">
        <v>55</v>
      </c>
      <c r="D236" s="1" t="s">
        <v>28</v>
      </c>
      <c r="E236" s="4">
        <v>0.09652777777777778</v>
      </c>
      <c r="F236" s="1" t="s">
        <v>301</v>
      </c>
      <c r="G236" s="1" t="s">
        <v>30</v>
      </c>
      <c r="H236" s="4">
        <v>0.41805555555555557</v>
      </c>
      <c r="I236" s="1" t="s">
        <v>480</v>
      </c>
      <c r="J236" s="1" t="s">
        <v>28</v>
      </c>
      <c r="K236" s="4">
        <v>0.6840277777777778</v>
      </c>
      <c r="L236" s="1" t="s">
        <v>471</v>
      </c>
      <c r="M236" s="1" t="s">
        <v>30</v>
      </c>
      <c r="N236" s="4">
        <v>0.8770833333333333</v>
      </c>
      <c r="O236" s="1" t="s">
        <v>113</v>
      </c>
      <c r="P236" s="1">
        <f t="shared" si="1"/>
        <v>76</v>
      </c>
      <c r="Q236" s="1">
        <f t="shared" si="2"/>
        <v>23</v>
      </c>
      <c r="R236" s="5">
        <f t="shared" si="3"/>
        <v>76</v>
      </c>
      <c r="S236" s="5" t="s">
        <v>39</v>
      </c>
    </row>
    <row r="237">
      <c r="A237" s="1" t="s">
        <v>490</v>
      </c>
      <c r="B237" s="2">
        <v>24.0</v>
      </c>
      <c r="C237" s="1" t="s">
        <v>25</v>
      </c>
      <c r="D237" s="1" t="s">
        <v>28</v>
      </c>
      <c r="E237" s="4">
        <v>0.14444444444444443</v>
      </c>
      <c r="F237" s="1" t="s">
        <v>388</v>
      </c>
      <c r="G237" s="1" t="s">
        <v>30</v>
      </c>
      <c r="H237" s="4">
        <v>0.4465277777777778</v>
      </c>
      <c r="I237" s="1" t="s">
        <v>326</v>
      </c>
      <c r="J237" s="1" t="s">
        <v>28</v>
      </c>
      <c r="K237" s="4">
        <v>0.7055555555555556</v>
      </c>
      <c r="L237" s="1" t="s">
        <v>218</v>
      </c>
      <c r="M237" s="1" t="s">
        <v>30</v>
      </c>
      <c r="N237" s="4">
        <v>0.9180555555555555</v>
      </c>
      <c r="O237" s="1" t="s">
        <v>331</v>
      </c>
      <c r="P237" s="1">
        <f t="shared" si="1"/>
        <v>94</v>
      </c>
      <c r="Q237" s="1">
        <f t="shared" si="2"/>
        <v>41</v>
      </c>
      <c r="R237" s="5">
        <f t="shared" si="3"/>
        <v>94</v>
      </c>
      <c r="S237" s="5" t="s">
        <v>90</v>
      </c>
    </row>
    <row r="238">
      <c r="A238" s="1" t="s">
        <v>490</v>
      </c>
      <c r="B238" s="2">
        <v>25.0</v>
      </c>
      <c r="C238" s="1" t="s">
        <v>75</v>
      </c>
      <c r="D238" s="1" t="s">
        <v>28</v>
      </c>
      <c r="E238" s="4">
        <v>0.17777777777777778</v>
      </c>
      <c r="F238" s="1" t="s">
        <v>385</v>
      </c>
      <c r="G238" s="1" t="s">
        <v>30</v>
      </c>
      <c r="H238" s="4">
        <v>0.46875</v>
      </c>
      <c r="I238" s="1" t="s">
        <v>223</v>
      </c>
      <c r="J238" s="1" t="s">
        <v>28</v>
      </c>
      <c r="K238" s="4">
        <v>0.7243055555555555</v>
      </c>
      <c r="L238" s="1" t="s">
        <v>251</v>
      </c>
      <c r="M238" s="1" t="s">
        <v>30</v>
      </c>
      <c r="N238" s="4">
        <v>0.9472222222222222</v>
      </c>
      <c r="O238" s="1" t="s">
        <v>483</v>
      </c>
      <c r="P238" s="1">
        <f t="shared" si="1"/>
        <v>112</v>
      </c>
      <c r="Q238" s="1">
        <f t="shared" si="2"/>
        <v>59</v>
      </c>
      <c r="R238" s="5">
        <f t="shared" si="3"/>
        <v>112</v>
      </c>
      <c r="S238" s="5" t="s">
        <v>90</v>
      </c>
    </row>
    <row r="239">
      <c r="A239" s="1" t="s">
        <v>490</v>
      </c>
      <c r="B239" s="2">
        <v>26.0</v>
      </c>
      <c r="C239" s="1" t="s">
        <v>86</v>
      </c>
      <c r="D239" s="1" t="s">
        <v>28</v>
      </c>
      <c r="E239" s="4">
        <v>0.20416666666666666</v>
      </c>
      <c r="F239" s="1" t="s">
        <v>211</v>
      </c>
      <c r="G239" s="1" t="s">
        <v>30</v>
      </c>
      <c r="H239" s="4">
        <v>0.4888888888888889</v>
      </c>
      <c r="I239" s="1" t="s">
        <v>31</v>
      </c>
      <c r="J239" s="1" t="s">
        <v>28</v>
      </c>
      <c r="K239" s="4">
        <v>0.7423611111111111</v>
      </c>
      <c r="L239" s="1" t="s">
        <v>307</v>
      </c>
      <c r="M239" s="1" t="s">
        <v>30</v>
      </c>
      <c r="N239" s="4">
        <v>0.9729166666666667</v>
      </c>
      <c r="O239" s="1" t="s">
        <v>236</v>
      </c>
      <c r="P239" s="1">
        <f t="shared" si="1"/>
        <v>128</v>
      </c>
      <c r="Q239" s="1">
        <f t="shared" si="2"/>
        <v>78</v>
      </c>
      <c r="R239" s="5">
        <f t="shared" si="3"/>
        <v>128</v>
      </c>
      <c r="S239" s="5" t="s">
        <v>47</v>
      </c>
    </row>
    <row r="240">
      <c r="A240" s="1" t="s">
        <v>490</v>
      </c>
      <c r="B240" s="2">
        <v>27.0</v>
      </c>
      <c r="C240" s="1" t="s">
        <v>26</v>
      </c>
      <c r="D240" s="1" t="s">
        <v>28</v>
      </c>
      <c r="E240" s="4">
        <v>0.22847222222222222</v>
      </c>
      <c r="F240" s="1" t="s">
        <v>414</v>
      </c>
      <c r="G240" s="1" t="s">
        <v>30</v>
      </c>
      <c r="H240" s="4">
        <v>0.5076388888888889</v>
      </c>
      <c r="I240" s="1" t="s">
        <v>146</v>
      </c>
      <c r="J240" s="1" t="s">
        <v>28</v>
      </c>
      <c r="K240" s="4">
        <v>0.7597222222222222</v>
      </c>
      <c r="L240" s="1" t="s">
        <v>337</v>
      </c>
      <c r="M240" s="1" t="s">
        <v>30</v>
      </c>
      <c r="N240" s="4">
        <v>0.9965277777777778</v>
      </c>
      <c r="O240" s="1" t="s">
        <v>122</v>
      </c>
      <c r="P240" s="1">
        <f t="shared" si="1"/>
        <v>141</v>
      </c>
      <c r="Q240" s="1">
        <f t="shared" si="2"/>
        <v>96</v>
      </c>
      <c r="R240" s="5">
        <f t="shared" si="3"/>
        <v>141</v>
      </c>
      <c r="S240" s="5" t="s">
        <v>47</v>
      </c>
    </row>
    <row r="241">
      <c r="A241" s="1" t="s">
        <v>490</v>
      </c>
      <c r="B241" s="2">
        <v>28.0</v>
      </c>
      <c r="C241" s="1" t="s">
        <v>34</v>
      </c>
      <c r="D241" s="1" t="s">
        <v>28</v>
      </c>
      <c r="E241" s="4">
        <v>0.25069444444444444</v>
      </c>
      <c r="F241" s="1" t="s">
        <v>455</v>
      </c>
      <c r="G241" s="1" t="s">
        <v>30</v>
      </c>
      <c r="H241" s="4">
        <v>0.5256944444444445</v>
      </c>
      <c r="I241" s="1" t="s">
        <v>45</v>
      </c>
      <c r="J241" s="1" t="s">
        <v>28</v>
      </c>
      <c r="K241" s="4">
        <v>0.7770833333333333</v>
      </c>
      <c r="L241" s="1" t="s">
        <v>385</v>
      </c>
      <c r="P241" s="1">
        <f t="shared" si="1"/>
        <v>149</v>
      </c>
      <c r="Q241" s="1">
        <f t="shared" si="2"/>
        <v>66</v>
      </c>
      <c r="R241" s="5">
        <f t="shared" si="3"/>
        <v>149</v>
      </c>
      <c r="S241" s="5" t="s">
        <v>47</v>
      </c>
    </row>
    <row r="242">
      <c r="A242" s="1" t="s">
        <v>490</v>
      </c>
      <c r="B242" s="2">
        <v>29.0</v>
      </c>
      <c r="C242" s="1" t="s">
        <v>41</v>
      </c>
      <c r="D242" s="1" t="s">
        <v>30</v>
      </c>
      <c r="E242" s="4">
        <v>0.02013888888888889</v>
      </c>
      <c r="F242" s="1" t="s">
        <v>223</v>
      </c>
      <c r="G242" s="1" t="s">
        <v>28</v>
      </c>
      <c r="H242" s="4">
        <v>0.27361111111111114</v>
      </c>
      <c r="I242" s="1" t="s">
        <v>464</v>
      </c>
      <c r="J242" s="1" t="s">
        <v>30</v>
      </c>
      <c r="K242" s="4">
        <v>0.5430555555555555</v>
      </c>
      <c r="L242" s="1" t="s">
        <v>45</v>
      </c>
      <c r="M242" s="1" t="s">
        <v>28</v>
      </c>
      <c r="N242" s="4">
        <v>0.7944444444444444</v>
      </c>
      <c r="O242" s="1" t="s">
        <v>46</v>
      </c>
      <c r="P242" s="1">
        <f t="shared" si="1"/>
        <v>138</v>
      </c>
      <c r="Q242" s="1">
        <f t="shared" si="2"/>
        <v>131</v>
      </c>
      <c r="R242" s="5">
        <f t="shared" si="3"/>
        <v>138</v>
      </c>
      <c r="S242" s="5" t="s">
        <v>47</v>
      </c>
    </row>
    <row r="243">
      <c r="A243" s="1" t="s">
        <v>490</v>
      </c>
      <c r="B243" s="2">
        <v>30.0</v>
      </c>
      <c r="C243" s="1" t="s">
        <v>55</v>
      </c>
      <c r="D243" s="1" t="s">
        <v>30</v>
      </c>
      <c r="E243" s="4">
        <v>0.044444444444444446</v>
      </c>
      <c r="F243" s="1" t="s">
        <v>31</v>
      </c>
      <c r="G243" s="1" t="s">
        <v>28</v>
      </c>
      <c r="H243" s="4">
        <v>0.2965277777777778</v>
      </c>
      <c r="I243" s="1" t="s">
        <v>416</v>
      </c>
      <c r="J243" s="1" t="s">
        <v>30</v>
      </c>
      <c r="K243" s="4">
        <v>0.5611111111111111</v>
      </c>
      <c r="L243" s="1" t="s">
        <v>146</v>
      </c>
      <c r="M243" s="1" t="s">
        <v>28</v>
      </c>
      <c r="N243" s="4">
        <v>0.8131944444444444</v>
      </c>
      <c r="O243" s="1" t="s">
        <v>346</v>
      </c>
      <c r="P243" s="1">
        <f t="shared" si="1"/>
        <v>141</v>
      </c>
      <c r="Q243" s="1">
        <f t="shared" si="2"/>
        <v>133</v>
      </c>
      <c r="R243" s="5">
        <f t="shared" si="3"/>
        <v>141</v>
      </c>
      <c r="S243" s="5" t="s">
        <v>47</v>
      </c>
    </row>
    <row r="244">
      <c r="A244" s="1" t="s">
        <v>490</v>
      </c>
      <c r="B244" s="2">
        <v>31.0</v>
      </c>
      <c r="C244" s="1" t="s">
        <v>25</v>
      </c>
      <c r="D244" s="1" t="s">
        <v>30</v>
      </c>
      <c r="E244" s="4">
        <v>0.06944444444444445</v>
      </c>
      <c r="F244" s="1" t="s">
        <v>146</v>
      </c>
      <c r="G244" s="1" t="s">
        <v>28</v>
      </c>
      <c r="H244" s="4">
        <v>0.32083333333333336</v>
      </c>
      <c r="I244" s="1" t="s">
        <v>488</v>
      </c>
      <c r="J244" s="1" t="s">
        <v>30</v>
      </c>
      <c r="K244" s="4">
        <v>0.5791666666666667</v>
      </c>
      <c r="L244" s="1" t="s">
        <v>114</v>
      </c>
      <c r="M244" s="1" t="s">
        <v>28</v>
      </c>
      <c r="N244" s="4">
        <v>0.8333333333333334</v>
      </c>
      <c r="O244" s="1" t="s">
        <v>495</v>
      </c>
      <c r="P244" s="1">
        <f t="shared" si="1"/>
        <v>138</v>
      </c>
      <c r="Q244" s="1">
        <f t="shared" si="2"/>
        <v>130</v>
      </c>
      <c r="R244" s="5">
        <f t="shared" si="3"/>
        <v>138</v>
      </c>
      <c r="S244" s="5" t="s">
        <v>47</v>
      </c>
    </row>
    <row r="245">
      <c r="A245" s="1" t="s">
        <v>498</v>
      </c>
      <c r="B245" s="2">
        <v>1.0</v>
      </c>
      <c r="C245" s="1" t="s">
        <v>75</v>
      </c>
      <c r="D245" s="1" t="s">
        <v>30</v>
      </c>
      <c r="E245" s="4">
        <v>0.09583333333333334</v>
      </c>
      <c r="F245" s="1" t="s">
        <v>146</v>
      </c>
      <c r="G245" s="1" t="s">
        <v>28</v>
      </c>
      <c r="H245" s="4">
        <v>0.34652777777777777</v>
      </c>
      <c r="I245" s="1" t="s">
        <v>412</v>
      </c>
      <c r="J245" s="1" t="s">
        <v>30</v>
      </c>
      <c r="K245" s="4">
        <v>0.5979166666666667</v>
      </c>
      <c r="L245" s="1" t="s">
        <v>224</v>
      </c>
      <c r="M245" s="1" t="s">
        <v>28</v>
      </c>
      <c r="N245" s="4">
        <v>0.8548611111111111</v>
      </c>
      <c r="O245" s="1" t="s">
        <v>497</v>
      </c>
      <c r="P245" s="1">
        <f t="shared" si="1"/>
        <v>126</v>
      </c>
      <c r="Q245" s="1">
        <f t="shared" si="2"/>
        <v>121</v>
      </c>
      <c r="R245" s="5">
        <f t="shared" si="3"/>
        <v>126</v>
      </c>
      <c r="S245" s="5" t="s">
        <v>47</v>
      </c>
    </row>
    <row r="246">
      <c r="A246" s="1" t="s">
        <v>498</v>
      </c>
      <c r="B246" s="2">
        <v>2.0</v>
      </c>
      <c r="C246" s="1" t="s">
        <v>86</v>
      </c>
      <c r="D246" s="1" t="s">
        <v>30</v>
      </c>
      <c r="E246" s="4">
        <v>0.125</v>
      </c>
      <c r="F246" s="1" t="s">
        <v>257</v>
      </c>
      <c r="G246" s="1" t="s">
        <v>28</v>
      </c>
      <c r="H246" s="4">
        <v>0.37430555555555556</v>
      </c>
      <c r="I246" s="1" t="s">
        <v>147</v>
      </c>
      <c r="J246" s="1" t="s">
        <v>30</v>
      </c>
      <c r="K246" s="4">
        <v>0.6173611111111111</v>
      </c>
      <c r="L246" s="1" t="s">
        <v>250</v>
      </c>
      <c r="M246" s="1" t="s">
        <v>28</v>
      </c>
      <c r="N246" s="4">
        <v>0.8798611111111111</v>
      </c>
      <c r="O246" s="1" t="s">
        <v>205</v>
      </c>
      <c r="P246" s="1">
        <f t="shared" si="1"/>
        <v>108</v>
      </c>
      <c r="Q246" s="1">
        <f t="shared" si="2"/>
        <v>106</v>
      </c>
      <c r="R246" s="5">
        <f t="shared" si="3"/>
        <v>108</v>
      </c>
      <c r="S246" s="5" t="s">
        <v>90</v>
      </c>
    </row>
    <row r="247">
      <c r="A247" s="1" t="s">
        <v>498</v>
      </c>
      <c r="B247" s="2">
        <v>3.0</v>
      </c>
      <c r="C247" s="1" t="s">
        <v>26</v>
      </c>
      <c r="D247" s="1" t="s">
        <v>30</v>
      </c>
      <c r="E247" s="4">
        <v>0.1597222222222222</v>
      </c>
      <c r="F247" s="1" t="s">
        <v>115</v>
      </c>
      <c r="G247" s="1" t="s">
        <v>28</v>
      </c>
      <c r="H247" s="4">
        <v>0.4076388888888889</v>
      </c>
      <c r="I247" s="1" t="s">
        <v>262</v>
      </c>
      <c r="J247" s="1" t="s">
        <v>30</v>
      </c>
      <c r="K247" s="4">
        <v>0.6395833333333333</v>
      </c>
      <c r="L247" s="1" t="s">
        <v>291</v>
      </c>
      <c r="M247" s="1" t="s">
        <v>28</v>
      </c>
      <c r="N247" s="4">
        <v>0.9111111111111111</v>
      </c>
      <c r="O247" s="1" t="s">
        <v>297</v>
      </c>
      <c r="P247" s="1">
        <f t="shared" si="1"/>
        <v>83</v>
      </c>
      <c r="Q247" s="1">
        <f t="shared" si="2"/>
        <v>89</v>
      </c>
      <c r="R247" s="5">
        <f t="shared" si="3"/>
        <v>89</v>
      </c>
      <c r="S247" s="5" t="s">
        <v>39</v>
      </c>
    </row>
    <row r="248">
      <c r="A248" s="1" t="s">
        <v>498</v>
      </c>
      <c r="B248" s="2">
        <v>4.0</v>
      </c>
      <c r="C248" s="1" t="s">
        <v>34</v>
      </c>
      <c r="D248" s="1" t="s">
        <v>30</v>
      </c>
      <c r="E248" s="4">
        <v>0.20625</v>
      </c>
      <c r="F248" s="1" t="s">
        <v>122</v>
      </c>
      <c r="G248" s="1" t="s">
        <v>28</v>
      </c>
      <c r="H248" s="4">
        <v>0.45416666666666666</v>
      </c>
      <c r="I248" s="1" t="s">
        <v>173</v>
      </c>
      <c r="J248" s="1" t="s">
        <v>30</v>
      </c>
      <c r="K248" s="4">
        <v>0.66875</v>
      </c>
      <c r="L248" s="1" t="s">
        <v>332</v>
      </c>
      <c r="M248" s="1" t="s">
        <v>28</v>
      </c>
      <c r="N248" s="4">
        <v>0.9548611111111112</v>
      </c>
      <c r="O248" s="1" t="s">
        <v>337</v>
      </c>
      <c r="P248" s="1">
        <f t="shared" si="1"/>
        <v>58</v>
      </c>
      <c r="Q248" s="1">
        <f t="shared" si="2"/>
        <v>69</v>
      </c>
      <c r="R248" s="5">
        <f t="shared" si="3"/>
        <v>69</v>
      </c>
      <c r="S248" s="5" t="s">
        <v>39</v>
      </c>
    </row>
    <row r="249">
      <c r="A249" s="1" t="s">
        <v>498</v>
      </c>
      <c r="B249" s="2">
        <v>5.0</v>
      </c>
      <c r="C249" s="1" t="s">
        <v>41</v>
      </c>
      <c r="D249" s="1" t="s">
        <v>30</v>
      </c>
      <c r="E249" s="4">
        <v>0.2791666666666667</v>
      </c>
      <c r="F249" s="1" t="s">
        <v>295</v>
      </c>
      <c r="G249" s="1" t="s">
        <v>28</v>
      </c>
      <c r="H249" s="4">
        <v>0.5548611111111111</v>
      </c>
      <c r="I249" s="1" t="s">
        <v>323</v>
      </c>
      <c r="J249" s="1" t="s">
        <v>30</v>
      </c>
      <c r="K249" s="4">
        <v>0.7243055555555555</v>
      </c>
      <c r="L249" s="1" t="s">
        <v>397</v>
      </c>
      <c r="P249" s="1">
        <f t="shared" si="1"/>
        <v>43</v>
      </c>
      <c r="Q249" s="1">
        <f t="shared" si="2"/>
        <v>1</v>
      </c>
      <c r="R249" s="5">
        <f t="shared" si="3"/>
        <v>43</v>
      </c>
      <c r="S249" s="5" t="s">
        <v>39</v>
      </c>
    </row>
    <row r="250">
      <c r="A250" s="1" t="s">
        <v>498</v>
      </c>
      <c r="B250" s="2">
        <v>6.0</v>
      </c>
      <c r="C250" s="1" t="s">
        <v>55</v>
      </c>
      <c r="D250" s="1" t="s">
        <v>28</v>
      </c>
      <c r="E250" s="4">
        <v>0.025694444444444443</v>
      </c>
      <c r="F250" s="1" t="s">
        <v>147</v>
      </c>
      <c r="G250" s="1" t="s">
        <v>30</v>
      </c>
      <c r="H250" s="4">
        <v>0.3625</v>
      </c>
      <c r="I250" s="1" t="s">
        <v>326</v>
      </c>
      <c r="J250" s="1" t="s">
        <v>28</v>
      </c>
      <c r="K250" s="4">
        <v>0.6402777777777777</v>
      </c>
      <c r="L250" s="1" t="s">
        <v>230</v>
      </c>
      <c r="M250" s="1" t="s">
        <v>30</v>
      </c>
      <c r="N250" s="4">
        <v>0.8236111111111111</v>
      </c>
      <c r="O250" s="1" t="s">
        <v>113</v>
      </c>
      <c r="P250" s="1">
        <f t="shared" si="1"/>
        <v>93</v>
      </c>
      <c r="Q250" s="1">
        <f t="shared" si="2"/>
        <v>17</v>
      </c>
      <c r="R250" s="5">
        <f t="shared" si="3"/>
        <v>93</v>
      </c>
      <c r="S250" s="5" t="s">
        <v>90</v>
      </c>
    </row>
    <row r="251">
      <c r="A251" s="1" t="s">
        <v>498</v>
      </c>
      <c r="B251" s="2">
        <v>7.0</v>
      </c>
      <c r="C251" s="1" t="s">
        <v>25</v>
      </c>
      <c r="D251" s="1" t="s">
        <v>28</v>
      </c>
      <c r="E251" s="4">
        <v>0.10208333333333333</v>
      </c>
      <c r="F251" s="1" t="s">
        <v>78</v>
      </c>
      <c r="G251" s="1" t="s">
        <v>30</v>
      </c>
      <c r="H251" s="4">
        <v>0.4125</v>
      </c>
      <c r="I251" s="1" t="s">
        <v>134</v>
      </c>
      <c r="J251" s="1" t="s">
        <v>28</v>
      </c>
      <c r="K251" s="4">
        <v>0.6770833333333334</v>
      </c>
      <c r="L251" s="1" t="s">
        <v>183</v>
      </c>
      <c r="M251" s="1" t="s">
        <v>30</v>
      </c>
      <c r="N251" s="4">
        <v>0.8916666666666667</v>
      </c>
      <c r="O251" s="1" t="s">
        <v>225</v>
      </c>
      <c r="P251" s="1">
        <f t="shared" si="1"/>
        <v>112</v>
      </c>
      <c r="Q251" s="1">
        <f t="shared" si="2"/>
        <v>41</v>
      </c>
      <c r="R251" s="5">
        <f t="shared" si="3"/>
        <v>112</v>
      </c>
      <c r="S251" s="5" t="s">
        <v>90</v>
      </c>
    </row>
    <row r="252">
      <c r="A252" s="1" t="s">
        <v>498</v>
      </c>
      <c r="B252" s="2">
        <v>8.0</v>
      </c>
      <c r="C252" s="1" t="s">
        <v>75</v>
      </c>
      <c r="D252" s="1" t="s">
        <v>28</v>
      </c>
      <c r="E252" s="4">
        <v>0.1527777777777778</v>
      </c>
      <c r="F252" s="1" t="s">
        <v>298</v>
      </c>
      <c r="G252" s="1" t="s">
        <v>30</v>
      </c>
      <c r="H252" s="4">
        <v>0.44722222222222224</v>
      </c>
      <c r="I252" s="1" t="s">
        <v>110</v>
      </c>
      <c r="J252" s="1" t="s">
        <v>28</v>
      </c>
      <c r="K252" s="4">
        <v>0.7027777777777777</v>
      </c>
      <c r="L252" s="1" t="s">
        <v>179</v>
      </c>
      <c r="M252" s="1" t="s">
        <v>30</v>
      </c>
      <c r="N252" s="4">
        <v>0.9333333333333333</v>
      </c>
      <c r="O252" s="1" t="s">
        <v>422</v>
      </c>
      <c r="P252" s="1">
        <f t="shared" si="1"/>
        <v>136</v>
      </c>
      <c r="Q252" s="1">
        <f t="shared" si="2"/>
        <v>69</v>
      </c>
      <c r="R252" s="5">
        <f t="shared" si="3"/>
        <v>136</v>
      </c>
      <c r="S252" s="5" t="s">
        <v>47</v>
      </c>
    </row>
    <row r="253">
      <c r="A253" s="1" t="s">
        <v>498</v>
      </c>
      <c r="B253" s="2">
        <v>9.0</v>
      </c>
      <c r="C253" s="1" t="s">
        <v>86</v>
      </c>
      <c r="D253" s="1" t="s">
        <v>28</v>
      </c>
      <c r="E253" s="4">
        <v>0.18958333333333333</v>
      </c>
      <c r="F253" s="1" t="s">
        <v>417</v>
      </c>
      <c r="G253" s="1" t="s">
        <v>30</v>
      </c>
      <c r="H253" s="4">
        <v>0.47430555555555554</v>
      </c>
      <c r="I253" s="1" t="s">
        <v>182</v>
      </c>
      <c r="J253" s="1" t="s">
        <v>28</v>
      </c>
      <c r="K253" s="4">
        <v>0.725</v>
      </c>
      <c r="L253" s="1" t="s">
        <v>410</v>
      </c>
      <c r="M253" s="1" t="s">
        <v>30</v>
      </c>
      <c r="N253" s="4">
        <v>0.9652777777777778</v>
      </c>
      <c r="O253" s="1" t="s">
        <v>120</v>
      </c>
      <c r="P253" s="1">
        <f t="shared" si="1"/>
        <v>153</v>
      </c>
      <c r="Q253" s="1">
        <f t="shared" si="2"/>
        <v>96</v>
      </c>
      <c r="R253" s="5">
        <f t="shared" si="3"/>
        <v>153</v>
      </c>
      <c r="S253" s="5" t="s">
        <v>47</v>
      </c>
    </row>
    <row r="254">
      <c r="A254" s="1" t="s">
        <v>498</v>
      </c>
      <c r="B254" s="2">
        <v>10.0</v>
      </c>
      <c r="C254" s="1" t="s">
        <v>26</v>
      </c>
      <c r="D254" s="1" t="s">
        <v>28</v>
      </c>
      <c r="E254" s="4">
        <v>0.22083333333333333</v>
      </c>
      <c r="F254" s="1" t="s">
        <v>492</v>
      </c>
      <c r="G254" s="1" t="s">
        <v>30</v>
      </c>
      <c r="H254" s="4">
        <v>0.4979166666666667</v>
      </c>
      <c r="I254" s="1" t="s">
        <v>174</v>
      </c>
      <c r="J254" s="1" t="s">
        <v>28</v>
      </c>
      <c r="K254" s="4">
        <v>0.7458333333333333</v>
      </c>
      <c r="L254" s="1" t="s">
        <v>385</v>
      </c>
      <c r="M254" s="1" t="s">
        <v>30</v>
      </c>
      <c r="N254" s="4">
        <v>0.9930555555555556</v>
      </c>
      <c r="O254" s="1" t="s">
        <v>114</v>
      </c>
      <c r="P254" s="1">
        <f t="shared" si="1"/>
        <v>163</v>
      </c>
      <c r="Q254" s="1">
        <f t="shared" si="2"/>
        <v>117</v>
      </c>
      <c r="R254" s="5">
        <f t="shared" si="3"/>
        <v>163</v>
      </c>
      <c r="S254" s="5" t="s">
        <v>47</v>
      </c>
    </row>
    <row r="255">
      <c r="A255" s="1" t="s">
        <v>498</v>
      </c>
      <c r="B255" s="2">
        <v>11.0</v>
      </c>
      <c r="C255" s="1" t="s">
        <v>34</v>
      </c>
      <c r="D255" s="1" t="s">
        <v>28</v>
      </c>
      <c r="E255" s="4">
        <v>0.24930555555555556</v>
      </c>
      <c r="F255" s="1" t="s">
        <v>477</v>
      </c>
      <c r="G255" s="1" t="s">
        <v>30</v>
      </c>
      <c r="H255" s="4">
        <v>0.5194444444444445</v>
      </c>
      <c r="I255" s="1" t="s">
        <v>313</v>
      </c>
      <c r="J255" s="1" t="s">
        <v>28</v>
      </c>
      <c r="K255" s="4">
        <v>0.7666666666666667</v>
      </c>
      <c r="L255" s="1" t="s">
        <v>205</v>
      </c>
      <c r="P255" s="1">
        <f t="shared" si="1"/>
        <v>160</v>
      </c>
      <c r="Q255" s="1">
        <f t="shared" si="2"/>
        <v>73</v>
      </c>
      <c r="R255" s="5">
        <f t="shared" si="3"/>
        <v>160</v>
      </c>
      <c r="S255" s="5" t="s">
        <v>47</v>
      </c>
    </row>
    <row r="256">
      <c r="A256" s="1" t="s">
        <v>498</v>
      </c>
      <c r="B256" s="2">
        <v>12.0</v>
      </c>
      <c r="C256" s="1" t="s">
        <v>41</v>
      </c>
      <c r="D256" s="1" t="s">
        <v>30</v>
      </c>
      <c r="E256" s="4">
        <v>0.019444444444444445</v>
      </c>
      <c r="F256" s="1" t="s">
        <v>99</v>
      </c>
      <c r="G256" s="1" t="s">
        <v>28</v>
      </c>
      <c r="H256" s="4">
        <v>0.27569444444444446</v>
      </c>
      <c r="I256" s="1" t="s">
        <v>478</v>
      </c>
      <c r="J256" s="1" t="s">
        <v>30</v>
      </c>
      <c r="K256" s="4">
        <v>0.5381944444444444</v>
      </c>
      <c r="L256" s="1" t="s">
        <v>99</v>
      </c>
      <c r="M256" s="1" t="s">
        <v>28</v>
      </c>
      <c r="N256" s="4">
        <v>0.7861111111111111</v>
      </c>
      <c r="O256" s="1" t="s">
        <v>497</v>
      </c>
      <c r="P256" s="1">
        <f t="shared" si="1"/>
        <v>149</v>
      </c>
      <c r="Q256" s="1">
        <f t="shared" si="2"/>
        <v>136</v>
      </c>
      <c r="R256" s="5">
        <f t="shared" si="3"/>
        <v>149</v>
      </c>
      <c r="S256" s="5" t="s">
        <v>47</v>
      </c>
    </row>
    <row r="257">
      <c r="A257" s="1" t="s">
        <v>498</v>
      </c>
      <c r="B257" s="2">
        <v>13.0</v>
      </c>
      <c r="C257" s="1" t="s">
        <v>55</v>
      </c>
      <c r="D257" s="1" t="s">
        <v>30</v>
      </c>
      <c r="E257" s="4">
        <v>0.04513888888888889</v>
      </c>
      <c r="F257" s="1" t="s">
        <v>110</v>
      </c>
      <c r="G257" s="1" t="s">
        <v>28</v>
      </c>
      <c r="H257" s="4">
        <v>0.30069444444444443</v>
      </c>
      <c r="I257" s="1" t="s">
        <v>493</v>
      </c>
      <c r="J257" s="1" t="s">
        <v>30</v>
      </c>
      <c r="K257" s="4">
        <v>0.5555555555555556</v>
      </c>
      <c r="L257" s="1" t="s">
        <v>134</v>
      </c>
      <c r="M257" s="1" t="s">
        <v>28</v>
      </c>
      <c r="N257" s="4">
        <v>0.8055555555555556</v>
      </c>
      <c r="O257" s="1" t="s">
        <v>497</v>
      </c>
      <c r="P257" s="1">
        <f t="shared" si="1"/>
        <v>142</v>
      </c>
      <c r="Q257" s="1">
        <f t="shared" si="2"/>
        <v>128</v>
      </c>
      <c r="R257" s="5">
        <f t="shared" si="3"/>
        <v>142</v>
      </c>
      <c r="S257" s="5" t="s">
        <v>47</v>
      </c>
    </row>
    <row r="258">
      <c r="A258" s="1" t="s">
        <v>498</v>
      </c>
      <c r="B258" s="2">
        <v>14.0</v>
      </c>
      <c r="C258" s="1" t="s">
        <v>25</v>
      </c>
      <c r="D258" s="1" t="s">
        <v>30</v>
      </c>
      <c r="E258" s="4">
        <v>0.06944444444444445</v>
      </c>
      <c r="F258" s="1" t="s">
        <v>45</v>
      </c>
      <c r="G258" s="1" t="s">
        <v>28</v>
      </c>
      <c r="H258" s="4">
        <v>0.32430555555555557</v>
      </c>
      <c r="I258" s="1" t="s">
        <v>436</v>
      </c>
      <c r="J258" s="1" t="s">
        <v>30</v>
      </c>
      <c r="K258" s="4">
        <v>0.5722222222222222</v>
      </c>
      <c r="L258" s="1" t="s">
        <v>333</v>
      </c>
      <c r="M258" s="1" t="s">
        <v>28</v>
      </c>
      <c r="N258" s="4">
        <v>0.825</v>
      </c>
      <c r="O258" s="1" t="s">
        <v>211</v>
      </c>
      <c r="P258" s="1">
        <f t="shared" si="1"/>
        <v>127</v>
      </c>
      <c r="Q258" s="1">
        <f t="shared" si="2"/>
        <v>118</v>
      </c>
      <c r="R258" s="5">
        <f t="shared" si="3"/>
        <v>127</v>
      </c>
      <c r="S258" s="5" t="s">
        <v>47</v>
      </c>
    </row>
    <row r="259">
      <c r="A259" s="1" t="s">
        <v>498</v>
      </c>
      <c r="B259" s="2">
        <v>15.0</v>
      </c>
      <c r="C259" s="1" t="s">
        <v>75</v>
      </c>
      <c r="D259" s="1" t="s">
        <v>30</v>
      </c>
      <c r="E259" s="4">
        <v>0.09375</v>
      </c>
      <c r="F259" s="1" t="s">
        <v>257</v>
      </c>
      <c r="G259" s="1" t="s">
        <v>28</v>
      </c>
      <c r="H259" s="4">
        <v>0.3472222222222222</v>
      </c>
      <c r="I259" s="1" t="s">
        <v>267</v>
      </c>
      <c r="J259" s="1" t="s">
        <v>30</v>
      </c>
      <c r="K259" s="4">
        <v>0.5881944444444445</v>
      </c>
      <c r="L259" s="1" t="s">
        <v>250</v>
      </c>
      <c r="M259" s="1" t="s">
        <v>28</v>
      </c>
      <c r="N259" s="4">
        <v>0.8444444444444444</v>
      </c>
      <c r="O259" s="1" t="s">
        <v>46</v>
      </c>
      <c r="P259" s="1">
        <f t="shared" si="1"/>
        <v>106</v>
      </c>
      <c r="Q259" s="1">
        <f t="shared" si="2"/>
        <v>105</v>
      </c>
      <c r="R259" s="5">
        <f t="shared" si="3"/>
        <v>106</v>
      </c>
      <c r="S259" s="5" t="s">
        <v>90</v>
      </c>
    </row>
    <row r="260">
      <c r="A260" s="1" t="s">
        <v>498</v>
      </c>
      <c r="B260" s="2">
        <v>16.0</v>
      </c>
      <c r="C260" s="1" t="s">
        <v>86</v>
      </c>
      <c r="D260" s="1" t="s">
        <v>30</v>
      </c>
      <c r="E260" s="4">
        <v>0.11944444444444445</v>
      </c>
      <c r="F260" s="1" t="s">
        <v>115</v>
      </c>
      <c r="G260" s="1" t="s">
        <v>28</v>
      </c>
      <c r="H260" s="4">
        <v>0.37083333333333335</v>
      </c>
      <c r="I260" s="1" t="s">
        <v>262</v>
      </c>
      <c r="J260" s="1" t="s">
        <v>30</v>
      </c>
      <c r="K260" s="4">
        <v>0.6041666666666666</v>
      </c>
      <c r="L260" s="1" t="s">
        <v>334</v>
      </c>
      <c r="M260" s="1" t="s">
        <v>28</v>
      </c>
      <c r="N260" s="4">
        <v>0.8652777777777778</v>
      </c>
      <c r="O260" s="1" t="s">
        <v>38</v>
      </c>
      <c r="P260" s="1">
        <f t="shared" si="1"/>
        <v>83</v>
      </c>
      <c r="Q260" s="1">
        <f t="shared" si="2"/>
        <v>90</v>
      </c>
      <c r="R260" s="5">
        <f t="shared" si="3"/>
        <v>90</v>
      </c>
      <c r="S260" s="5" t="s">
        <v>39</v>
      </c>
    </row>
    <row r="261">
      <c r="A261" s="1" t="s">
        <v>498</v>
      </c>
      <c r="B261" s="2">
        <v>17.0</v>
      </c>
      <c r="C261" s="1" t="s">
        <v>26</v>
      </c>
      <c r="D261" s="1" t="s">
        <v>30</v>
      </c>
      <c r="E261" s="4">
        <v>0.1486111111111111</v>
      </c>
      <c r="F261" s="1" t="s">
        <v>286</v>
      </c>
      <c r="G261" s="1" t="s">
        <v>28</v>
      </c>
      <c r="H261" s="4">
        <v>0.39791666666666664</v>
      </c>
      <c r="I261" s="1" t="s">
        <v>176</v>
      </c>
      <c r="J261" s="1" t="s">
        <v>30</v>
      </c>
      <c r="K261" s="4">
        <v>0.6208333333333333</v>
      </c>
      <c r="L261" s="1" t="s">
        <v>119</v>
      </c>
      <c r="M261" s="1" t="s">
        <v>28</v>
      </c>
      <c r="N261" s="4">
        <v>0.8888888888888888</v>
      </c>
      <c r="O261" s="1" t="s">
        <v>388</v>
      </c>
      <c r="P261" s="1">
        <f t="shared" si="1"/>
        <v>59</v>
      </c>
      <c r="Q261" s="1">
        <f t="shared" si="2"/>
        <v>72</v>
      </c>
      <c r="R261" s="5">
        <f t="shared" si="3"/>
        <v>72</v>
      </c>
      <c r="S261" s="5" t="s">
        <v>39</v>
      </c>
    </row>
    <row r="262">
      <c r="A262" s="1" t="s">
        <v>498</v>
      </c>
      <c r="B262" s="2">
        <v>18.0</v>
      </c>
      <c r="C262" s="1" t="s">
        <v>34</v>
      </c>
      <c r="D262" s="1" t="s">
        <v>30</v>
      </c>
      <c r="E262" s="4">
        <v>0.18611111111111112</v>
      </c>
      <c r="F262" s="1" t="s">
        <v>334</v>
      </c>
      <c r="G262" s="1" t="s">
        <v>28</v>
      </c>
      <c r="H262" s="4">
        <v>0.4388888888888889</v>
      </c>
      <c r="I262" s="1" t="s">
        <v>157</v>
      </c>
      <c r="J262" s="1" t="s">
        <v>30</v>
      </c>
      <c r="K262" s="4">
        <v>0.6409722222222223</v>
      </c>
      <c r="L262" s="1" t="s">
        <v>331</v>
      </c>
      <c r="M262" s="1" t="s">
        <v>28</v>
      </c>
      <c r="N262" s="4">
        <v>0.9215277777777777</v>
      </c>
      <c r="O262" s="1" t="s">
        <v>301</v>
      </c>
      <c r="P262" s="1">
        <f t="shared" si="1"/>
        <v>37</v>
      </c>
      <c r="Q262" s="1">
        <f t="shared" si="2"/>
        <v>54</v>
      </c>
      <c r="R262" s="5">
        <f t="shared" si="3"/>
        <v>54</v>
      </c>
      <c r="S262" s="5" t="s">
        <v>39</v>
      </c>
    </row>
    <row r="263">
      <c r="A263" s="1" t="s">
        <v>498</v>
      </c>
      <c r="B263" s="2">
        <v>19.0</v>
      </c>
      <c r="C263" s="1" t="s">
        <v>41</v>
      </c>
      <c r="D263" s="1" t="s">
        <v>30</v>
      </c>
      <c r="E263" s="4">
        <v>0.25</v>
      </c>
      <c r="F263" s="1" t="s">
        <v>235</v>
      </c>
      <c r="G263" s="1" t="s">
        <v>330</v>
      </c>
      <c r="H263" s="4">
        <v>0.5458333333333333</v>
      </c>
      <c r="I263" s="1" t="s">
        <v>222</v>
      </c>
      <c r="J263" s="1" t="s">
        <v>330</v>
      </c>
      <c r="K263" s="4">
        <v>0.68125</v>
      </c>
      <c r="L263" s="1" t="s">
        <v>29</v>
      </c>
      <c r="M263" s="1" t="s">
        <v>28</v>
      </c>
      <c r="N263" s="4">
        <v>0.9798611111111111</v>
      </c>
      <c r="O263" s="1" t="s">
        <v>192</v>
      </c>
      <c r="P263" s="1">
        <f t="shared" si="1"/>
        <v>24</v>
      </c>
      <c r="Q263" s="1">
        <f t="shared" si="2"/>
        <v>36</v>
      </c>
      <c r="R263" s="5">
        <f t="shared" si="3"/>
        <v>36</v>
      </c>
      <c r="S263" s="5" t="s">
        <v>39</v>
      </c>
    </row>
    <row r="264">
      <c r="A264" s="1" t="s">
        <v>498</v>
      </c>
      <c r="B264" s="2">
        <v>20.0</v>
      </c>
      <c r="C264" s="1" t="s">
        <v>55</v>
      </c>
      <c r="D264" s="1" t="s">
        <v>30</v>
      </c>
      <c r="E264" s="4">
        <v>0.3486111111111111</v>
      </c>
      <c r="F264" s="1" t="s">
        <v>481</v>
      </c>
      <c r="G264" s="1" t="s">
        <v>28</v>
      </c>
      <c r="H264" s="4">
        <v>0.6368055555555555</v>
      </c>
      <c r="I264" s="1" t="s">
        <v>111</v>
      </c>
      <c r="J264" s="1" t="s">
        <v>30</v>
      </c>
      <c r="K264" s="4">
        <v>0.7881944444444444</v>
      </c>
      <c r="L264" s="1" t="s">
        <v>36</v>
      </c>
      <c r="P264" s="1">
        <f t="shared" si="1"/>
        <v>33</v>
      </c>
      <c r="Q264" s="1">
        <f t="shared" si="2"/>
        <v>7</v>
      </c>
      <c r="R264" s="5">
        <f t="shared" si="3"/>
        <v>33</v>
      </c>
      <c r="S264" s="5" t="s">
        <v>39</v>
      </c>
    </row>
    <row r="265">
      <c r="A265" s="1" t="s">
        <v>498</v>
      </c>
      <c r="B265" s="2">
        <v>21.0</v>
      </c>
      <c r="C265" s="1" t="s">
        <v>25</v>
      </c>
      <c r="D265" s="1" t="s">
        <v>28</v>
      </c>
      <c r="E265" s="4">
        <v>0.06944444444444445</v>
      </c>
      <c r="F265" s="1" t="s">
        <v>192</v>
      </c>
      <c r="G265" s="1" t="s">
        <v>30</v>
      </c>
      <c r="H265" s="4">
        <v>0.3972222222222222</v>
      </c>
      <c r="I265" s="1" t="s">
        <v>236</v>
      </c>
      <c r="J265" s="1" t="s">
        <v>28</v>
      </c>
      <c r="K265" s="4">
        <v>0.6631944444444444</v>
      </c>
      <c r="L265" s="1" t="s">
        <v>176</v>
      </c>
      <c r="M265" s="1" t="s">
        <v>30</v>
      </c>
      <c r="N265" s="4">
        <v>0.8645833333333334</v>
      </c>
      <c r="O265" s="1" t="s">
        <v>187</v>
      </c>
      <c r="P265" s="1">
        <f t="shared" si="1"/>
        <v>66</v>
      </c>
      <c r="Q265" s="1">
        <f t="shared" si="2"/>
        <v>24</v>
      </c>
      <c r="R265" s="5">
        <f t="shared" si="3"/>
        <v>66</v>
      </c>
      <c r="S265" s="5" t="s">
        <v>39</v>
      </c>
    </row>
    <row r="266">
      <c r="A266" s="1" t="s">
        <v>498</v>
      </c>
      <c r="B266" s="2">
        <v>22.0</v>
      </c>
      <c r="C266" s="1" t="s">
        <v>75</v>
      </c>
      <c r="D266" s="1" t="s">
        <v>28</v>
      </c>
      <c r="E266" s="4">
        <v>0.12430555555555556</v>
      </c>
      <c r="F266" s="1" t="s">
        <v>135</v>
      </c>
      <c r="G266" s="1" t="s">
        <v>30</v>
      </c>
      <c r="H266" s="4">
        <v>0.42430555555555555</v>
      </c>
      <c r="I266" s="1" t="s">
        <v>191</v>
      </c>
      <c r="J266" s="1" t="s">
        <v>28</v>
      </c>
      <c r="K266" s="4">
        <v>0.68125</v>
      </c>
      <c r="L266" s="1" t="s">
        <v>218</v>
      </c>
      <c r="M266" s="1" t="s">
        <v>30</v>
      </c>
      <c r="N266" s="4">
        <v>0.9048611111111111</v>
      </c>
      <c r="O266" s="1" t="s">
        <v>116</v>
      </c>
      <c r="P266" s="1">
        <f t="shared" si="1"/>
        <v>84</v>
      </c>
      <c r="Q266" s="1">
        <f t="shared" si="2"/>
        <v>45</v>
      </c>
      <c r="R266" s="5">
        <f t="shared" si="3"/>
        <v>84</v>
      </c>
      <c r="S266" s="5" t="s">
        <v>39</v>
      </c>
    </row>
    <row r="267">
      <c r="A267" s="1" t="s">
        <v>498</v>
      </c>
      <c r="B267" s="2">
        <v>23.0</v>
      </c>
      <c r="C267" s="1" t="s">
        <v>86</v>
      </c>
      <c r="D267" s="1" t="s">
        <v>28</v>
      </c>
      <c r="E267" s="4">
        <v>0.15902777777777777</v>
      </c>
      <c r="F267" s="1" t="s">
        <v>337</v>
      </c>
      <c r="G267" s="1" t="s">
        <v>30</v>
      </c>
      <c r="H267" s="4">
        <v>0.4444444444444444</v>
      </c>
      <c r="I267" s="1" t="s">
        <v>224</v>
      </c>
      <c r="J267" s="1" t="s">
        <v>28</v>
      </c>
      <c r="K267" s="4">
        <v>0.6986111111111111</v>
      </c>
      <c r="L267" s="1" t="s">
        <v>179</v>
      </c>
      <c r="M267" s="1" t="s">
        <v>30</v>
      </c>
      <c r="N267" s="4">
        <v>0.9333333333333333</v>
      </c>
      <c r="O267" s="1" t="s">
        <v>334</v>
      </c>
      <c r="P267" s="1">
        <f t="shared" si="1"/>
        <v>102</v>
      </c>
      <c r="Q267" s="1">
        <f t="shared" si="2"/>
        <v>70</v>
      </c>
      <c r="R267" s="5">
        <f t="shared" si="3"/>
        <v>102</v>
      </c>
      <c r="S267" s="5" t="s">
        <v>90</v>
      </c>
    </row>
    <row r="268">
      <c r="A268" s="1" t="s">
        <v>498</v>
      </c>
      <c r="B268" s="2">
        <v>24.0</v>
      </c>
      <c r="C268" s="1" t="s">
        <v>26</v>
      </c>
      <c r="D268" s="1" t="s">
        <v>28</v>
      </c>
      <c r="E268" s="4">
        <v>0.18611111111111112</v>
      </c>
      <c r="F268" s="1" t="s">
        <v>338</v>
      </c>
      <c r="G268" s="1" t="s">
        <v>30</v>
      </c>
      <c r="H268" s="4">
        <v>0.46319444444444446</v>
      </c>
      <c r="I268" s="1" t="s">
        <v>134</v>
      </c>
      <c r="J268" s="1" t="s">
        <v>28</v>
      </c>
      <c r="K268" s="4">
        <v>0.7145833333333333</v>
      </c>
      <c r="L268" s="1" t="s">
        <v>147</v>
      </c>
      <c r="M268" s="1" t="s">
        <v>30</v>
      </c>
      <c r="N268" s="4">
        <v>0.9576388888888889</v>
      </c>
      <c r="O268" s="1" t="s">
        <v>326</v>
      </c>
      <c r="P268" s="1">
        <f t="shared" si="1"/>
        <v>119</v>
      </c>
      <c r="Q268" s="1">
        <f t="shared" si="2"/>
        <v>93</v>
      </c>
      <c r="R268" s="5">
        <f t="shared" si="3"/>
        <v>119</v>
      </c>
      <c r="S268" s="5" t="s">
        <v>90</v>
      </c>
    </row>
    <row r="269">
      <c r="A269" s="1" t="s">
        <v>498</v>
      </c>
      <c r="B269" s="2">
        <v>25.0</v>
      </c>
      <c r="C269" s="1" t="s">
        <v>34</v>
      </c>
      <c r="D269" s="1" t="s">
        <v>28</v>
      </c>
      <c r="E269" s="4">
        <v>0.21041666666666667</v>
      </c>
      <c r="F269" s="1" t="s">
        <v>497</v>
      </c>
      <c r="G269" s="1" t="s">
        <v>30</v>
      </c>
      <c r="H269" s="4">
        <v>0.48055555555555557</v>
      </c>
      <c r="I269" s="1" t="s">
        <v>37</v>
      </c>
      <c r="J269" s="1" t="s">
        <v>28</v>
      </c>
      <c r="K269" s="4">
        <v>0.73125</v>
      </c>
      <c r="L269" s="1" t="s">
        <v>38</v>
      </c>
      <c r="M269" s="1" t="s">
        <v>30</v>
      </c>
      <c r="N269" s="4">
        <v>0.98125</v>
      </c>
      <c r="O269" s="1" t="s">
        <v>114</v>
      </c>
      <c r="P269" s="1">
        <f t="shared" si="1"/>
        <v>133</v>
      </c>
      <c r="Q269" s="1">
        <f t="shared" si="2"/>
        <v>116</v>
      </c>
      <c r="R269" s="5">
        <f t="shared" si="3"/>
        <v>133</v>
      </c>
      <c r="S269" s="5" t="s">
        <v>47</v>
      </c>
    </row>
    <row r="270">
      <c r="A270" s="1" t="s">
        <v>498</v>
      </c>
      <c r="B270" s="2">
        <v>26.0</v>
      </c>
      <c r="C270" s="1" t="s">
        <v>41</v>
      </c>
      <c r="D270" s="1" t="s">
        <v>28</v>
      </c>
      <c r="E270" s="4">
        <v>0.23402777777777778</v>
      </c>
      <c r="F270" s="1" t="s">
        <v>488</v>
      </c>
      <c r="G270" s="1" t="s">
        <v>30</v>
      </c>
      <c r="H270" s="4">
        <v>0.4986111111111111</v>
      </c>
      <c r="I270" s="1" t="s">
        <v>277</v>
      </c>
      <c r="J270" s="1" t="s">
        <v>28</v>
      </c>
      <c r="K270" s="4">
        <v>0.7486111111111111</v>
      </c>
      <c r="L270" s="1" t="s">
        <v>59</v>
      </c>
      <c r="P270" s="1">
        <f t="shared" si="1"/>
        <v>139</v>
      </c>
      <c r="Q270" s="1">
        <f t="shared" si="2"/>
        <v>74</v>
      </c>
      <c r="R270" s="5">
        <f t="shared" si="3"/>
        <v>139</v>
      </c>
      <c r="S270" s="5" t="s">
        <v>47</v>
      </c>
    </row>
    <row r="271">
      <c r="A271" s="1" t="s">
        <v>498</v>
      </c>
      <c r="B271" s="2">
        <v>27.0</v>
      </c>
      <c r="C271" s="1" t="s">
        <v>55</v>
      </c>
      <c r="D271" s="1" t="s">
        <v>30</v>
      </c>
      <c r="E271" s="4">
        <v>0.004861111111111111</v>
      </c>
      <c r="F271" s="1" t="s">
        <v>58</v>
      </c>
      <c r="G271" s="1" t="s">
        <v>28</v>
      </c>
      <c r="H271" s="4">
        <v>0.25833333333333336</v>
      </c>
      <c r="I271" s="1" t="s">
        <v>451</v>
      </c>
      <c r="J271" s="1" t="s">
        <v>30</v>
      </c>
      <c r="K271" s="4">
        <v>0.5166666666666667</v>
      </c>
      <c r="L271" s="1" t="s">
        <v>277</v>
      </c>
      <c r="M271" s="1" t="s">
        <v>28</v>
      </c>
      <c r="N271" s="4">
        <v>0.7673611111111112</v>
      </c>
      <c r="O271" s="1" t="s">
        <v>488</v>
      </c>
      <c r="P271" s="1">
        <f t="shared" si="1"/>
        <v>146</v>
      </c>
      <c r="Q271" s="1">
        <f t="shared" si="2"/>
        <v>139</v>
      </c>
      <c r="R271" s="5">
        <f t="shared" si="3"/>
        <v>146</v>
      </c>
      <c r="S271" s="5" t="s">
        <v>47</v>
      </c>
    </row>
    <row r="272">
      <c r="A272" s="1" t="s">
        <v>498</v>
      </c>
      <c r="B272" s="2">
        <v>28.0</v>
      </c>
      <c r="C272" s="1" t="s">
        <v>25</v>
      </c>
      <c r="D272" s="1" t="s">
        <v>30</v>
      </c>
      <c r="E272" s="4">
        <v>0.029861111111111113</v>
      </c>
      <c r="F272" s="1" t="s">
        <v>185</v>
      </c>
      <c r="G272" s="1" t="s">
        <v>28</v>
      </c>
      <c r="H272" s="4">
        <v>0.2826388888888889</v>
      </c>
      <c r="I272" s="1" t="s">
        <v>497</v>
      </c>
      <c r="J272" s="1" t="s">
        <v>30</v>
      </c>
      <c r="K272" s="4">
        <v>0.5347222222222222</v>
      </c>
      <c r="L272" s="1" t="s">
        <v>469</v>
      </c>
      <c r="M272" s="1" t="s">
        <v>28</v>
      </c>
      <c r="N272" s="4">
        <v>0.7875</v>
      </c>
      <c r="O272" s="1" t="s">
        <v>484</v>
      </c>
      <c r="P272" s="1">
        <f t="shared" si="1"/>
        <v>149</v>
      </c>
      <c r="Q272" s="1">
        <f t="shared" si="2"/>
        <v>140</v>
      </c>
      <c r="R272" s="5">
        <f t="shared" si="3"/>
        <v>149</v>
      </c>
      <c r="S272" s="5" t="s">
        <v>47</v>
      </c>
    </row>
    <row r="273">
      <c r="A273" s="1" t="s">
        <v>498</v>
      </c>
      <c r="B273" s="2">
        <v>29.0</v>
      </c>
      <c r="C273" s="1" t="s">
        <v>75</v>
      </c>
      <c r="D273" s="1" t="s">
        <v>30</v>
      </c>
      <c r="E273" s="4">
        <v>0.05555555555555555</v>
      </c>
      <c r="F273" s="1" t="s">
        <v>252</v>
      </c>
      <c r="G273" s="1" t="s">
        <v>28</v>
      </c>
      <c r="H273" s="4">
        <v>0.30833333333333335</v>
      </c>
      <c r="I273" s="1" t="s">
        <v>338</v>
      </c>
      <c r="J273" s="1" t="s">
        <v>30</v>
      </c>
      <c r="K273" s="4">
        <v>0.5541666666666667</v>
      </c>
      <c r="L273" s="1" t="s">
        <v>118</v>
      </c>
      <c r="M273" s="1" t="s">
        <v>28</v>
      </c>
      <c r="N273" s="4">
        <v>0.8097222222222222</v>
      </c>
      <c r="O273" s="1" t="s">
        <v>484</v>
      </c>
      <c r="P273" s="1">
        <f t="shared" si="1"/>
        <v>144</v>
      </c>
      <c r="Q273" s="1">
        <f t="shared" si="2"/>
        <v>135</v>
      </c>
      <c r="R273" s="5">
        <f t="shared" si="3"/>
        <v>144</v>
      </c>
      <c r="S273" s="5" t="s">
        <v>47</v>
      </c>
    </row>
    <row r="274">
      <c r="A274" s="1" t="s">
        <v>498</v>
      </c>
      <c r="B274" s="2">
        <v>30.0</v>
      </c>
      <c r="C274" s="1" t="s">
        <v>86</v>
      </c>
      <c r="D274" s="1" t="s">
        <v>30</v>
      </c>
      <c r="E274" s="4">
        <v>0.08333333333333333</v>
      </c>
      <c r="F274" s="1" t="s">
        <v>215</v>
      </c>
      <c r="G274" s="1" t="s">
        <v>28</v>
      </c>
      <c r="H274" s="4">
        <v>0.33541666666666664</v>
      </c>
      <c r="I274" s="1" t="s">
        <v>147</v>
      </c>
      <c r="J274" s="1" t="s">
        <v>30</v>
      </c>
      <c r="K274" s="4">
        <v>0.5736111111111111</v>
      </c>
      <c r="L274" s="1" t="s">
        <v>446</v>
      </c>
      <c r="M274" s="1" t="s">
        <v>28</v>
      </c>
      <c r="N274" s="4">
        <v>0.8340277777777778</v>
      </c>
      <c r="O274" s="1" t="s">
        <v>488</v>
      </c>
      <c r="P274" s="1">
        <f t="shared" si="1"/>
        <v>128</v>
      </c>
      <c r="Q274" s="1">
        <f t="shared" si="2"/>
        <v>123</v>
      </c>
      <c r="R274" s="5">
        <f t="shared" si="3"/>
        <v>128</v>
      </c>
      <c r="S274" s="5" t="s">
        <v>47</v>
      </c>
    </row>
    <row r="275">
      <c r="A275" s="1" t="s">
        <v>502</v>
      </c>
      <c r="B275" s="2">
        <v>1.0</v>
      </c>
      <c r="C275" s="1" t="s">
        <v>26</v>
      </c>
      <c r="D275" s="1" t="s">
        <v>30</v>
      </c>
      <c r="E275" s="4">
        <v>0.11458333333333333</v>
      </c>
      <c r="F275" s="1" t="s">
        <v>182</v>
      </c>
      <c r="G275" s="1" t="s">
        <v>28</v>
      </c>
      <c r="H275" s="4">
        <v>0.3659722222222222</v>
      </c>
      <c r="I275" s="1" t="s">
        <v>192</v>
      </c>
      <c r="J275" s="1" t="s">
        <v>30</v>
      </c>
      <c r="K275" s="4">
        <v>0.5951388888888889</v>
      </c>
      <c r="L275" s="1" t="s">
        <v>295</v>
      </c>
      <c r="M275" s="1" t="s">
        <v>28</v>
      </c>
      <c r="N275" s="4">
        <v>0.8618055555555556</v>
      </c>
      <c r="O275" s="1" t="s">
        <v>59</v>
      </c>
      <c r="P275" s="1">
        <f t="shared" si="1"/>
        <v>105</v>
      </c>
      <c r="Q275" s="1">
        <f t="shared" si="2"/>
        <v>106</v>
      </c>
      <c r="R275" s="5">
        <f t="shared" si="3"/>
        <v>106</v>
      </c>
      <c r="S275" s="5" t="s">
        <v>90</v>
      </c>
    </row>
    <row r="276">
      <c r="A276" s="1" t="s">
        <v>502</v>
      </c>
      <c r="B276" s="2">
        <v>2.0</v>
      </c>
      <c r="C276" s="1" t="s">
        <v>34</v>
      </c>
      <c r="D276" s="1" t="s">
        <v>30</v>
      </c>
      <c r="E276" s="4">
        <v>0.15347222222222223</v>
      </c>
      <c r="F276" s="1" t="s">
        <v>37</v>
      </c>
      <c r="G276" s="1" t="s">
        <v>28</v>
      </c>
      <c r="H276" s="4">
        <v>0.4048611111111111</v>
      </c>
      <c r="I276" s="1" t="s">
        <v>173</v>
      </c>
      <c r="J276" s="1" t="s">
        <v>30</v>
      </c>
      <c r="K276" s="4">
        <v>0.6201388888888889</v>
      </c>
      <c r="L276" s="1" t="s">
        <v>355</v>
      </c>
      <c r="M276" s="1" t="s">
        <v>28</v>
      </c>
      <c r="N276" s="4">
        <v>0.8972222222222223</v>
      </c>
      <c r="O276" s="1" t="s">
        <v>78</v>
      </c>
      <c r="P276" s="1">
        <f t="shared" si="1"/>
        <v>76</v>
      </c>
      <c r="Q276" s="1">
        <f t="shared" si="2"/>
        <v>83</v>
      </c>
      <c r="R276" s="5">
        <f t="shared" si="3"/>
        <v>83</v>
      </c>
      <c r="S276" s="5" t="s">
        <v>39</v>
      </c>
    </row>
    <row r="277">
      <c r="A277" s="1" t="s">
        <v>502</v>
      </c>
      <c r="B277" s="2">
        <v>3.0</v>
      </c>
      <c r="C277" s="1" t="s">
        <v>41</v>
      </c>
      <c r="D277" s="1" t="s">
        <v>30</v>
      </c>
      <c r="E277" s="4">
        <v>0.20694444444444443</v>
      </c>
      <c r="F277" s="1" t="s">
        <v>117</v>
      </c>
      <c r="G277" s="1" t="s">
        <v>28</v>
      </c>
      <c r="H277" s="4">
        <v>0.47152777777777777</v>
      </c>
      <c r="I277" s="1" t="s">
        <v>145</v>
      </c>
      <c r="J277" s="1" t="s">
        <v>30</v>
      </c>
      <c r="K277" s="4">
        <v>0.6576388888888889</v>
      </c>
      <c r="L277" s="1" t="s">
        <v>225</v>
      </c>
      <c r="M277" s="1" t="s">
        <v>28</v>
      </c>
      <c r="N277" s="4">
        <v>0.95</v>
      </c>
      <c r="O277" s="1" t="s">
        <v>307</v>
      </c>
      <c r="P277" s="1">
        <f t="shared" si="1"/>
        <v>52</v>
      </c>
      <c r="Q277" s="1">
        <f t="shared" si="2"/>
        <v>60</v>
      </c>
      <c r="R277" s="5">
        <f t="shared" si="3"/>
        <v>60</v>
      </c>
      <c r="S277" s="5" t="s">
        <v>39</v>
      </c>
    </row>
    <row r="278">
      <c r="A278" s="1" t="s">
        <v>502</v>
      </c>
      <c r="B278" s="2">
        <v>4.0</v>
      </c>
      <c r="C278" s="1" t="s">
        <v>55</v>
      </c>
      <c r="D278" s="1" t="s">
        <v>30</v>
      </c>
      <c r="E278" s="4">
        <v>0.28958333333333336</v>
      </c>
      <c r="F278" s="1" t="s">
        <v>127</v>
      </c>
      <c r="G278" s="1" t="s">
        <v>28</v>
      </c>
      <c r="H278" s="4">
        <v>0.575</v>
      </c>
      <c r="I278" s="1" t="s">
        <v>359</v>
      </c>
      <c r="J278" s="1" t="s">
        <v>30</v>
      </c>
      <c r="K278" s="4">
        <v>0.7444444444444445</v>
      </c>
      <c r="L278" s="1" t="s">
        <v>130</v>
      </c>
      <c r="P278" s="1">
        <f t="shared" si="1"/>
        <v>49</v>
      </c>
      <c r="Q278" s="1">
        <f t="shared" si="2"/>
        <v>2</v>
      </c>
      <c r="R278" s="5">
        <f t="shared" si="3"/>
        <v>49</v>
      </c>
      <c r="S278" s="5" t="s">
        <v>39</v>
      </c>
    </row>
    <row r="279">
      <c r="A279" s="1" t="s">
        <v>502</v>
      </c>
      <c r="B279" s="2">
        <v>5.0</v>
      </c>
      <c r="C279" s="1" t="s">
        <v>25</v>
      </c>
      <c r="D279" s="1" t="s">
        <v>28</v>
      </c>
      <c r="E279" s="4">
        <v>0.03194444444444444</v>
      </c>
      <c r="F279" s="1" t="s">
        <v>335</v>
      </c>
      <c r="G279" s="1" t="s">
        <v>30</v>
      </c>
      <c r="H279" s="4">
        <v>0.35833333333333334</v>
      </c>
      <c r="I279" s="1" t="s">
        <v>223</v>
      </c>
      <c r="J279" s="1" t="s">
        <v>28</v>
      </c>
      <c r="K279" s="4">
        <v>0.6291666666666667</v>
      </c>
      <c r="L279" s="1" t="s">
        <v>296</v>
      </c>
      <c r="M279" s="1" t="s">
        <v>30</v>
      </c>
      <c r="N279" s="4">
        <v>0.8423611111111111</v>
      </c>
      <c r="O279" s="1" t="s">
        <v>225</v>
      </c>
      <c r="P279" s="1">
        <f t="shared" si="1"/>
        <v>92</v>
      </c>
      <c r="Q279" s="1">
        <f t="shared" si="2"/>
        <v>29</v>
      </c>
      <c r="R279" s="5">
        <f t="shared" si="3"/>
        <v>92</v>
      </c>
      <c r="S279" s="5" t="s">
        <v>90</v>
      </c>
    </row>
    <row r="280">
      <c r="A280" s="1" t="s">
        <v>502</v>
      </c>
      <c r="B280" s="2">
        <v>6.0</v>
      </c>
      <c r="C280" s="1" t="s">
        <v>75</v>
      </c>
      <c r="D280" s="1" t="s">
        <v>28</v>
      </c>
      <c r="E280" s="4">
        <v>0.10138888888888889</v>
      </c>
      <c r="F280" s="1" t="s">
        <v>267</v>
      </c>
      <c r="G280" s="1" t="s">
        <v>30</v>
      </c>
      <c r="H280" s="4">
        <v>0.3993055555555556</v>
      </c>
      <c r="I280" s="1" t="s">
        <v>469</v>
      </c>
      <c r="J280" s="1" t="s">
        <v>28</v>
      </c>
      <c r="K280" s="4">
        <v>0.6576388888888889</v>
      </c>
      <c r="L280" s="1" t="s">
        <v>100</v>
      </c>
      <c r="M280" s="1" t="s">
        <v>30</v>
      </c>
      <c r="N280" s="4">
        <v>0.8944444444444445</v>
      </c>
      <c r="O280" s="1" t="s">
        <v>334</v>
      </c>
      <c r="P280" s="1">
        <f t="shared" si="1"/>
        <v>107</v>
      </c>
      <c r="Q280" s="1">
        <f t="shared" si="2"/>
        <v>58</v>
      </c>
      <c r="R280" s="5">
        <f t="shared" si="3"/>
        <v>107</v>
      </c>
      <c r="S280" s="5" t="s">
        <v>90</v>
      </c>
    </row>
    <row r="281">
      <c r="A281" s="1" t="s">
        <v>502</v>
      </c>
      <c r="B281" s="2">
        <v>7.0</v>
      </c>
      <c r="C281" s="1" t="s">
        <v>86</v>
      </c>
      <c r="D281" s="1" t="s">
        <v>28</v>
      </c>
      <c r="E281" s="4">
        <v>0.14652777777777778</v>
      </c>
      <c r="F281" s="1" t="s">
        <v>167</v>
      </c>
      <c r="G281" s="1" t="s">
        <v>30</v>
      </c>
      <c r="H281" s="4">
        <v>0.42916666666666664</v>
      </c>
      <c r="I281" s="1" t="s">
        <v>45</v>
      </c>
      <c r="J281" s="1" t="s">
        <v>28</v>
      </c>
      <c r="K281" s="4">
        <v>0.6805555555555556</v>
      </c>
      <c r="L281" s="1" t="s">
        <v>335</v>
      </c>
      <c r="M281" s="1" t="s">
        <v>30</v>
      </c>
      <c r="N281" s="4">
        <v>0.9291666666666667</v>
      </c>
      <c r="O281" s="1" t="s">
        <v>446</v>
      </c>
      <c r="P281" s="1">
        <f t="shared" si="1"/>
        <v>122</v>
      </c>
      <c r="Q281" s="1">
        <f t="shared" si="2"/>
        <v>87</v>
      </c>
      <c r="R281" s="5">
        <f t="shared" si="3"/>
        <v>122</v>
      </c>
      <c r="S281" s="5" t="s">
        <v>90</v>
      </c>
    </row>
    <row r="282">
      <c r="A282" s="1" t="s">
        <v>502</v>
      </c>
      <c r="B282" s="2">
        <v>8.0</v>
      </c>
      <c r="C282" s="1" t="s">
        <v>26</v>
      </c>
      <c r="D282" s="1" t="s">
        <v>28</v>
      </c>
      <c r="E282" s="4">
        <v>0.18125</v>
      </c>
      <c r="F282" s="1" t="s">
        <v>412</v>
      </c>
      <c r="G282" s="1" t="s">
        <v>30</v>
      </c>
      <c r="H282" s="4">
        <v>0.4534722222222222</v>
      </c>
      <c r="I282" s="1" t="s">
        <v>110</v>
      </c>
      <c r="J282" s="1" t="s">
        <v>28</v>
      </c>
      <c r="K282" s="4">
        <v>0.7013888888888888</v>
      </c>
      <c r="L282" s="1" t="s">
        <v>388</v>
      </c>
      <c r="M282" s="1" t="s">
        <v>30</v>
      </c>
      <c r="N282" s="4">
        <v>0.9576388888888889</v>
      </c>
      <c r="O282" s="1" t="s">
        <v>37</v>
      </c>
      <c r="P282" s="1">
        <f t="shared" si="1"/>
        <v>131</v>
      </c>
      <c r="Q282" s="1">
        <f t="shared" si="2"/>
        <v>111</v>
      </c>
      <c r="R282" s="5">
        <f t="shared" si="3"/>
        <v>131</v>
      </c>
      <c r="S282" s="5" t="s">
        <v>47</v>
      </c>
    </row>
    <row r="283">
      <c r="A283" s="1" t="s">
        <v>502</v>
      </c>
      <c r="B283" s="2">
        <v>9.0</v>
      </c>
      <c r="C283" s="1" t="s">
        <v>34</v>
      </c>
      <c r="D283" s="1" t="s">
        <v>28</v>
      </c>
      <c r="E283" s="4">
        <v>0.2111111111111111</v>
      </c>
      <c r="F283" s="1" t="s">
        <v>205</v>
      </c>
      <c r="G283" s="1" t="s">
        <v>30</v>
      </c>
      <c r="H283" s="4">
        <v>0.47430555555555554</v>
      </c>
      <c r="I283" s="1" t="s">
        <v>186</v>
      </c>
      <c r="J283" s="1" t="s">
        <v>28</v>
      </c>
      <c r="K283" s="4">
        <v>0.7215277777777778</v>
      </c>
      <c r="L283" s="1" t="s">
        <v>38</v>
      </c>
      <c r="M283" s="1" t="s">
        <v>30</v>
      </c>
      <c r="N283" s="4">
        <v>0.9833333333333333</v>
      </c>
      <c r="O283" s="1" t="s">
        <v>182</v>
      </c>
      <c r="P283" s="1">
        <f t="shared" si="1"/>
        <v>133</v>
      </c>
      <c r="Q283" s="1">
        <f t="shared" si="2"/>
        <v>131</v>
      </c>
      <c r="R283" s="5">
        <f t="shared" si="3"/>
        <v>133</v>
      </c>
      <c r="S283" s="5" t="s">
        <v>47</v>
      </c>
    </row>
    <row r="284">
      <c r="A284" s="1" t="s">
        <v>502</v>
      </c>
      <c r="B284" s="2">
        <v>10.0</v>
      </c>
      <c r="C284" s="1" t="s">
        <v>41</v>
      </c>
      <c r="D284" s="1" t="s">
        <v>28</v>
      </c>
      <c r="E284" s="4">
        <v>0.23819444444444443</v>
      </c>
      <c r="F284" s="1" t="s">
        <v>67</v>
      </c>
      <c r="G284" s="1" t="s">
        <v>30</v>
      </c>
      <c r="H284" s="4">
        <v>0.4930555555555556</v>
      </c>
      <c r="I284" s="1" t="s">
        <v>277</v>
      </c>
      <c r="J284" s="1" t="s">
        <v>28</v>
      </c>
      <c r="K284" s="4">
        <v>0.7409722222222223</v>
      </c>
      <c r="L284" s="1" t="s">
        <v>67</v>
      </c>
      <c r="P284" s="1">
        <f t="shared" si="1"/>
        <v>128</v>
      </c>
      <c r="Q284" s="1">
        <f t="shared" si="2"/>
        <v>71</v>
      </c>
      <c r="R284" s="5">
        <f t="shared" si="3"/>
        <v>128</v>
      </c>
      <c r="S284" s="5" t="s">
        <v>47</v>
      </c>
    </row>
    <row r="285">
      <c r="A285" s="1" t="s">
        <v>502</v>
      </c>
      <c r="B285" s="2">
        <v>11.0</v>
      </c>
      <c r="C285" s="1" t="s">
        <v>55</v>
      </c>
      <c r="D285" s="1" t="s">
        <v>30</v>
      </c>
      <c r="E285" s="4">
        <v>0.007638888888888889</v>
      </c>
      <c r="F285" s="1" t="s">
        <v>108</v>
      </c>
      <c r="G285" s="1" t="s">
        <v>28</v>
      </c>
      <c r="H285" s="4">
        <v>0.26319444444444445</v>
      </c>
      <c r="I285" s="1" t="s">
        <v>38</v>
      </c>
      <c r="J285" s="1" t="s">
        <v>30</v>
      </c>
      <c r="K285" s="4">
        <v>0.5104166666666666</v>
      </c>
      <c r="L285" s="1" t="s">
        <v>257</v>
      </c>
      <c r="M285" s="1" t="s">
        <v>28</v>
      </c>
      <c r="N285" s="4">
        <v>0.7604166666666666</v>
      </c>
      <c r="O285" s="1" t="s">
        <v>59</v>
      </c>
      <c r="P285" s="1">
        <f t="shared" si="1"/>
        <v>137</v>
      </c>
      <c r="Q285" s="1">
        <f t="shared" si="2"/>
        <v>127</v>
      </c>
      <c r="R285" s="5">
        <f t="shared" si="3"/>
        <v>137</v>
      </c>
      <c r="S285" s="5" t="s">
        <v>47</v>
      </c>
    </row>
    <row r="286">
      <c r="A286" s="1" t="s">
        <v>502</v>
      </c>
      <c r="B286" s="2">
        <v>12.0</v>
      </c>
      <c r="C286" s="1" t="s">
        <v>25</v>
      </c>
      <c r="D286" s="1" t="s">
        <v>30</v>
      </c>
      <c r="E286" s="4">
        <v>0.030555555555555555</v>
      </c>
      <c r="F286" s="1" t="s">
        <v>293</v>
      </c>
      <c r="G286" s="1" t="s">
        <v>28</v>
      </c>
      <c r="H286" s="4">
        <v>0.2875</v>
      </c>
      <c r="I286" s="1" t="s">
        <v>388</v>
      </c>
      <c r="J286" s="1" t="s">
        <v>30</v>
      </c>
      <c r="K286" s="4">
        <v>0.5270833333333333</v>
      </c>
      <c r="L286" s="1" t="s">
        <v>200</v>
      </c>
      <c r="M286" s="1" t="s">
        <v>28</v>
      </c>
      <c r="N286" s="4">
        <v>0.7798611111111111</v>
      </c>
      <c r="O286" s="1" t="s">
        <v>59</v>
      </c>
      <c r="P286" s="1">
        <f t="shared" si="1"/>
        <v>130</v>
      </c>
      <c r="Q286" s="1">
        <f t="shared" si="2"/>
        <v>122</v>
      </c>
      <c r="R286" s="5">
        <f t="shared" si="3"/>
        <v>130</v>
      </c>
      <c r="S286" s="5" t="s">
        <v>47</v>
      </c>
    </row>
    <row r="287">
      <c r="A287" s="1" t="s">
        <v>502</v>
      </c>
      <c r="B287" s="2">
        <v>13.0</v>
      </c>
      <c r="C287" s="1" t="s">
        <v>75</v>
      </c>
      <c r="D287" s="1" t="s">
        <v>30</v>
      </c>
      <c r="E287" s="4">
        <v>0.05347222222222222</v>
      </c>
      <c r="F287" s="1" t="s">
        <v>215</v>
      </c>
      <c r="G287" s="1" t="s">
        <v>28</v>
      </c>
      <c r="H287" s="4">
        <v>0.3104166666666667</v>
      </c>
      <c r="I287" s="1" t="s">
        <v>335</v>
      </c>
      <c r="J287" s="1" t="s">
        <v>30</v>
      </c>
      <c r="K287" s="4">
        <v>0.54375</v>
      </c>
      <c r="L287" s="1" t="s">
        <v>224</v>
      </c>
      <c r="M287" s="1" t="s">
        <v>28</v>
      </c>
      <c r="N287" s="4">
        <v>0.7986111111111112</v>
      </c>
      <c r="O287" s="1" t="s">
        <v>67</v>
      </c>
      <c r="P287" s="1">
        <f t="shared" si="1"/>
        <v>119</v>
      </c>
      <c r="Q287" s="1">
        <f t="shared" si="2"/>
        <v>114</v>
      </c>
      <c r="R287" s="5">
        <f t="shared" si="3"/>
        <v>119</v>
      </c>
      <c r="S287" s="5" t="s">
        <v>90</v>
      </c>
    </row>
    <row r="288">
      <c r="A288" s="1" t="s">
        <v>502</v>
      </c>
      <c r="B288" s="2">
        <v>14.0</v>
      </c>
      <c r="C288" s="1" t="s">
        <v>86</v>
      </c>
      <c r="D288" s="1" t="s">
        <v>30</v>
      </c>
      <c r="E288" s="4">
        <v>0.0763888888888889</v>
      </c>
      <c r="F288" s="1" t="s">
        <v>174</v>
      </c>
      <c r="G288" s="1" t="s">
        <v>28</v>
      </c>
      <c r="H288" s="4">
        <v>0.33402777777777776</v>
      </c>
      <c r="I288" s="1" t="s">
        <v>218</v>
      </c>
      <c r="J288" s="1" t="s">
        <v>30</v>
      </c>
      <c r="K288" s="4">
        <v>0.5611111111111111</v>
      </c>
      <c r="L288" s="1" t="s">
        <v>122</v>
      </c>
      <c r="M288" s="1" t="s">
        <v>28</v>
      </c>
      <c r="N288" s="4">
        <v>0.81875</v>
      </c>
      <c r="O288" s="1" t="s">
        <v>385</v>
      </c>
      <c r="P288" s="1">
        <f t="shared" si="1"/>
        <v>102</v>
      </c>
      <c r="Q288" s="1">
        <f t="shared" si="2"/>
        <v>103</v>
      </c>
      <c r="R288" s="5">
        <f t="shared" si="3"/>
        <v>103</v>
      </c>
      <c r="S288" s="5" t="s">
        <v>90</v>
      </c>
    </row>
    <row r="289">
      <c r="A289" s="1" t="s">
        <v>502</v>
      </c>
      <c r="B289" s="2">
        <v>15.0</v>
      </c>
      <c r="C289" s="1" t="s">
        <v>26</v>
      </c>
      <c r="D289" s="1" t="s">
        <v>30</v>
      </c>
      <c r="E289" s="4">
        <v>0.10069444444444445</v>
      </c>
      <c r="F289" s="1" t="s">
        <v>186</v>
      </c>
      <c r="G289" s="1" t="s">
        <v>28</v>
      </c>
      <c r="H289" s="4">
        <v>0.3576388888888889</v>
      </c>
      <c r="I289" s="1" t="s">
        <v>123</v>
      </c>
      <c r="J289" s="1" t="s">
        <v>30</v>
      </c>
      <c r="K289" s="4">
        <v>0.5791666666666667</v>
      </c>
      <c r="L289" s="1" t="s">
        <v>391</v>
      </c>
      <c r="M289" s="1" t="s">
        <v>28</v>
      </c>
      <c r="N289" s="4">
        <v>0.8402777777777778</v>
      </c>
      <c r="O289" s="1" t="s">
        <v>337</v>
      </c>
      <c r="P289" s="1">
        <f t="shared" si="1"/>
        <v>83</v>
      </c>
      <c r="Q289" s="1">
        <f t="shared" si="2"/>
        <v>89</v>
      </c>
      <c r="R289" s="5">
        <f t="shared" si="3"/>
        <v>89</v>
      </c>
      <c r="S289" s="5" t="s">
        <v>39</v>
      </c>
    </row>
    <row r="290">
      <c r="A290" s="1" t="s">
        <v>502</v>
      </c>
      <c r="B290" s="2">
        <v>16.0</v>
      </c>
      <c r="C290" s="1" t="s">
        <v>34</v>
      </c>
      <c r="D290" s="1" t="s">
        <v>30</v>
      </c>
      <c r="E290" s="4">
        <v>0.12708333333333333</v>
      </c>
      <c r="F290" s="1" t="s">
        <v>114</v>
      </c>
      <c r="G290" s="1" t="s">
        <v>28</v>
      </c>
      <c r="H290" s="4">
        <v>0.3854166666666667</v>
      </c>
      <c r="I290" s="1" t="s">
        <v>57</v>
      </c>
      <c r="J290" s="1" t="s">
        <v>30</v>
      </c>
      <c r="K290" s="4">
        <v>0.5986111111111111</v>
      </c>
      <c r="L290" s="1" t="s">
        <v>241</v>
      </c>
      <c r="M290" s="1" t="s">
        <v>28</v>
      </c>
      <c r="N290" s="4">
        <v>0.8652777777777778</v>
      </c>
      <c r="O290" s="1" t="s">
        <v>265</v>
      </c>
      <c r="P290" s="1">
        <f t="shared" si="1"/>
        <v>64</v>
      </c>
      <c r="Q290" s="1">
        <f t="shared" si="2"/>
        <v>73</v>
      </c>
      <c r="R290" s="5">
        <f t="shared" si="3"/>
        <v>73</v>
      </c>
      <c r="S290" s="5" t="s">
        <v>39</v>
      </c>
    </row>
    <row r="291">
      <c r="A291" s="1" t="s">
        <v>502</v>
      </c>
      <c r="B291" s="2">
        <v>17.0</v>
      </c>
      <c r="C291" s="1" t="s">
        <v>41</v>
      </c>
      <c r="D291" s="1" t="s">
        <v>30</v>
      </c>
      <c r="E291" s="4">
        <v>0.16041666666666668</v>
      </c>
      <c r="F291" s="1" t="s">
        <v>446</v>
      </c>
      <c r="G291" s="1" t="s">
        <v>28</v>
      </c>
      <c r="H291" s="4">
        <v>0.4263888888888889</v>
      </c>
      <c r="I291" s="1" t="s">
        <v>249</v>
      </c>
      <c r="J291" s="1" t="s">
        <v>30</v>
      </c>
      <c r="K291" s="4">
        <v>0.6222222222222222</v>
      </c>
      <c r="L291" s="1" t="s">
        <v>427</v>
      </c>
      <c r="M291" s="1" t="s">
        <v>28</v>
      </c>
      <c r="N291" s="4">
        <v>0.8958333333333334</v>
      </c>
      <c r="O291" s="1" t="s">
        <v>131</v>
      </c>
      <c r="P291" s="1">
        <f t="shared" si="1"/>
        <v>45</v>
      </c>
      <c r="Q291" s="1">
        <f t="shared" si="2"/>
        <v>55</v>
      </c>
      <c r="R291" s="5">
        <f t="shared" si="3"/>
        <v>55</v>
      </c>
      <c r="S291" s="5" t="s">
        <v>39</v>
      </c>
    </row>
    <row r="292">
      <c r="A292" s="1" t="s">
        <v>502</v>
      </c>
      <c r="B292" s="2">
        <v>18.0</v>
      </c>
      <c r="C292" s="1" t="s">
        <v>55</v>
      </c>
      <c r="D292" s="1" t="s">
        <v>30</v>
      </c>
      <c r="E292" s="4">
        <v>0.21041666666666667</v>
      </c>
      <c r="F292" s="1" t="s">
        <v>295</v>
      </c>
      <c r="G292" s="1" t="s">
        <v>28</v>
      </c>
      <c r="H292" s="4">
        <v>0.5097222222222222</v>
      </c>
      <c r="I292" s="1" t="s">
        <v>187</v>
      </c>
      <c r="J292" s="1" t="s">
        <v>30</v>
      </c>
      <c r="K292" s="4">
        <v>0.6659722222222222</v>
      </c>
      <c r="L292" s="1" t="s">
        <v>331</v>
      </c>
      <c r="M292" s="1" t="s">
        <v>28</v>
      </c>
      <c r="N292" s="4">
        <v>0.94375</v>
      </c>
      <c r="O292" s="1" t="s">
        <v>128</v>
      </c>
      <c r="P292" s="1">
        <f t="shared" si="1"/>
        <v>32</v>
      </c>
      <c r="Q292" s="1">
        <f t="shared" si="2"/>
        <v>38</v>
      </c>
      <c r="R292" s="5">
        <f t="shared" si="3"/>
        <v>38</v>
      </c>
      <c r="S292" s="5" t="s">
        <v>39</v>
      </c>
    </row>
    <row r="293">
      <c r="A293" s="1" t="s">
        <v>502</v>
      </c>
      <c r="B293" s="2">
        <v>19.0</v>
      </c>
      <c r="C293" s="1" t="s">
        <v>25</v>
      </c>
      <c r="D293" s="1" t="s">
        <v>30</v>
      </c>
      <c r="E293" s="4">
        <v>0.2916666666666667</v>
      </c>
      <c r="F293" s="1" t="s">
        <v>327</v>
      </c>
      <c r="G293" s="1" t="s">
        <v>28</v>
      </c>
      <c r="H293" s="4">
        <v>0.5868055555555556</v>
      </c>
      <c r="I293" s="1" t="s">
        <v>222</v>
      </c>
      <c r="J293" s="1" t="s">
        <v>30</v>
      </c>
      <c r="K293" s="4">
        <v>0.7597222222222222</v>
      </c>
      <c r="L293" s="1" t="s">
        <v>356</v>
      </c>
      <c r="P293" s="1">
        <f t="shared" si="1"/>
        <v>34</v>
      </c>
      <c r="Q293" s="1">
        <f t="shared" si="2"/>
        <v>3</v>
      </c>
      <c r="R293" s="5">
        <f t="shared" si="3"/>
        <v>34</v>
      </c>
      <c r="S293" s="5" t="s">
        <v>39</v>
      </c>
    </row>
    <row r="294">
      <c r="A294" s="1" t="s">
        <v>502</v>
      </c>
      <c r="B294" s="2">
        <v>20.0</v>
      </c>
      <c r="C294" s="1" t="s">
        <v>75</v>
      </c>
      <c r="D294" s="1" t="s">
        <v>28</v>
      </c>
      <c r="E294" s="4">
        <v>0.02361111111111111</v>
      </c>
      <c r="F294" s="1" t="s">
        <v>189</v>
      </c>
      <c r="G294" s="1" t="s">
        <v>30</v>
      </c>
      <c r="H294" s="4">
        <v>0.35138888888888886</v>
      </c>
      <c r="I294" s="1" t="s">
        <v>250</v>
      </c>
      <c r="J294" s="1" t="s">
        <v>28</v>
      </c>
      <c r="K294" s="4">
        <v>0.6229166666666667</v>
      </c>
      <c r="L294" s="1" t="s">
        <v>77</v>
      </c>
      <c r="M294" s="1" t="s">
        <v>30</v>
      </c>
      <c r="N294" s="4">
        <v>0.8381944444444445</v>
      </c>
      <c r="O294" s="1" t="s">
        <v>332</v>
      </c>
      <c r="P294" s="1">
        <f t="shared" si="1"/>
        <v>60</v>
      </c>
      <c r="Q294" s="1">
        <f t="shared" si="2"/>
        <v>26</v>
      </c>
      <c r="R294" s="5">
        <f t="shared" si="3"/>
        <v>60</v>
      </c>
      <c r="S294" s="5" t="s">
        <v>39</v>
      </c>
    </row>
    <row r="295">
      <c r="A295" s="1" t="s">
        <v>502</v>
      </c>
      <c r="B295" s="2">
        <v>21.0</v>
      </c>
      <c r="C295" s="1" t="s">
        <v>86</v>
      </c>
      <c r="D295" s="1" t="s">
        <v>28</v>
      </c>
      <c r="E295" s="4">
        <v>0.08958333333333333</v>
      </c>
      <c r="F295" s="1" t="s">
        <v>100</v>
      </c>
      <c r="G295" s="1" t="s">
        <v>30</v>
      </c>
      <c r="H295" s="4">
        <v>0.38472222222222224</v>
      </c>
      <c r="I295" s="1" t="s">
        <v>120</v>
      </c>
      <c r="J295" s="1" t="s">
        <v>28</v>
      </c>
      <c r="K295" s="4">
        <v>0.6451388888888889</v>
      </c>
      <c r="L295" s="1" t="s">
        <v>181</v>
      </c>
      <c r="M295" s="1" t="s">
        <v>30</v>
      </c>
      <c r="N295" s="4">
        <v>0.8819444444444444</v>
      </c>
      <c r="O295" s="1" t="s">
        <v>241</v>
      </c>
      <c r="P295" s="1">
        <f t="shared" si="1"/>
        <v>72</v>
      </c>
      <c r="Q295" s="1">
        <f t="shared" si="2"/>
        <v>51</v>
      </c>
      <c r="R295" s="5">
        <f t="shared" si="3"/>
        <v>72</v>
      </c>
      <c r="S295" s="5" t="s">
        <v>39</v>
      </c>
    </row>
    <row r="296">
      <c r="A296" s="1" t="s">
        <v>502</v>
      </c>
      <c r="B296" s="2">
        <v>22.0</v>
      </c>
      <c r="C296" s="1" t="s">
        <v>26</v>
      </c>
      <c r="D296" s="1" t="s">
        <v>28</v>
      </c>
      <c r="E296" s="4">
        <v>0.12986111111111112</v>
      </c>
      <c r="F296" s="1" t="s">
        <v>251</v>
      </c>
      <c r="G296" s="1" t="s">
        <v>30</v>
      </c>
      <c r="H296" s="4">
        <v>0.4083333333333333</v>
      </c>
      <c r="I296" s="1" t="s">
        <v>223</v>
      </c>
      <c r="J296" s="1" t="s">
        <v>28</v>
      </c>
      <c r="K296" s="4">
        <v>0.6638888888888889</v>
      </c>
      <c r="L296" s="1" t="s">
        <v>192</v>
      </c>
      <c r="M296" s="1" t="s">
        <v>30</v>
      </c>
      <c r="N296" s="4">
        <v>0.9125</v>
      </c>
      <c r="O296" s="1" t="s">
        <v>120</v>
      </c>
      <c r="P296" s="1">
        <f t="shared" si="1"/>
        <v>88</v>
      </c>
      <c r="Q296" s="1">
        <f t="shared" si="2"/>
        <v>78</v>
      </c>
      <c r="R296" s="5">
        <f t="shared" si="3"/>
        <v>88</v>
      </c>
      <c r="S296" s="5" t="s">
        <v>39</v>
      </c>
    </row>
    <row r="297">
      <c r="A297" s="1" t="s">
        <v>502</v>
      </c>
      <c r="B297" s="2">
        <v>23.0</v>
      </c>
      <c r="C297" s="1" t="s">
        <v>34</v>
      </c>
      <c r="D297" s="1" t="s">
        <v>28</v>
      </c>
      <c r="E297" s="4">
        <v>0.16180555555555556</v>
      </c>
      <c r="F297" s="1" t="s">
        <v>265</v>
      </c>
      <c r="G297" s="1" t="s">
        <v>30</v>
      </c>
      <c r="H297" s="4">
        <v>0.42916666666666664</v>
      </c>
      <c r="I297" s="1" t="s">
        <v>114</v>
      </c>
      <c r="J297" s="1" t="s">
        <v>28</v>
      </c>
      <c r="K297" s="4">
        <v>0.6819444444444445</v>
      </c>
      <c r="L297" s="1" t="s">
        <v>307</v>
      </c>
      <c r="M297" s="1" t="s">
        <v>30</v>
      </c>
      <c r="N297" s="4">
        <v>0.9388888888888889</v>
      </c>
      <c r="O297" s="1" t="s">
        <v>37</v>
      </c>
      <c r="P297" s="1">
        <f t="shared" si="1"/>
        <v>101</v>
      </c>
      <c r="Q297" s="1">
        <f t="shared" si="2"/>
        <v>106</v>
      </c>
      <c r="R297" s="5">
        <f t="shared" si="3"/>
        <v>106</v>
      </c>
      <c r="S297" s="5" t="s">
        <v>90</v>
      </c>
    </row>
    <row r="298">
      <c r="A298" s="1" t="s">
        <v>502</v>
      </c>
      <c r="B298" s="2">
        <v>24.0</v>
      </c>
      <c r="C298" s="1" t="s">
        <v>41</v>
      </c>
      <c r="D298" s="1" t="s">
        <v>28</v>
      </c>
      <c r="E298" s="4">
        <v>0.18958333333333333</v>
      </c>
      <c r="F298" s="1" t="s">
        <v>410</v>
      </c>
      <c r="G298" s="1" t="s">
        <v>30</v>
      </c>
      <c r="H298" s="4">
        <v>0.4486111111111111</v>
      </c>
      <c r="I298" s="1" t="s">
        <v>146</v>
      </c>
      <c r="J298" s="1" t="s">
        <v>28</v>
      </c>
      <c r="K298" s="4">
        <v>0.7006944444444444</v>
      </c>
      <c r="L298" s="1" t="s">
        <v>167</v>
      </c>
      <c r="M298" s="1" t="s">
        <v>30</v>
      </c>
      <c r="N298" s="4">
        <v>0.9638888888888889</v>
      </c>
      <c r="O298" s="1" t="s">
        <v>185</v>
      </c>
      <c r="P298" s="1">
        <f t="shared" si="1"/>
        <v>113</v>
      </c>
      <c r="Q298" s="1">
        <f t="shared" si="2"/>
        <v>134</v>
      </c>
      <c r="R298" s="5">
        <f t="shared" si="3"/>
        <v>134</v>
      </c>
      <c r="S298" s="5" t="s">
        <v>47</v>
      </c>
    </row>
    <row r="299">
      <c r="A299" s="1" t="s">
        <v>502</v>
      </c>
      <c r="B299" s="2">
        <v>25.0</v>
      </c>
      <c r="C299" s="1" t="s">
        <v>55</v>
      </c>
      <c r="D299" s="1" t="s">
        <v>28</v>
      </c>
      <c r="E299" s="4">
        <v>0.21666666666666667</v>
      </c>
      <c r="F299" s="1" t="s">
        <v>158</v>
      </c>
      <c r="G299" s="1" t="s">
        <v>30</v>
      </c>
      <c r="H299" s="4">
        <v>0.46875</v>
      </c>
      <c r="I299" s="1" t="s">
        <v>99</v>
      </c>
      <c r="J299" s="1" t="s">
        <v>28</v>
      </c>
      <c r="K299" s="4">
        <v>0.7208333333333333</v>
      </c>
      <c r="L299" s="1" t="s">
        <v>205</v>
      </c>
      <c r="M299" s="1" t="s">
        <v>30</v>
      </c>
      <c r="N299" s="4">
        <v>0.9895833333333334</v>
      </c>
      <c r="O299" s="1" t="s">
        <v>98</v>
      </c>
      <c r="P299" s="1">
        <f t="shared" si="1"/>
        <v>119</v>
      </c>
      <c r="Q299" s="1">
        <f t="shared" si="2"/>
        <v>157</v>
      </c>
      <c r="R299" s="5">
        <f t="shared" si="3"/>
        <v>157</v>
      </c>
      <c r="S299" s="5" t="s">
        <v>47</v>
      </c>
    </row>
    <row r="300">
      <c r="A300" s="1" t="s">
        <v>502</v>
      </c>
      <c r="B300" s="2">
        <v>26.0</v>
      </c>
      <c r="C300" s="1" t="s">
        <v>25</v>
      </c>
      <c r="D300" s="1" t="s">
        <v>28</v>
      </c>
      <c r="E300" s="4">
        <v>0.24444444444444444</v>
      </c>
      <c r="F300" s="1" t="s">
        <v>378</v>
      </c>
      <c r="G300" s="1" t="s">
        <v>30</v>
      </c>
      <c r="H300" s="4">
        <v>0.4895833333333333</v>
      </c>
      <c r="I300" s="1" t="s">
        <v>99</v>
      </c>
      <c r="J300" s="1" t="s">
        <v>28</v>
      </c>
      <c r="K300" s="4">
        <v>0.7430555555555556</v>
      </c>
      <c r="L300" s="1" t="s">
        <v>493</v>
      </c>
      <c r="P300" s="1">
        <f t="shared" si="1"/>
        <v>118</v>
      </c>
      <c r="Q300" s="1">
        <f t="shared" si="2"/>
        <v>81</v>
      </c>
      <c r="R300" s="5">
        <f t="shared" si="3"/>
        <v>118</v>
      </c>
      <c r="S300" s="5" t="s">
        <v>90</v>
      </c>
    </row>
    <row r="301">
      <c r="A301" s="1" t="s">
        <v>502</v>
      </c>
      <c r="B301" s="2">
        <v>27.0</v>
      </c>
      <c r="C301" s="1" t="s">
        <v>75</v>
      </c>
      <c r="D301" s="1" t="s">
        <v>30</v>
      </c>
      <c r="E301" s="4">
        <v>0.016666666666666666</v>
      </c>
      <c r="F301" s="1" t="s">
        <v>144</v>
      </c>
      <c r="G301" s="1" t="s">
        <v>28</v>
      </c>
      <c r="H301" s="4">
        <v>0.2722222222222222</v>
      </c>
      <c r="I301" s="1" t="s">
        <v>147</v>
      </c>
      <c r="J301" s="1" t="s">
        <v>30</v>
      </c>
      <c r="K301" s="4">
        <v>0.5111111111111111</v>
      </c>
      <c r="L301" s="1" t="s">
        <v>146</v>
      </c>
      <c r="M301" s="1" t="s">
        <v>28</v>
      </c>
      <c r="N301" s="4">
        <v>0.7666666666666667</v>
      </c>
      <c r="O301" s="1" t="s">
        <v>473</v>
      </c>
      <c r="P301" s="1">
        <f t="shared" si="1"/>
        <v>147</v>
      </c>
      <c r="Q301" s="1">
        <f t="shared" si="2"/>
        <v>140</v>
      </c>
      <c r="R301" s="5">
        <f t="shared" si="3"/>
        <v>147</v>
      </c>
      <c r="S301" s="5" t="s">
        <v>47</v>
      </c>
    </row>
    <row r="302">
      <c r="A302" s="1" t="s">
        <v>502</v>
      </c>
      <c r="B302" s="2">
        <v>28.0</v>
      </c>
      <c r="C302" s="1" t="s">
        <v>86</v>
      </c>
      <c r="D302" s="1" t="s">
        <v>30</v>
      </c>
      <c r="E302" s="4">
        <v>0.04583333333333333</v>
      </c>
      <c r="F302" s="1" t="s">
        <v>456</v>
      </c>
      <c r="G302" s="1" t="s">
        <v>28</v>
      </c>
      <c r="H302" s="4">
        <v>0.3013888888888889</v>
      </c>
      <c r="I302" s="1" t="s">
        <v>179</v>
      </c>
      <c r="J302" s="1" t="s">
        <v>30</v>
      </c>
      <c r="K302" s="4">
        <v>0.5333333333333333</v>
      </c>
      <c r="L302" s="1" t="s">
        <v>114</v>
      </c>
      <c r="M302" s="1" t="s">
        <v>28</v>
      </c>
      <c r="N302" s="4">
        <v>0.7930555555555555</v>
      </c>
      <c r="O302" s="1" t="s">
        <v>451</v>
      </c>
      <c r="P302" s="1">
        <f t="shared" si="1"/>
        <v>140</v>
      </c>
      <c r="Q302" s="1">
        <f t="shared" si="2"/>
        <v>134</v>
      </c>
      <c r="R302" s="5">
        <f t="shared" si="3"/>
        <v>140</v>
      </c>
      <c r="S302" s="5" t="s">
        <v>47</v>
      </c>
    </row>
    <row r="303">
      <c r="A303" s="1" t="s">
        <v>502</v>
      </c>
      <c r="B303" s="2">
        <v>29.0</v>
      </c>
      <c r="C303" s="1" t="s">
        <v>26</v>
      </c>
      <c r="D303" s="1" t="s">
        <v>30</v>
      </c>
      <c r="E303" s="4">
        <v>0.07708333333333334</v>
      </c>
      <c r="F303" s="1" t="s">
        <v>475</v>
      </c>
      <c r="G303" s="1" t="s">
        <v>28</v>
      </c>
      <c r="H303" s="4">
        <v>0.3333333333333333</v>
      </c>
      <c r="I303" s="1" t="s">
        <v>100</v>
      </c>
      <c r="J303" s="1" t="s">
        <v>30</v>
      </c>
      <c r="K303" s="4">
        <v>0.5576388888888889</v>
      </c>
      <c r="L303" s="1" t="s">
        <v>115</v>
      </c>
      <c r="M303" s="1" t="s">
        <v>28</v>
      </c>
      <c r="N303" s="4">
        <v>0.8222222222222222</v>
      </c>
      <c r="O303" s="1" t="s">
        <v>346</v>
      </c>
      <c r="P303" s="1">
        <f t="shared" si="1"/>
        <v>124</v>
      </c>
      <c r="Q303" s="1">
        <f t="shared" si="2"/>
        <v>122</v>
      </c>
      <c r="R303" s="5">
        <f t="shared" si="3"/>
        <v>124</v>
      </c>
      <c r="S303" s="5" t="s">
        <v>47</v>
      </c>
    </row>
    <row r="304">
      <c r="A304" s="1" t="s">
        <v>502</v>
      </c>
      <c r="B304" s="2">
        <v>30.0</v>
      </c>
      <c r="C304" s="1" t="s">
        <v>34</v>
      </c>
      <c r="D304" s="1" t="s">
        <v>30</v>
      </c>
      <c r="E304" s="4">
        <v>0.1125</v>
      </c>
      <c r="F304" s="1" t="s">
        <v>505</v>
      </c>
      <c r="G304" s="1" t="s">
        <v>28</v>
      </c>
      <c r="H304" s="4">
        <v>0.3701388888888889</v>
      </c>
      <c r="I304" s="1" t="s">
        <v>230</v>
      </c>
      <c r="J304" s="1" t="s">
        <v>30</v>
      </c>
      <c r="K304" s="4">
        <v>0.5854166666666667</v>
      </c>
      <c r="L304" s="1" t="s">
        <v>122</v>
      </c>
      <c r="M304" s="1" t="s">
        <v>28</v>
      </c>
      <c r="N304" s="4">
        <v>0.8555555555555555</v>
      </c>
      <c r="O304" s="1" t="s">
        <v>385</v>
      </c>
      <c r="P304" s="1">
        <f t="shared" si="1"/>
        <v>102</v>
      </c>
      <c r="Q304" s="1">
        <f t="shared" si="2"/>
        <v>103</v>
      </c>
      <c r="R304" s="5">
        <f t="shared" si="3"/>
        <v>103</v>
      </c>
      <c r="S304" s="5" t="s">
        <v>90</v>
      </c>
    </row>
    <row r="305">
      <c r="A305" s="1" t="s">
        <v>502</v>
      </c>
      <c r="B305" s="2">
        <v>31.0</v>
      </c>
      <c r="C305" s="1" t="s">
        <v>41</v>
      </c>
      <c r="D305" s="1" t="s">
        <v>30</v>
      </c>
      <c r="E305" s="4">
        <v>0.15555555555555556</v>
      </c>
      <c r="F305" s="1" t="s">
        <v>185</v>
      </c>
      <c r="G305" s="1" t="s">
        <v>28</v>
      </c>
      <c r="H305" s="4">
        <v>0.4173611111111111</v>
      </c>
      <c r="I305" s="1" t="s">
        <v>145</v>
      </c>
      <c r="J305" s="1" t="s">
        <v>30</v>
      </c>
      <c r="K305" s="4">
        <v>0.6208333333333333</v>
      </c>
      <c r="L305" s="1" t="s">
        <v>327</v>
      </c>
      <c r="M305" s="1" t="s">
        <v>28</v>
      </c>
      <c r="N305" s="4">
        <v>0.8965277777777778</v>
      </c>
      <c r="O305" s="1" t="s">
        <v>267</v>
      </c>
      <c r="P305" s="1">
        <f t="shared" si="1"/>
        <v>79</v>
      </c>
      <c r="Q305" s="1">
        <f t="shared" si="2"/>
        <v>81</v>
      </c>
      <c r="R305" s="5">
        <f t="shared" si="3"/>
        <v>81</v>
      </c>
      <c r="S305" s="5" t="s">
        <v>39</v>
      </c>
    </row>
    <row r="306">
      <c r="A306" s="1" t="s">
        <v>507</v>
      </c>
      <c r="B306" s="2">
        <v>1.0</v>
      </c>
      <c r="C306" s="1" t="s">
        <v>55</v>
      </c>
      <c r="D306" s="1" t="s">
        <v>30</v>
      </c>
      <c r="E306" s="4">
        <v>0.21041666666666667</v>
      </c>
      <c r="F306" s="1" t="s">
        <v>186</v>
      </c>
      <c r="G306" s="1" t="s">
        <v>28</v>
      </c>
      <c r="H306" s="4">
        <v>0.4826388888888889</v>
      </c>
      <c r="I306" s="1" t="s">
        <v>29</v>
      </c>
      <c r="J306" s="1" t="s">
        <v>30</v>
      </c>
      <c r="K306" s="4">
        <v>0.6770833333333334</v>
      </c>
      <c r="L306" s="1" t="s">
        <v>494</v>
      </c>
      <c r="M306" s="1" t="s">
        <v>28</v>
      </c>
      <c r="N306" s="4">
        <v>0.9520833333333333</v>
      </c>
      <c r="O306" s="1" t="s">
        <v>292</v>
      </c>
      <c r="P306" s="1">
        <f t="shared" si="1"/>
        <v>63</v>
      </c>
      <c r="Q306" s="1">
        <f t="shared" si="2"/>
        <v>61</v>
      </c>
      <c r="R306" s="5">
        <f t="shared" si="3"/>
        <v>63</v>
      </c>
      <c r="S306" s="5" t="s">
        <v>39</v>
      </c>
    </row>
    <row r="307">
      <c r="A307" s="1" t="s">
        <v>507</v>
      </c>
      <c r="B307" s="2">
        <v>2.0</v>
      </c>
      <c r="C307" s="1" t="s">
        <v>25</v>
      </c>
      <c r="D307" s="1" t="s">
        <v>30</v>
      </c>
      <c r="E307" s="4">
        <v>0.2763888888888889</v>
      </c>
      <c r="F307" s="1" t="s">
        <v>37</v>
      </c>
      <c r="G307" s="1" t="s">
        <v>28</v>
      </c>
      <c r="H307" s="4">
        <v>0.55</v>
      </c>
      <c r="I307" s="1" t="s">
        <v>36</v>
      </c>
      <c r="J307" s="1" t="s">
        <v>30</v>
      </c>
      <c r="K307" s="4">
        <v>0.7604166666666666</v>
      </c>
      <c r="L307" s="1" t="s">
        <v>481</v>
      </c>
      <c r="P307" s="1">
        <f t="shared" si="1"/>
        <v>62</v>
      </c>
      <c r="Q307" s="1">
        <f t="shared" si="2"/>
        <v>19</v>
      </c>
      <c r="R307" s="5">
        <f t="shared" si="3"/>
        <v>62</v>
      </c>
      <c r="S307" s="5" t="s">
        <v>39</v>
      </c>
    </row>
    <row r="308">
      <c r="A308" s="1" t="s">
        <v>507</v>
      </c>
      <c r="B308" s="2">
        <v>3.0</v>
      </c>
      <c r="C308" s="1" t="s">
        <v>75</v>
      </c>
      <c r="D308" s="1" t="s">
        <v>28</v>
      </c>
      <c r="E308" s="4">
        <v>0.02361111111111111</v>
      </c>
      <c r="F308" s="1" t="s">
        <v>402</v>
      </c>
      <c r="G308" s="1" t="s">
        <v>30</v>
      </c>
      <c r="H308" s="4">
        <v>0.33055555555555555</v>
      </c>
      <c r="I308" s="1" t="s">
        <v>37</v>
      </c>
      <c r="J308" s="1" t="s">
        <v>28</v>
      </c>
      <c r="K308" s="4">
        <v>0.5958333333333333</v>
      </c>
      <c r="L308" s="1" t="s">
        <v>109</v>
      </c>
      <c r="M308" s="1" t="s">
        <v>30</v>
      </c>
      <c r="N308" s="4">
        <v>0.8361111111111111</v>
      </c>
      <c r="O308" s="1" t="s">
        <v>480</v>
      </c>
      <c r="P308" s="1">
        <f t="shared" si="1"/>
        <v>90</v>
      </c>
      <c r="Q308" s="1">
        <f t="shared" si="2"/>
        <v>46</v>
      </c>
      <c r="R308" s="5">
        <f t="shared" si="3"/>
        <v>90</v>
      </c>
      <c r="S308" s="5" t="s">
        <v>39</v>
      </c>
    </row>
    <row r="309">
      <c r="A309" s="1" t="s">
        <v>507</v>
      </c>
      <c r="B309" s="2">
        <v>4.0</v>
      </c>
      <c r="C309" s="1" t="s">
        <v>86</v>
      </c>
      <c r="D309" s="1" t="s">
        <v>28</v>
      </c>
      <c r="E309" s="4">
        <v>0.08611111111111111</v>
      </c>
      <c r="F309" s="1" t="s">
        <v>402</v>
      </c>
      <c r="G309" s="1" t="s">
        <v>30</v>
      </c>
      <c r="H309" s="4">
        <v>0.3701388888888889</v>
      </c>
      <c r="I309" s="1" t="s">
        <v>146</v>
      </c>
      <c r="J309" s="1" t="s">
        <v>28</v>
      </c>
      <c r="K309" s="4">
        <v>0.6270833333333333</v>
      </c>
      <c r="L309" s="1" t="s">
        <v>181</v>
      </c>
      <c r="M309" s="1" t="s">
        <v>30</v>
      </c>
      <c r="N309" s="4">
        <v>0.8840277777777777</v>
      </c>
      <c r="O309" s="1" t="s">
        <v>117</v>
      </c>
      <c r="P309" s="1">
        <f t="shared" si="1"/>
        <v>91</v>
      </c>
      <c r="Q309" s="1">
        <f t="shared" si="2"/>
        <v>72</v>
      </c>
      <c r="R309" s="5">
        <f t="shared" si="3"/>
        <v>91</v>
      </c>
      <c r="S309" s="5" t="s">
        <v>90</v>
      </c>
    </row>
    <row r="310">
      <c r="A310" s="1" t="s">
        <v>507</v>
      </c>
      <c r="B310" s="2">
        <v>5.0</v>
      </c>
      <c r="C310" s="1" t="s">
        <v>26</v>
      </c>
      <c r="D310" s="1" t="s">
        <v>28</v>
      </c>
      <c r="E310" s="4">
        <v>0.13194444444444445</v>
      </c>
      <c r="F310" s="1" t="s">
        <v>262</v>
      </c>
      <c r="G310" s="1" t="s">
        <v>30</v>
      </c>
      <c r="H310" s="4">
        <v>0.40069444444444446</v>
      </c>
      <c r="I310" s="1" t="s">
        <v>146</v>
      </c>
      <c r="J310" s="1" t="s">
        <v>28</v>
      </c>
      <c r="K310" s="4">
        <v>0.6520833333333333</v>
      </c>
      <c r="L310" s="1" t="s">
        <v>192</v>
      </c>
      <c r="M310" s="1" t="s">
        <v>30</v>
      </c>
      <c r="N310" s="4">
        <v>0.91875</v>
      </c>
      <c r="O310" s="1" t="s">
        <v>99</v>
      </c>
      <c r="P310" s="1">
        <f t="shared" si="1"/>
        <v>94</v>
      </c>
      <c r="Q310" s="1">
        <f t="shared" si="2"/>
        <v>97</v>
      </c>
      <c r="R310" s="5">
        <f t="shared" si="3"/>
        <v>97</v>
      </c>
      <c r="S310" s="5" t="s">
        <v>90</v>
      </c>
    </row>
    <row r="311">
      <c r="A311" s="1" t="s">
        <v>507</v>
      </c>
      <c r="B311" s="2">
        <v>6.0</v>
      </c>
      <c r="C311" s="1" t="s">
        <v>34</v>
      </c>
      <c r="D311" s="1" t="s">
        <v>28</v>
      </c>
      <c r="E311" s="4">
        <v>0.16875</v>
      </c>
      <c r="F311" s="1" t="s">
        <v>131</v>
      </c>
      <c r="G311" s="1" t="s">
        <v>30</v>
      </c>
      <c r="H311" s="4">
        <v>0.425</v>
      </c>
      <c r="I311" s="1" t="s">
        <v>146</v>
      </c>
      <c r="J311" s="1" t="s">
        <v>28</v>
      </c>
      <c r="K311" s="4">
        <v>0.6756944444444445</v>
      </c>
      <c r="L311" s="1" t="s">
        <v>135</v>
      </c>
      <c r="M311" s="1" t="s">
        <v>30</v>
      </c>
      <c r="N311" s="4">
        <v>0.9479166666666666</v>
      </c>
      <c r="O311" s="1" t="s">
        <v>314</v>
      </c>
      <c r="P311" s="1">
        <f t="shared" si="1"/>
        <v>96</v>
      </c>
      <c r="Q311" s="1">
        <f t="shared" si="2"/>
        <v>118</v>
      </c>
      <c r="R311" s="5">
        <f t="shared" si="3"/>
        <v>118</v>
      </c>
      <c r="S311" s="5" t="s">
        <v>90</v>
      </c>
    </row>
    <row r="312">
      <c r="A312" s="1" t="s">
        <v>507</v>
      </c>
      <c r="B312" s="2">
        <v>7.0</v>
      </c>
      <c r="C312" s="1" t="s">
        <v>41</v>
      </c>
      <c r="D312" s="1" t="s">
        <v>28</v>
      </c>
      <c r="E312" s="4">
        <v>0.2</v>
      </c>
      <c r="F312" s="1" t="s">
        <v>131</v>
      </c>
      <c r="G312" s="1" t="s">
        <v>30</v>
      </c>
      <c r="H312" s="4">
        <v>0.4465277777777778</v>
      </c>
      <c r="I312" s="1" t="s">
        <v>37</v>
      </c>
      <c r="J312" s="1" t="s">
        <v>28</v>
      </c>
      <c r="K312" s="4">
        <v>0.6972222222222222</v>
      </c>
      <c r="L312" s="1" t="s">
        <v>147</v>
      </c>
      <c r="M312" s="1" t="s">
        <v>30</v>
      </c>
      <c r="N312" s="4">
        <v>0.9736111111111111</v>
      </c>
      <c r="O312" s="1" t="s">
        <v>302</v>
      </c>
      <c r="P312" s="1">
        <f t="shared" si="1"/>
        <v>95</v>
      </c>
      <c r="Q312" s="1">
        <f t="shared" si="2"/>
        <v>134</v>
      </c>
      <c r="R312" s="5">
        <f t="shared" si="3"/>
        <v>134</v>
      </c>
      <c r="S312" s="5" t="s">
        <v>47</v>
      </c>
    </row>
    <row r="313">
      <c r="A313" s="1" t="s">
        <v>507</v>
      </c>
      <c r="B313" s="2">
        <v>8.0</v>
      </c>
      <c r="C313" s="1" t="s">
        <v>55</v>
      </c>
      <c r="D313" s="1" t="s">
        <v>28</v>
      </c>
      <c r="E313" s="4">
        <v>0.22847222222222222</v>
      </c>
      <c r="F313" s="1" t="s">
        <v>262</v>
      </c>
      <c r="G313" s="1" t="s">
        <v>30</v>
      </c>
      <c r="H313" s="4">
        <v>0.46597222222222223</v>
      </c>
      <c r="I313" s="1" t="s">
        <v>469</v>
      </c>
      <c r="J313" s="1" t="s">
        <v>28</v>
      </c>
      <c r="K313" s="4">
        <v>0.71875</v>
      </c>
      <c r="L313" s="1" t="s">
        <v>337</v>
      </c>
      <c r="M313" s="1" t="s">
        <v>30</v>
      </c>
      <c r="N313" s="4">
        <v>0.9972222222222222</v>
      </c>
      <c r="O313" s="1" t="s">
        <v>300</v>
      </c>
      <c r="P313" s="1">
        <f t="shared" si="1"/>
        <v>92</v>
      </c>
      <c r="Q313" s="1">
        <f t="shared" si="2"/>
        <v>144</v>
      </c>
      <c r="R313" s="5">
        <f t="shared" si="3"/>
        <v>144</v>
      </c>
      <c r="S313" s="5" t="s">
        <v>47</v>
      </c>
    </row>
    <row r="314">
      <c r="A314" s="1" t="s">
        <v>507</v>
      </c>
      <c r="B314" s="2">
        <v>9.0</v>
      </c>
      <c r="C314" s="1" t="s">
        <v>25</v>
      </c>
      <c r="D314" s="1" t="s">
        <v>28</v>
      </c>
      <c r="E314" s="4">
        <v>0.2548611111111111</v>
      </c>
      <c r="F314" s="1" t="s">
        <v>100</v>
      </c>
      <c r="G314" s="1" t="s">
        <v>30</v>
      </c>
      <c r="H314" s="4">
        <v>0.48541666666666666</v>
      </c>
      <c r="I314" s="1" t="s">
        <v>257</v>
      </c>
      <c r="J314" s="1" t="s">
        <v>28</v>
      </c>
      <c r="K314" s="4">
        <v>0.7395833333333334</v>
      </c>
      <c r="L314" s="1" t="s">
        <v>78</v>
      </c>
      <c r="P314" s="1">
        <f t="shared" si="1"/>
        <v>86</v>
      </c>
      <c r="Q314" s="1">
        <f t="shared" si="2"/>
        <v>62</v>
      </c>
      <c r="R314" s="5">
        <f t="shared" si="3"/>
        <v>86</v>
      </c>
      <c r="S314" s="5" t="s">
        <v>39</v>
      </c>
    </row>
    <row r="315">
      <c r="A315" s="1" t="s">
        <v>507</v>
      </c>
      <c r="B315" s="2">
        <v>10.0</v>
      </c>
      <c r="C315" s="1" t="s">
        <v>75</v>
      </c>
      <c r="D315" s="1" t="s">
        <v>30</v>
      </c>
      <c r="E315" s="4">
        <v>0.02013888888888889</v>
      </c>
      <c r="F315" s="1" t="s">
        <v>260</v>
      </c>
      <c r="G315" s="1" t="s">
        <v>28</v>
      </c>
      <c r="H315" s="4">
        <v>0.2798611111111111</v>
      </c>
      <c r="I315" s="1" t="s">
        <v>181</v>
      </c>
      <c r="J315" s="1" t="s">
        <v>30</v>
      </c>
      <c r="K315" s="4">
        <v>0.5041666666666667</v>
      </c>
      <c r="L315" s="1" t="s">
        <v>114</v>
      </c>
      <c r="M315" s="1" t="s">
        <v>28</v>
      </c>
      <c r="N315" s="4">
        <v>0.7604166666666666</v>
      </c>
      <c r="O315" s="1" t="s">
        <v>78</v>
      </c>
      <c r="P315" s="1">
        <f t="shared" si="1"/>
        <v>115</v>
      </c>
      <c r="Q315" s="1">
        <f t="shared" si="2"/>
        <v>113</v>
      </c>
      <c r="R315" s="5">
        <f t="shared" si="3"/>
        <v>115</v>
      </c>
      <c r="S315" s="5" t="s">
        <v>90</v>
      </c>
    </row>
    <row r="316">
      <c r="A316" s="1" t="s">
        <v>507</v>
      </c>
      <c r="B316" s="2">
        <v>11.0</v>
      </c>
      <c r="C316" s="1" t="s">
        <v>86</v>
      </c>
      <c r="D316" s="1" t="s">
        <v>30</v>
      </c>
      <c r="E316" s="4">
        <v>0.043055555555555555</v>
      </c>
      <c r="F316" s="1" t="s">
        <v>260</v>
      </c>
      <c r="G316" s="1" t="s">
        <v>28</v>
      </c>
      <c r="H316" s="4">
        <v>0.3034722222222222</v>
      </c>
      <c r="I316" s="1" t="s">
        <v>256</v>
      </c>
      <c r="J316" s="1" t="s">
        <v>30</v>
      </c>
      <c r="K316" s="4">
        <v>0.5243055555555556</v>
      </c>
      <c r="L316" s="1" t="s">
        <v>118</v>
      </c>
      <c r="M316" s="1" t="s">
        <v>28</v>
      </c>
      <c r="N316" s="4">
        <v>0.7819444444444444</v>
      </c>
      <c r="O316" s="1" t="s">
        <v>378</v>
      </c>
      <c r="P316" s="1">
        <f t="shared" si="1"/>
        <v>109</v>
      </c>
      <c r="Q316" s="1">
        <f t="shared" si="2"/>
        <v>109</v>
      </c>
      <c r="R316" s="5">
        <f t="shared" si="3"/>
        <v>109</v>
      </c>
      <c r="S316" s="5" t="s">
        <v>90</v>
      </c>
    </row>
    <row r="317">
      <c r="A317" s="1" t="s">
        <v>507</v>
      </c>
      <c r="B317" s="2">
        <v>12.0</v>
      </c>
      <c r="C317" s="1" t="s">
        <v>26</v>
      </c>
      <c r="D317" s="1" t="s">
        <v>30</v>
      </c>
      <c r="E317" s="4">
        <v>0.06597222222222222</v>
      </c>
      <c r="F317" s="1" t="s">
        <v>98</v>
      </c>
      <c r="G317" s="1" t="s">
        <v>28</v>
      </c>
      <c r="H317" s="4">
        <v>0.3277777777777778</v>
      </c>
      <c r="I317" s="1" t="s">
        <v>65</v>
      </c>
      <c r="J317" s="1" t="s">
        <v>30</v>
      </c>
      <c r="K317" s="4">
        <v>0.5444444444444444</v>
      </c>
      <c r="L317" s="1" t="s">
        <v>223</v>
      </c>
      <c r="M317" s="1" t="s">
        <v>28</v>
      </c>
      <c r="N317" s="4">
        <v>0.8034722222222223</v>
      </c>
      <c r="O317" s="1" t="s">
        <v>388</v>
      </c>
      <c r="P317" s="1">
        <f t="shared" si="1"/>
        <v>99</v>
      </c>
      <c r="Q317" s="1">
        <f t="shared" si="2"/>
        <v>102</v>
      </c>
      <c r="R317" s="5">
        <f t="shared" si="3"/>
        <v>102</v>
      </c>
      <c r="S317" s="5" t="s">
        <v>90</v>
      </c>
    </row>
    <row r="318">
      <c r="A318" s="1" t="s">
        <v>507</v>
      </c>
      <c r="B318" s="2">
        <v>13.0</v>
      </c>
      <c r="C318" s="1" t="s">
        <v>34</v>
      </c>
      <c r="D318" s="1" t="s">
        <v>30</v>
      </c>
      <c r="E318" s="4">
        <v>0.08958333333333333</v>
      </c>
      <c r="F318" s="1" t="s">
        <v>129</v>
      </c>
      <c r="G318" s="1" t="s">
        <v>28</v>
      </c>
      <c r="H318" s="4">
        <v>0.3527777777777778</v>
      </c>
      <c r="I318" s="1" t="s">
        <v>359</v>
      </c>
      <c r="J318" s="1" t="s">
        <v>30</v>
      </c>
      <c r="K318" s="4">
        <v>0.5659722222222222</v>
      </c>
      <c r="L318" s="1" t="s">
        <v>333</v>
      </c>
      <c r="M318" s="1" t="s">
        <v>28</v>
      </c>
      <c r="N318" s="4">
        <v>0.8270833333333333</v>
      </c>
      <c r="O318" s="1" t="s">
        <v>265</v>
      </c>
      <c r="P318" s="1">
        <f t="shared" si="1"/>
        <v>87</v>
      </c>
      <c r="Q318" s="1">
        <f t="shared" si="2"/>
        <v>92</v>
      </c>
      <c r="R318" s="5">
        <f t="shared" si="3"/>
        <v>92</v>
      </c>
      <c r="S318" s="5" t="s">
        <v>90</v>
      </c>
    </row>
    <row r="319">
      <c r="A319" s="1" t="s">
        <v>507</v>
      </c>
      <c r="B319" s="2">
        <v>14.0</v>
      </c>
      <c r="C319" s="1" t="s">
        <v>41</v>
      </c>
      <c r="D319" s="1" t="s">
        <v>30</v>
      </c>
      <c r="E319" s="4">
        <v>0.11527777777777778</v>
      </c>
      <c r="F319" s="1" t="s">
        <v>314</v>
      </c>
      <c r="G319" s="1" t="s">
        <v>28</v>
      </c>
      <c r="H319" s="4">
        <v>0.38055555555555554</v>
      </c>
      <c r="I319" s="1" t="s">
        <v>29</v>
      </c>
      <c r="J319" s="1" t="s">
        <v>30</v>
      </c>
      <c r="K319" s="4">
        <v>0.5895833333333333</v>
      </c>
      <c r="L319" s="1" t="s">
        <v>191</v>
      </c>
      <c r="M319" s="1" t="s">
        <v>28</v>
      </c>
      <c r="N319" s="4">
        <v>0.8527777777777777</v>
      </c>
      <c r="O319" s="1" t="s">
        <v>251</v>
      </c>
      <c r="P319" s="1">
        <f t="shared" si="1"/>
        <v>73</v>
      </c>
      <c r="Q319" s="1">
        <f t="shared" si="2"/>
        <v>78</v>
      </c>
      <c r="R319" s="5">
        <f t="shared" si="3"/>
        <v>78</v>
      </c>
      <c r="S319" s="5" t="s">
        <v>39</v>
      </c>
    </row>
    <row r="320">
      <c r="A320" s="1" t="s">
        <v>507</v>
      </c>
      <c r="B320" s="2">
        <v>15.0</v>
      </c>
      <c r="C320" s="1" t="s">
        <v>55</v>
      </c>
      <c r="D320" s="1" t="s">
        <v>30</v>
      </c>
      <c r="E320" s="4">
        <v>0.14444444444444443</v>
      </c>
      <c r="F320" s="1" t="s">
        <v>110</v>
      </c>
      <c r="G320" s="1" t="s">
        <v>28</v>
      </c>
      <c r="H320" s="4">
        <v>0.4152777777777778</v>
      </c>
      <c r="I320" s="1" t="s">
        <v>130</v>
      </c>
      <c r="J320" s="1" t="s">
        <v>30</v>
      </c>
      <c r="K320" s="4">
        <v>0.61875</v>
      </c>
      <c r="L320" s="1" t="s">
        <v>391</v>
      </c>
      <c r="M320" s="1" t="s">
        <v>28</v>
      </c>
      <c r="N320" s="4">
        <v>0.8826388888888889</v>
      </c>
      <c r="O320" s="1" t="s">
        <v>218</v>
      </c>
      <c r="P320" s="1">
        <f t="shared" si="1"/>
        <v>59</v>
      </c>
      <c r="Q320" s="1">
        <f t="shared" si="2"/>
        <v>64</v>
      </c>
      <c r="R320" s="5">
        <f t="shared" si="3"/>
        <v>64</v>
      </c>
      <c r="S320" s="5" t="s">
        <v>39</v>
      </c>
    </row>
    <row r="321">
      <c r="A321" s="1" t="s">
        <v>507</v>
      </c>
      <c r="B321" s="2">
        <v>16.0</v>
      </c>
      <c r="C321" s="1" t="s">
        <v>25</v>
      </c>
      <c r="D321" s="1" t="s">
        <v>30</v>
      </c>
      <c r="E321" s="4">
        <v>0.18125</v>
      </c>
      <c r="F321" s="1" t="s">
        <v>257</v>
      </c>
      <c r="G321" s="1" t="s">
        <v>28</v>
      </c>
      <c r="H321" s="4">
        <v>0.46458333333333335</v>
      </c>
      <c r="I321" s="1" t="s">
        <v>278</v>
      </c>
      <c r="J321" s="1" t="s">
        <v>30</v>
      </c>
      <c r="K321" s="4">
        <v>0.6611111111111111</v>
      </c>
      <c r="L321" s="1" t="s">
        <v>422</v>
      </c>
      <c r="M321" s="1" t="s">
        <v>28</v>
      </c>
      <c r="N321" s="4">
        <v>0.9215277777777777</v>
      </c>
      <c r="O321" s="1" t="s">
        <v>471</v>
      </c>
      <c r="P321" s="1">
        <f t="shared" si="1"/>
        <v>49</v>
      </c>
      <c r="Q321" s="1">
        <f t="shared" si="2"/>
        <v>49</v>
      </c>
      <c r="R321" s="5">
        <f t="shared" si="3"/>
        <v>49</v>
      </c>
      <c r="S321" s="5" t="s">
        <v>39</v>
      </c>
    </row>
    <row r="322">
      <c r="A322" s="1" t="s">
        <v>507</v>
      </c>
      <c r="B322" s="2">
        <v>17.0</v>
      </c>
      <c r="C322" s="1" t="s">
        <v>75</v>
      </c>
      <c r="D322" s="1" t="s">
        <v>30</v>
      </c>
      <c r="E322" s="4">
        <v>0.23055555555555557</v>
      </c>
      <c r="F322" s="1" t="s">
        <v>112</v>
      </c>
      <c r="G322" s="1" t="s">
        <v>28</v>
      </c>
      <c r="H322" s="4">
        <v>0.5222222222222223</v>
      </c>
      <c r="I322" s="1" t="s">
        <v>187</v>
      </c>
      <c r="J322" s="1" t="s">
        <v>30</v>
      </c>
      <c r="K322" s="4">
        <v>0.7256944444444444</v>
      </c>
      <c r="L322" s="1" t="s">
        <v>355</v>
      </c>
      <c r="M322" s="1" t="s">
        <v>28</v>
      </c>
      <c r="N322" s="4">
        <v>0.975</v>
      </c>
      <c r="O322" s="1" t="s">
        <v>470</v>
      </c>
      <c r="P322" s="1">
        <f t="shared" si="1"/>
        <v>47</v>
      </c>
      <c r="Q322" s="1">
        <f t="shared" si="2"/>
        <v>39</v>
      </c>
      <c r="R322" s="5">
        <f t="shared" si="3"/>
        <v>47</v>
      </c>
      <c r="S322" s="5" t="s">
        <v>39</v>
      </c>
    </row>
    <row r="323">
      <c r="A323" s="1" t="s">
        <v>507</v>
      </c>
      <c r="B323" s="2">
        <v>18.0</v>
      </c>
      <c r="C323" s="1" t="s">
        <v>86</v>
      </c>
      <c r="D323" s="1" t="s">
        <v>30</v>
      </c>
      <c r="E323" s="4">
        <v>0.28402777777777777</v>
      </c>
      <c r="F323" s="1" t="s">
        <v>115</v>
      </c>
      <c r="G323" s="1" t="s">
        <v>28</v>
      </c>
      <c r="H323" s="4">
        <v>0.5659722222222222</v>
      </c>
      <c r="I323" s="1" t="s">
        <v>145</v>
      </c>
      <c r="J323" s="1" t="s">
        <v>30</v>
      </c>
      <c r="K323" s="4">
        <v>0.7958333333333333</v>
      </c>
      <c r="L323" s="1" t="s">
        <v>248</v>
      </c>
      <c r="P323" s="1">
        <f t="shared" si="1"/>
        <v>53</v>
      </c>
      <c r="Q323" s="1">
        <f t="shared" si="2"/>
        <v>26</v>
      </c>
      <c r="R323" s="5">
        <f t="shared" si="3"/>
        <v>53</v>
      </c>
      <c r="S323" s="5" t="s">
        <v>39</v>
      </c>
    </row>
    <row r="324">
      <c r="A324" s="1" t="s">
        <v>507</v>
      </c>
      <c r="B324" s="2">
        <v>19.0</v>
      </c>
      <c r="C324" s="1" t="s">
        <v>26</v>
      </c>
      <c r="D324" s="1" t="s">
        <v>28</v>
      </c>
      <c r="E324" s="4">
        <v>0.03819444444444445</v>
      </c>
      <c r="F324" s="1" t="s">
        <v>109</v>
      </c>
      <c r="G324" s="1" t="s">
        <v>30</v>
      </c>
      <c r="H324" s="4">
        <v>0.32708333333333334</v>
      </c>
      <c r="I324" s="1" t="s">
        <v>112</v>
      </c>
      <c r="J324" s="1" t="s">
        <v>28</v>
      </c>
      <c r="K324" s="4">
        <v>0.5972222222222222</v>
      </c>
      <c r="L324" s="1" t="s">
        <v>470</v>
      </c>
      <c r="M324" s="1" t="s">
        <v>30</v>
      </c>
      <c r="N324" s="4">
        <v>0.8479166666666667</v>
      </c>
      <c r="O324" s="1" t="s">
        <v>326</v>
      </c>
      <c r="P324" s="1">
        <f t="shared" si="1"/>
        <v>64</v>
      </c>
      <c r="Q324" s="1">
        <f t="shared" si="2"/>
        <v>56</v>
      </c>
      <c r="R324" s="5">
        <f t="shared" si="3"/>
        <v>64</v>
      </c>
      <c r="S324" s="5" t="s">
        <v>39</v>
      </c>
    </row>
    <row r="325">
      <c r="A325" s="1" t="s">
        <v>507</v>
      </c>
      <c r="B325" s="2">
        <v>20.0</v>
      </c>
      <c r="C325" s="1" t="s">
        <v>34</v>
      </c>
      <c r="D325" s="1" t="s">
        <v>28</v>
      </c>
      <c r="E325" s="4">
        <v>0.09097222222222222</v>
      </c>
      <c r="F325" s="1" t="s">
        <v>296</v>
      </c>
      <c r="G325" s="1" t="s">
        <v>30</v>
      </c>
      <c r="H325" s="4">
        <v>0.36041666666666666</v>
      </c>
      <c r="I325" s="1" t="s">
        <v>134</v>
      </c>
      <c r="J325" s="1" t="s">
        <v>28</v>
      </c>
      <c r="K325" s="4">
        <v>0.6229166666666667</v>
      </c>
      <c r="L325" s="1" t="s">
        <v>190</v>
      </c>
      <c r="M325" s="1" t="s">
        <v>30</v>
      </c>
      <c r="N325" s="4">
        <v>0.8861111111111111</v>
      </c>
      <c r="O325" s="1" t="s">
        <v>469</v>
      </c>
      <c r="P325" s="1">
        <f t="shared" si="1"/>
        <v>70</v>
      </c>
      <c r="Q325" s="1">
        <f t="shared" si="2"/>
        <v>84</v>
      </c>
      <c r="R325" s="5">
        <f t="shared" si="3"/>
        <v>84</v>
      </c>
      <c r="S325" s="5" t="s">
        <v>39</v>
      </c>
    </row>
    <row r="326">
      <c r="A326" s="1" t="s">
        <v>507</v>
      </c>
      <c r="B326" s="2">
        <v>21.0</v>
      </c>
      <c r="C326" s="1" t="s">
        <v>41</v>
      </c>
      <c r="D326" s="1" t="s">
        <v>28</v>
      </c>
      <c r="E326" s="4">
        <v>0.1326388888888889</v>
      </c>
      <c r="F326" s="1" t="s">
        <v>471</v>
      </c>
      <c r="G326" s="1" t="s">
        <v>30</v>
      </c>
      <c r="H326" s="4">
        <v>0.38819444444444445</v>
      </c>
      <c r="I326" s="1" t="s">
        <v>257</v>
      </c>
      <c r="J326" s="1" t="s">
        <v>28</v>
      </c>
      <c r="K326" s="4">
        <v>0.6472222222222223</v>
      </c>
      <c r="L326" s="1" t="s">
        <v>251</v>
      </c>
      <c r="M326" s="1" t="s">
        <v>30</v>
      </c>
      <c r="N326" s="4">
        <v>0.9180555555555555</v>
      </c>
      <c r="O326" s="1" t="s">
        <v>185</v>
      </c>
      <c r="P326" s="1">
        <f t="shared" si="1"/>
        <v>78</v>
      </c>
      <c r="Q326" s="1">
        <f t="shared" si="2"/>
        <v>113</v>
      </c>
      <c r="R326" s="5">
        <f t="shared" si="3"/>
        <v>113</v>
      </c>
      <c r="S326" s="5" t="s">
        <v>90</v>
      </c>
    </row>
    <row r="327">
      <c r="A327" s="1" t="s">
        <v>507</v>
      </c>
      <c r="B327" s="2">
        <v>22.0</v>
      </c>
      <c r="C327" s="1" t="s">
        <v>55</v>
      </c>
      <c r="D327" s="1" t="s">
        <v>28</v>
      </c>
      <c r="E327" s="4">
        <v>0.16944444444444445</v>
      </c>
      <c r="F327" s="1" t="s">
        <v>190</v>
      </c>
      <c r="G327" s="1" t="s">
        <v>30</v>
      </c>
      <c r="H327" s="4">
        <v>0.41458333333333336</v>
      </c>
      <c r="I327" s="1" t="s">
        <v>146</v>
      </c>
      <c r="J327" s="1" t="s">
        <v>28</v>
      </c>
      <c r="K327" s="4">
        <v>0.6715277777777777</v>
      </c>
      <c r="L327" s="1" t="s">
        <v>32</v>
      </c>
      <c r="M327" s="1" t="s">
        <v>30</v>
      </c>
      <c r="N327" s="4">
        <v>0.9479166666666666</v>
      </c>
      <c r="O327" s="1" t="s">
        <v>260</v>
      </c>
      <c r="P327" s="1">
        <f t="shared" si="1"/>
        <v>86</v>
      </c>
      <c r="Q327" s="1">
        <f t="shared" si="2"/>
        <v>141</v>
      </c>
      <c r="R327" s="5">
        <f t="shared" si="3"/>
        <v>141</v>
      </c>
      <c r="S327" s="5" t="s">
        <v>47</v>
      </c>
    </row>
    <row r="328">
      <c r="A328" s="1" t="s">
        <v>507</v>
      </c>
      <c r="B328" s="2">
        <v>23.0</v>
      </c>
      <c r="C328" s="1" t="s">
        <v>25</v>
      </c>
      <c r="D328" s="1" t="s">
        <v>28</v>
      </c>
      <c r="E328" s="4">
        <v>0.20277777777777778</v>
      </c>
      <c r="F328" s="1" t="s">
        <v>183</v>
      </c>
      <c r="G328" s="1" t="s">
        <v>30</v>
      </c>
      <c r="H328" s="4">
        <v>0.44027777777777777</v>
      </c>
      <c r="I328" s="1" t="s">
        <v>99</v>
      </c>
      <c r="J328" s="1" t="s">
        <v>28</v>
      </c>
      <c r="K328" s="4">
        <v>0.6979166666666666</v>
      </c>
      <c r="L328" s="1" t="s">
        <v>38</v>
      </c>
      <c r="M328" s="1" t="s">
        <v>30</v>
      </c>
      <c r="N328" s="4">
        <v>0.9784722222222222</v>
      </c>
      <c r="O328" s="1" t="s">
        <v>508</v>
      </c>
      <c r="P328" s="1">
        <f t="shared" si="1"/>
        <v>90</v>
      </c>
      <c r="Q328" s="1">
        <f t="shared" si="2"/>
        <v>165</v>
      </c>
      <c r="R328" s="5">
        <f t="shared" si="3"/>
        <v>165</v>
      </c>
      <c r="S328" s="5" t="s">
        <v>47</v>
      </c>
    </row>
    <row r="329">
      <c r="A329" s="1" t="s">
        <v>507</v>
      </c>
      <c r="B329" s="2">
        <v>24.0</v>
      </c>
      <c r="C329" s="1" t="s">
        <v>75</v>
      </c>
      <c r="D329" s="1" t="s">
        <v>28</v>
      </c>
      <c r="E329" s="4">
        <v>0.23541666666666666</v>
      </c>
      <c r="F329" s="1" t="s">
        <v>183</v>
      </c>
      <c r="G329" s="1" t="s">
        <v>30</v>
      </c>
      <c r="H329" s="4">
        <v>0.4666666666666667</v>
      </c>
      <c r="I329" s="1" t="s">
        <v>45</v>
      </c>
      <c r="J329" s="1" t="s">
        <v>28</v>
      </c>
      <c r="K329" s="4">
        <v>0.7256944444444444</v>
      </c>
      <c r="L329" s="1" t="s">
        <v>205</v>
      </c>
      <c r="P329" s="1">
        <f t="shared" si="1"/>
        <v>91</v>
      </c>
      <c r="Q329" s="1">
        <f t="shared" si="2"/>
        <v>73</v>
      </c>
      <c r="R329" s="5">
        <f t="shared" si="3"/>
        <v>91</v>
      </c>
      <c r="S329" s="5" t="s">
        <v>90</v>
      </c>
    </row>
    <row r="330">
      <c r="A330" s="1" t="s">
        <v>507</v>
      </c>
      <c r="B330" s="2">
        <v>25.0</v>
      </c>
      <c r="C330" s="1" t="s">
        <v>86</v>
      </c>
      <c r="D330" s="1" t="s">
        <v>30</v>
      </c>
      <c r="E330" s="4">
        <v>0.009722222222222222</v>
      </c>
      <c r="F330" s="1" t="s">
        <v>509</v>
      </c>
      <c r="G330" s="1" t="s">
        <v>28</v>
      </c>
      <c r="H330" s="4">
        <v>0.26875</v>
      </c>
      <c r="I330" s="1" t="s">
        <v>214</v>
      </c>
      <c r="J330" s="1" t="s">
        <v>30</v>
      </c>
      <c r="K330" s="4">
        <v>0.49375</v>
      </c>
      <c r="L330" s="1" t="s">
        <v>99</v>
      </c>
      <c r="M330" s="1" t="s">
        <v>28</v>
      </c>
      <c r="N330" s="4">
        <v>0.7555555555555555</v>
      </c>
      <c r="O330" s="1" t="s">
        <v>497</v>
      </c>
      <c r="P330" s="1">
        <f t="shared" si="1"/>
        <v>137</v>
      </c>
      <c r="Q330" s="1">
        <f t="shared" si="2"/>
        <v>136</v>
      </c>
      <c r="R330" s="5">
        <f t="shared" si="3"/>
        <v>137</v>
      </c>
      <c r="S330" s="5" t="s">
        <v>47</v>
      </c>
    </row>
    <row r="331">
      <c r="A331" s="1" t="s">
        <v>507</v>
      </c>
      <c r="B331" s="2">
        <v>26.0</v>
      </c>
      <c r="C331" s="1" t="s">
        <v>26</v>
      </c>
      <c r="D331" s="1" t="s">
        <v>30</v>
      </c>
      <c r="E331" s="4">
        <v>0.04236111111111111</v>
      </c>
      <c r="F331" s="1" t="s">
        <v>510</v>
      </c>
      <c r="G331" s="1" t="s">
        <v>28</v>
      </c>
      <c r="H331" s="4">
        <v>0.3020833333333333</v>
      </c>
      <c r="I331" s="1" t="s">
        <v>123</v>
      </c>
      <c r="J331" s="1" t="s">
        <v>30</v>
      </c>
      <c r="K331" s="4">
        <v>0.5222222222222223</v>
      </c>
      <c r="L331" s="1" t="s">
        <v>146</v>
      </c>
      <c r="M331" s="1" t="s">
        <v>28</v>
      </c>
      <c r="N331" s="4">
        <v>0.7868055555555555</v>
      </c>
      <c r="O331" s="1" t="s">
        <v>346</v>
      </c>
      <c r="P331" s="1">
        <f t="shared" si="1"/>
        <v>133</v>
      </c>
      <c r="Q331" s="1">
        <f t="shared" si="2"/>
        <v>133</v>
      </c>
      <c r="R331" s="5">
        <f t="shared" si="3"/>
        <v>133</v>
      </c>
      <c r="S331" s="5" t="s">
        <v>47</v>
      </c>
    </row>
    <row r="332">
      <c r="A332" s="1" t="s">
        <v>507</v>
      </c>
      <c r="B332" s="2">
        <v>27.0</v>
      </c>
      <c r="C332" s="1" t="s">
        <v>34</v>
      </c>
      <c r="D332" s="1" t="s">
        <v>30</v>
      </c>
      <c r="E332" s="4">
        <v>0.07777777777777778</v>
      </c>
      <c r="F332" s="1" t="s">
        <v>76</v>
      </c>
      <c r="G332" s="1" t="s">
        <v>28</v>
      </c>
      <c r="H332" s="4">
        <v>0.3375</v>
      </c>
      <c r="I332" s="1" t="s">
        <v>77</v>
      </c>
      <c r="J332" s="1" t="s">
        <v>30</v>
      </c>
      <c r="K332" s="4">
        <v>0.5534722222222223</v>
      </c>
      <c r="L332" s="1" t="s">
        <v>257</v>
      </c>
      <c r="M332" s="1" t="s">
        <v>28</v>
      </c>
      <c r="N332" s="4">
        <v>0.8201388888888889</v>
      </c>
      <c r="O332" s="1" t="s">
        <v>46</v>
      </c>
      <c r="P332" s="1">
        <f t="shared" si="1"/>
        <v>123</v>
      </c>
      <c r="Q332" s="1">
        <f t="shared" si="2"/>
        <v>125</v>
      </c>
      <c r="R332" s="5">
        <f t="shared" si="3"/>
        <v>125</v>
      </c>
      <c r="S332" s="5" t="s">
        <v>47</v>
      </c>
    </row>
    <row r="333">
      <c r="A333" s="1" t="s">
        <v>507</v>
      </c>
      <c r="B333" s="2">
        <v>28.0</v>
      </c>
      <c r="C333" s="1" t="s">
        <v>41</v>
      </c>
      <c r="D333" s="1" t="s">
        <v>30</v>
      </c>
      <c r="E333" s="4">
        <v>0.11527777777777778</v>
      </c>
      <c r="F333" s="1" t="s">
        <v>511</v>
      </c>
      <c r="G333" s="1" t="s">
        <v>28</v>
      </c>
      <c r="H333" s="4">
        <v>0.375</v>
      </c>
      <c r="I333" s="1" t="s">
        <v>44</v>
      </c>
      <c r="J333" s="1" t="s">
        <v>30</v>
      </c>
      <c r="K333" s="4">
        <v>0.5888888888888889</v>
      </c>
      <c r="L333" s="1" t="s">
        <v>200</v>
      </c>
      <c r="M333" s="1" t="s">
        <v>28</v>
      </c>
      <c r="N333" s="4">
        <v>0.85625</v>
      </c>
      <c r="O333" s="1" t="s">
        <v>78</v>
      </c>
      <c r="P333" s="1">
        <f t="shared" si="1"/>
        <v>109</v>
      </c>
      <c r="Q333" s="1">
        <f t="shared" si="2"/>
        <v>110</v>
      </c>
      <c r="R333" s="5">
        <f t="shared" si="3"/>
        <v>110</v>
      </c>
      <c r="S333" s="5" t="s">
        <v>90</v>
      </c>
    </row>
    <row r="334">
      <c r="A334" s="1" t="s">
        <v>507</v>
      </c>
      <c r="B334" s="2">
        <v>29.0</v>
      </c>
      <c r="C334" s="1" t="s">
        <v>55</v>
      </c>
      <c r="D334" s="1" t="s">
        <v>30</v>
      </c>
      <c r="E334" s="4">
        <v>0.15486111111111112</v>
      </c>
      <c r="F334" s="1" t="s">
        <v>177</v>
      </c>
      <c r="G334" s="1" t="s">
        <v>28</v>
      </c>
      <c r="H334" s="4">
        <v>0.4166666666666667</v>
      </c>
      <c r="I334" s="1" t="s">
        <v>222</v>
      </c>
      <c r="J334" s="1" t="s">
        <v>30</v>
      </c>
      <c r="K334" s="4">
        <v>0.63125</v>
      </c>
      <c r="L334" s="1" t="s">
        <v>224</v>
      </c>
      <c r="M334" s="1" t="s">
        <v>28</v>
      </c>
      <c r="N334" s="4">
        <v>0.8958333333333334</v>
      </c>
      <c r="O334" s="1" t="s">
        <v>135</v>
      </c>
      <c r="P334" s="1">
        <f t="shared" si="1"/>
        <v>95</v>
      </c>
      <c r="Q334" s="1">
        <f t="shared" si="2"/>
        <v>91</v>
      </c>
      <c r="R334" s="5">
        <f t="shared" si="3"/>
        <v>95</v>
      </c>
      <c r="S334" s="5" t="s">
        <v>90</v>
      </c>
    </row>
    <row r="335">
      <c r="A335" s="1" t="s">
        <v>507</v>
      </c>
      <c r="B335" s="2">
        <v>30.0</v>
      </c>
      <c r="C335" s="1" t="s">
        <v>25</v>
      </c>
      <c r="D335" s="1" t="s">
        <v>30</v>
      </c>
      <c r="E335" s="4">
        <v>0.1986111111111111</v>
      </c>
      <c r="F335" s="1" t="s">
        <v>129</v>
      </c>
      <c r="G335" s="1" t="s">
        <v>28</v>
      </c>
      <c r="H335" s="4">
        <v>0.4618055555555556</v>
      </c>
      <c r="I335" s="1" t="s">
        <v>426</v>
      </c>
      <c r="J335" s="1" t="s">
        <v>30</v>
      </c>
      <c r="K335" s="4">
        <v>0.6833333333333333</v>
      </c>
      <c r="L335" s="1" t="s">
        <v>120</v>
      </c>
      <c r="M335" s="1" t="s">
        <v>28</v>
      </c>
      <c r="N335" s="4">
        <v>0.9430555555555555</v>
      </c>
      <c r="O335" s="1" t="s">
        <v>218</v>
      </c>
      <c r="P335" s="1">
        <f t="shared" si="1"/>
        <v>83</v>
      </c>
      <c r="Q335" s="1">
        <f t="shared" si="2"/>
        <v>73</v>
      </c>
      <c r="R335" s="5">
        <f t="shared" si="3"/>
        <v>83</v>
      </c>
      <c r="S335" s="5" t="s">
        <v>39</v>
      </c>
    </row>
    <row r="336">
      <c r="A336" s="1" t="s">
        <v>24</v>
      </c>
      <c r="B336" s="2">
        <v>1.0</v>
      </c>
      <c r="C336" s="1" t="s">
        <v>75</v>
      </c>
      <c r="D336" s="1" t="s">
        <v>30</v>
      </c>
      <c r="E336" s="4">
        <v>0.24375</v>
      </c>
      <c r="F336" s="1" t="s">
        <v>174</v>
      </c>
      <c r="G336" s="1" t="s">
        <v>28</v>
      </c>
      <c r="H336" s="4">
        <v>0.5083333333333333</v>
      </c>
      <c r="I336" s="1" t="s">
        <v>145</v>
      </c>
      <c r="J336" s="1" t="s">
        <v>30</v>
      </c>
      <c r="K336" s="4">
        <v>0.7458333333333333</v>
      </c>
      <c r="L336" s="1" t="s">
        <v>120</v>
      </c>
      <c r="M336" s="1" t="s">
        <v>28</v>
      </c>
      <c r="N336" s="4">
        <v>0.9986111111111111</v>
      </c>
      <c r="O336" s="1" t="s">
        <v>256</v>
      </c>
      <c r="P336" s="1">
        <f t="shared" si="1"/>
        <v>76</v>
      </c>
      <c r="Q336" s="1">
        <f t="shared" si="2"/>
        <v>61</v>
      </c>
      <c r="R336" s="5">
        <f t="shared" si="3"/>
        <v>76</v>
      </c>
      <c r="S336" s="5" t="s">
        <v>39</v>
      </c>
    </row>
    <row r="337">
      <c r="A337" s="1" t="s">
        <v>24</v>
      </c>
      <c r="B337" s="2">
        <v>2.0</v>
      </c>
      <c r="C337" s="1" t="s">
        <v>86</v>
      </c>
      <c r="D337" s="1" t="s">
        <v>30</v>
      </c>
      <c r="E337" s="4">
        <v>0.2861111111111111</v>
      </c>
      <c r="F337" s="1" t="s">
        <v>186</v>
      </c>
      <c r="G337" s="1" t="s">
        <v>28</v>
      </c>
      <c r="H337" s="4">
        <v>0.5506944444444445</v>
      </c>
      <c r="I337" s="1" t="s">
        <v>111</v>
      </c>
      <c r="J337" s="1" t="s">
        <v>30</v>
      </c>
      <c r="K337" s="4">
        <v>0.8104166666666667</v>
      </c>
      <c r="L337" s="1" t="s">
        <v>115</v>
      </c>
      <c r="P337" s="1">
        <f t="shared" si="1"/>
        <v>74</v>
      </c>
      <c r="Q337" s="1">
        <f t="shared" si="2"/>
        <v>45</v>
      </c>
      <c r="R337" s="5">
        <f t="shared" si="3"/>
        <v>74</v>
      </c>
      <c r="S337" s="5" t="s">
        <v>39</v>
      </c>
    </row>
    <row r="338">
      <c r="A338" s="1" t="s">
        <v>24</v>
      </c>
      <c r="B338" s="2">
        <v>3.0</v>
      </c>
      <c r="C338" s="1" t="s">
        <v>26</v>
      </c>
      <c r="D338" s="1" t="s">
        <v>28</v>
      </c>
      <c r="E338" s="4">
        <v>0.05694444444444444</v>
      </c>
      <c r="F338" s="1" t="s">
        <v>111</v>
      </c>
      <c r="G338" s="1" t="s">
        <v>30</v>
      </c>
      <c r="H338" s="4">
        <v>0.32569444444444445</v>
      </c>
      <c r="I338" s="1" t="s">
        <v>37</v>
      </c>
      <c r="J338" s="1" t="s">
        <v>28</v>
      </c>
      <c r="K338" s="4">
        <v>0.5881944444444445</v>
      </c>
      <c r="L338" s="1" t="s">
        <v>173</v>
      </c>
      <c r="M338" s="1" t="s">
        <v>30</v>
      </c>
      <c r="N338" s="4">
        <v>0.8645833333333334</v>
      </c>
      <c r="O338" s="1" t="s">
        <v>37</v>
      </c>
      <c r="P338" s="1">
        <f t="shared" si="1"/>
        <v>69</v>
      </c>
      <c r="Q338" s="1">
        <f t="shared" si="2"/>
        <v>76</v>
      </c>
      <c r="R338" s="5">
        <f t="shared" si="3"/>
        <v>76</v>
      </c>
      <c r="S338" s="5" t="s">
        <v>39</v>
      </c>
    </row>
    <row r="339">
      <c r="A339" s="1" t="s">
        <v>24</v>
      </c>
      <c r="B339" s="2">
        <v>4.0</v>
      </c>
      <c r="C339" s="1" t="s">
        <v>34</v>
      </c>
      <c r="D339" s="1" t="s">
        <v>28</v>
      </c>
      <c r="E339" s="4">
        <v>0.11041666666666666</v>
      </c>
      <c r="F339" s="1" t="s">
        <v>44</v>
      </c>
      <c r="G339" s="1" t="s">
        <v>30</v>
      </c>
      <c r="H339" s="4">
        <v>0.36041666666666666</v>
      </c>
      <c r="I339" s="1" t="s">
        <v>31</v>
      </c>
      <c r="J339" s="1" t="s">
        <v>28</v>
      </c>
      <c r="K339" s="4">
        <v>0.6208333333333333</v>
      </c>
      <c r="L339" s="1" t="s">
        <v>181</v>
      </c>
      <c r="M339" s="1" t="s">
        <v>30</v>
      </c>
      <c r="N339" s="4">
        <v>0.90625</v>
      </c>
      <c r="O339" s="1" t="s">
        <v>182</v>
      </c>
      <c r="P339" s="1">
        <f t="shared" si="1"/>
        <v>62</v>
      </c>
      <c r="Q339" s="1">
        <f t="shared" si="2"/>
        <v>94</v>
      </c>
      <c r="R339" s="5">
        <f t="shared" si="3"/>
        <v>94</v>
      </c>
      <c r="S339" s="5" t="s">
        <v>90</v>
      </c>
    </row>
    <row r="340">
      <c r="A340" s="1" t="s">
        <v>24</v>
      </c>
      <c r="B340" s="2">
        <v>5.0</v>
      </c>
      <c r="C340" s="1" t="s">
        <v>41</v>
      </c>
      <c r="D340" s="1" t="s">
        <v>28</v>
      </c>
      <c r="E340" s="4">
        <v>0.15555555555555556</v>
      </c>
      <c r="F340" s="1" t="s">
        <v>359</v>
      </c>
      <c r="G340" s="1" t="s">
        <v>30</v>
      </c>
      <c r="H340" s="4">
        <v>0.3909722222222222</v>
      </c>
      <c r="I340" s="1" t="s">
        <v>114</v>
      </c>
      <c r="J340" s="1" t="s">
        <v>28</v>
      </c>
      <c r="K340" s="4">
        <v>0.6506944444444445</v>
      </c>
      <c r="L340" s="1" t="s">
        <v>402</v>
      </c>
      <c r="M340" s="1" t="s">
        <v>30</v>
      </c>
      <c r="N340" s="4">
        <v>0.9395833333333333</v>
      </c>
      <c r="O340" s="1" t="s">
        <v>386</v>
      </c>
      <c r="P340" s="1">
        <f t="shared" si="1"/>
        <v>60</v>
      </c>
      <c r="Q340" s="1">
        <f t="shared" si="2"/>
        <v>111</v>
      </c>
      <c r="R340" s="5">
        <f t="shared" si="3"/>
        <v>111</v>
      </c>
      <c r="S340" s="5" t="s">
        <v>90</v>
      </c>
    </row>
    <row r="341">
      <c r="A341" s="1" t="s">
        <v>24</v>
      </c>
      <c r="B341" s="2">
        <v>6.0</v>
      </c>
      <c r="C341" s="1" t="s">
        <v>55</v>
      </c>
      <c r="D341" s="1" t="s">
        <v>28</v>
      </c>
      <c r="E341" s="4">
        <v>0.19236111111111112</v>
      </c>
      <c r="F341" s="1" t="s">
        <v>359</v>
      </c>
      <c r="G341" s="1" t="s">
        <v>30</v>
      </c>
      <c r="H341" s="4">
        <v>0.41805555555555557</v>
      </c>
      <c r="I341" s="1" t="s">
        <v>114</v>
      </c>
      <c r="J341" s="1" t="s">
        <v>28</v>
      </c>
      <c r="K341" s="4">
        <v>0.6770833333333334</v>
      </c>
      <c r="L341" s="1" t="s">
        <v>292</v>
      </c>
      <c r="M341" s="1" t="s">
        <v>30</v>
      </c>
      <c r="N341" s="4">
        <v>0.9673611111111111</v>
      </c>
      <c r="O341" s="1" t="s">
        <v>98</v>
      </c>
      <c r="P341" s="1">
        <f t="shared" si="1"/>
        <v>60</v>
      </c>
      <c r="Q341" s="1">
        <f t="shared" si="2"/>
        <v>125</v>
      </c>
      <c r="R341" s="5">
        <f t="shared" si="3"/>
        <v>125</v>
      </c>
      <c r="S341" s="5" t="s">
        <v>47</v>
      </c>
    </row>
    <row r="342">
      <c r="A342" s="1" t="s">
        <v>24</v>
      </c>
      <c r="B342" s="2">
        <v>7.0</v>
      </c>
      <c r="C342" s="1" t="s">
        <v>25</v>
      </c>
      <c r="D342" s="1" t="s">
        <v>28</v>
      </c>
      <c r="E342" s="4">
        <v>0.22361111111111112</v>
      </c>
      <c r="F342" s="1" t="s">
        <v>359</v>
      </c>
      <c r="G342" s="1" t="s">
        <v>30</v>
      </c>
      <c r="H342" s="4">
        <v>0.44305555555555554</v>
      </c>
      <c r="I342" s="1" t="s">
        <v>31</v>
      </c>
      <c r="J342" s="1" t="s">
        <v>28</v>
      </c>
      <c r="K342" s="4">
        <v>0.7027777777777777</v>
      </c>
      <c r="L342" s="1" t="s">
        <v>335</v>
      </c>
      <c r="M342" s="1" t="s">
        <v>30</v>
      </c>
      <c r="N342" s="4">
        <v>0.9923611111111111</v>
      </c>
      <c r="O342" s="1" t="s">
        <v>475</v>
      </c>
      <c r="P342" s="1">
        <f t="shared" si="1"/>
        <v>61</v>
      </c>
      <c r="Q342" s="1">
        <f t="shared" si="2"/>
        <v>137</v>
      </c>
      <c r="R342" s="5">
        <f t="shared" si="3"/>
        <v>137</v>
      </c>
      <c r="S342" s="5" t="s">
        <v>47</v>
      </c>
    </row>
    <row r="343">
      <c r="A343" s="1" t="s">
        <v>24</v>
      </c>
      <c r="B343" s="2">
        <v>8.0</v>
      </c>
      <c r="C343" s="1" t="s">
        <v>75</v>
      </c>
      <c r="D343" s="1" t="s">
        <v>28</v>
      </c>
      <c r="E343" s="4">
        <v>0.25069444444444444</v>
      </c>
      <c r="F343" s="1" t="s">
        <v>359</v>
      </c>
      <c r="G343" s="1" t="s">
        <v>30</v>
      </c>
      <c r="H343" s="4">
        <v>0.4666666666666667</v>
      </c>
      <c r="I343" s="1" t="s">
        <v>469</v>
      </c>
      <c r="J343" s="1" t="s">
        <v>28</v>
      </c>
      <c r="K343" s="4">
        <v>0.7270833333333333</v>
      </c>
      <c r="L343" s="1" t="s">
        <v>89</v>
      </c>
      <c r="P343" s="1">
        <f t="shared" si="1"/>
        <v>63</v>
      </c>
      <c r="Q343" s="1">
        <f t="shared" si="2"/>
        <v>49</v>
      </c>
      <c r="R343" s="5">
        <f t="shared" si="3"/>
        <v>63</v>
      </c>
      <c r="S343" s="5" t="s">
        <v>39</v>
      </c>
    </row>
    <row r="344">
      <c r="A344" s="1" t="s">
        <v>24</v>
      </c>
      <c r="B344" s="2">
        <v>9.0</v>
      </c>
      <c r="C344" s="1" t="s">
        <v>86</v>
      </c>
      <c r="D344" s="1" t="s">
        <v>30</v>
      </c>
      <c r="E344" s="4">
        <v>0.015277777777777777</v>
      </c>
      <c r="F344" s="1" t="s">
        <v>456</v>
      </c>
      <c r="G344" s="1" t="s">
        <v>28</v>
      </c>
      <c r="H344" s="4">
        <v>0.27569444444444446</v>
      </c>
      <c r="I344" s="1" t="s">
        <v>145</v>
      </c>
      <c r="J344" s="1" t="s">
        <v>30</v>
      </c>
      <c r="K344" s="4">
        <v>0.4895833333333333</v>
      </c>
      <c r="L344" s="1" t="s">
        <v>37</v>
      </c>
      <c r="M344" s="1" t="s">
        <v>28</v>
      </c>
      <c r="N344" s="4">
        <v>0.7506944444444444</v>
      </c>
      <c r="O344" s="1" t="s">
        <v>307</v>
      </c>
      <c r="P344" s="1">
        <f t="shared" si="1"/>
        <v>103</v>
      </c>
      <c r="Q344" s="1">
        <f t="shared" si="2"/>
        <v>106</v>
      </c>
      <c r="R344" s="5">
        <f t="shared" si="3"/>
        <v>106</v>
      </c>
      <c r="S344" s="5" t="s">
        <v>90</v>
      </c>
    </row>
    <row r="345">
      <c r="A345" s="1" t="s">
        <v>24</v>
      </c>
      <c r="B345" s="2">
        <v>10.0</v>
      </c>
      <c r="C345" s="1" t="s">
        <v>26</v>
      </c>
      <c r="D345" s="1" t="s">
        <v>30</v>
      </c>
      <c r="E345" s="4">
        <v>0.03819444444444445</v>
      </c>
      <c r="F345" s="1" t="s">
        <v>156</v>
      </c>
      <c r="G345" s="1" t="s">
        <v>28</v>
      </c>
      <c r="H345" s="4">
        <v>0.29930555555555555</v>
      </c>
      <c r="I345" s="1" t="s">
        <v>36</v>
      </c>
      <c r="J345" s="1" t="s">
        <v>30</v>
      </c>
      <c r="K345" s="4">
        <v>0.5131944444444444</v>
      </c>
      <c r="L345" s="1" t="s">
        <v>146</v>
      </c>
      <c r="M345" s="1" t="s">
        <v>28</v>
      </c>
      <c r="N345" s="4">
        <v>0.7736111111111111</v>
      </c>
      <c r="O345" s="1" t="s">
        <v>195</v>
      </c>
      <c r="P345" s="1">
        <f t="shared" si="1"/>
        <v>103</v>
      </c>
      <c r="Q345" s="1">
        <f t="shared" si="2"/>
        <v>108</v>
      </c>
      <c r="R345" s="5">
        <f t="shared" si="3"/>
        <v>108</v>
      </c>
      <c r="S345" s="5" t="s">
        <v>90</v>
      </c>
    </row>
    <row r="346">
      <c r="A346" s="1" t="s">
        <v>24</v>
      </c>
      <c r="B346" s="2">
        <v>11.0</v>
      </c>
      <c r="C346" s="1" t="s">
        <v>34</v>
      </c>
      <c r="D346" s="1" t="s">
        <v>30</v>
      </c>
      <c r="E346" s="4">
        <v>0.06041666666666667</v>
      </c>
      <c r="F346" s="1" t="s">
        <v>456</v>
      </c>
      <c r="G346" s="1" t="s">
        <v>28</v>
      </c>
      <c r="H346" s="4">
        <v>0.3229166666666667</v>
      </c>
      <c r="I346" s="1" t="s">
        <v>426</v>
      </c>
      <c r="J346" s="1" t="s">
        <v>30</v>
      </c>
      <c r="K346" s="4">
        <v>0.5361111111111111</v>
      </c>
      <c r="L346" s="1" t="s">
        <v>37</v>
      </c>
      <c r="M346" s="1" t="s">
        <v>28</v>
      </c>
      <c r="N346" s="4">
        <v>0.7965277777777777</v>
      </c>
      <c r="O346" s="1" t="s">
        <v>265</v>
      </c>
      <c r="P346" s="1">
        <f t="shared" si="1"/>
        <v>100</v>
      </c>
      <c r="Q346" s="1">
        <f t="shared" si="2"/>
        <v>105</v>
      </c>
      <c r="R346" s="5">
        <f t="shared" si="3"/>
        <v>105</v>
      </c>
      <c r="S346" s="5" t="s">
        <v>90</v>
      </c>
    </row>
    <row r="347">
      <c r="A347" s="1" t="s">
        <v>24</v>
      </c>
      <c r="B347" s="2">
        <v>12.0</v>
      </c>
      <c r="C347" s="1" t="s">
        <v>41</v>
      </c>
      <c r="D347" s="1" t="s">
        <v>30</v>
      </c>
      <c r="E347" s="4">
        <v>0.08333333333333333</v>
      </c>
      <c r="F347" s="1" t="s">
        <v>475</v>
      </c>
      <c r="G347" s="1" t="s">
        <v>28</v>
      </c>
      <c r="H347" s="4">
        <v>0.3458333333333333</v>
      </c>
      <c r="I347" s="1" t="s">
        <v>29</v>
      </c>
      <c r="J347" s="1" t="s">
        <v>30</v>
      </c>
      <c r="K347" s="4">
        <v>0.5604166666666667</v>
      </c>
      <c r="L347" s="1" t="s">
        <v>469</v>
      </c>
      <c r="M347" s="1" t="s">
        <v>28</v>
      </c>
      <c r="N347" s="4">
        <v>0.8201388888888889</v>
      </c>
      <c r="O347" s="1" t="s">
        <v>301</v>
      </c>
      <c r="P347" s="1">
        <f t="shared" si="1"/>
        <v>94</v>
      </c>
      <c r="Q347" s="1">
        <f t="shared" si="2"/>
        <v>101</v>
      </c>
      <c r="R347" s="5">
        <f t="shared" si="3"/>
        <v>101</v>
      </c>
      <c r="S347" s="5" t="s">
        <v>90</v>
      </c>
    </row>
    <row r="348">
      <c r="A348" s="1" t="s">
        <v>24</v>
      </c>
      <c r="B348" s="2">
        <v>13.0</v>
      </c>
      <c r="C348" s="1" t="s">
        <v>55</v>
      </c>
      <c r="D348" s="1" t="s">
        <v>30</v>
      </c>
      <c r="E348" s="4">
        <v>0.10625</v>
      </c>
      <c r="F348" s="1" t="s">
        <v>300</v>
      </c>
      <c r="G348" s="1" t="s">
        <v>28</v>
      </c>
      <c r="H348" s="4">
        <v>0.36944444444444446</v>
      </c>
      <c r="I348" s="1" t="s">
        <v>113</v>
      </c>
      <c r="J348" s="1" t="s">
        <v>30</v>
      </c>
      <c r="K348" s="4">
        <v>0.5861111111111111</v>
      </c>
      <c r="L348" s="1" t="s">
        <v>114</v>
      </c>
      <c r="M348" s="1" t="s">
        <v>28</v>
      </c>
      <c r="N348" s="4">
        <v>0.8451388888888889</v>
      </c>
      <c r="O348" s="1" t="s">
        <v>251</v>
      </c>
      <c r="P348" s="1">
        <f t="shared" si="1"/>
        <v>87</v>
      </c>
      <c r="Q348" s="1">
        <f t="shared" si="2"/>
        <v>93</v>
      </c>
      <c r="R348" s="5">
        <f t="shared" si="3"/>
        <v>93</v>
      </c>
      <c r="S348" s="5" t="s">
        <v>90</v>
      </c>
    </row>
    <row r="349">
      <c r="A349" s="1" t="s">
        <v>24</v>
      </c>
      <c r="B349" s="2">
        <v>14.0</v>
      </c>
      <c r="C349" s="1" t="s">
        <v>25</v>
      </c>
      <c r="D349" s="1" t="s">
        <v>30</v>
      </c>
      <c r="E349" s="4">
        <v>0.13125</v>
      </c>
      <c r="F349" s="1" t="s">
        <v>302</v>
      </c>
      <c r="G349" s="1" t="s">
        <v>28</v>
      </c>
      <c r="H349" s="4">
        <v>0.3958333333333333</v>
      </c>
      <c r="I349" s="1" t="s">
        <v>397</v>
      </c>
      <c r="J349" s="1" t="s">
        <v>30</v>
      </c>
      <c r="K349" s="4">
        <v>0.6152777777777778</v>
      </c>
      <c r="L349" s="1" t="s">
        <v>112</v>
      </c>
      <c r="M349" s="1" t="s">
        <v>28</v>
      </c>
      <c r="N349" s="4">
        <v>0.8722222222222222</v>
      </c>
      <c r="O349" s="1" t="s">
        <v>218</v>
      </c>
      <c r="P349" s="1">
        <f t="shared" si="1"/>
        <v>80</v>
      </c>
      <c r="Q349" s="1">
        <f t="shared" si="2"/>
        <v>81</v>
      </c>
      <c r="R349" s="5">
        <f t="shared" si="3"/>
        <v>81</v>
      </c>
      <c r="S349" s="5" t="s">
        <v>39</v>
      </c>
    </row>
    <row r="350">
      <c r="A350" s="1" t="s">
        <v>24</v>
      </c>
      <c r="B350" s="2">
        <v>15.0</v>
      </c>
      <c r="C350" s="1" t="s">
        <v>75</v>
      </c>
      <c r="D350" s="1" t="s">
        <v>30</v>
      </c>
      <c r="E350" s="4">
        <v>0.15763888888888888</v>
      </c>
      <c r="F350" s="1" t="s">
        <v>108</v>
      </c>
      <c r="G350" s="1" t="s">
        <v>28</v>
      </c>
      <c r="H350" s="4">
        <v>0.4263888888888889</v>
      </c>
      <c r="I350" s="1" t="s">
        <v>397</v>
      </c>
      <c r="J350" s="1" t="s">
        <v>30</v>
      </c>
      <c r="K350" s="4">
        <v>0.6506944444444445</v>
      </c>
      <c r="L350" s="1" t="s">
        <v>117</v>
      </c>
      <c r="M350" s="1" t="s">
        <v>28</v>
      </c>
      <c r="N350" s="4">
        <v>0.9034722222222222</v>
      </c>
      <c r="O350" s="1" t="s">
        <v>178</v>
      </c>
      <c r="P350" s="1">
        <f t="shared" si="1"/>
        <v>73</v>
      </c>
      <c r="Q350" s="1">
        <f t="shared" si="2"/>
        <v>70</v>
      </c>
      <c r="R350" s="5">
        <f t="shared" si="3"/>
        <v>73</v>
      </c>
      <c r="S350" s="5" t="s">
        <v>39</v>
      </c>
    </row>
    <row r="351">
      <c r="A351" s="1" t="s">
        <v>24</v>
      </c>
      <c r="B351" s="2">
        <v>16.0</v>
      </c>
      <c r="C351" s="1" t="s">
        <v>86</v>
      </c>
      <c r="D351" s="1" t="s">
        <v>30</v>
      </c>
      <c r="E351" s="4">
        <v>0.18819444444444444</v>
      </c>
      <c r="F351" s="1" t="s">
        <v>182</v>
      </c>
      <c r="G351" s="1" t="s">
        <v>28</v>
      </c>
      <c r="H351" s="4">
        <v>0.4618055555555556</v>
      </c>
      <c r="I351" s="1" t="s">
        <v>29</v>
      </c>
      <c r="J351" s="1" t="s">
        <v>30</v>
      </c>
      <c r="K351" s="4">
        <v>0.6951388888888889</v>
      </c>
      <c r="L351" s="1" t="s">
        <v>446</v>
      </c>
      <c r="M351" s="1" t="s">
        <v>28</v>
      </c>
      <c r="N351" s="4">
        <v>0.9416666666666667</v>
      </c>
      <c r="O351" s="1" t="s">
        <v>109</v>
      </c>
      <c r="P351" s="1">
        <f t="shared" si="1"/>
        <v>69</v>
      </c>
      <c r="Q351" s="1">
        <f t="shared" si="2"/>
        <v>58</v>
      </c>
      <c r="R351" s="5">
        <f t="shared" si="3"/>
        <v>69</v>
      </c>
      <c r="S351" s="5" t="s">
        <v>39</v>
      </c>
    </row>
    <row r="352">
      <c r="A352" s="1" t="s">
        <v>24</v>
      </c>
      <c r="B352" s="2">
        <v>17.0</v>
      </c>
      <c r="C352" s="1" t="s">
        <v>26</v>
      </c>
      <c r="D352" s="1" t="s">
        <v>30</v>
      </c>
      <c r="E352" s="4">
        <v>0.22291666666666668</v>
      </c>
      <c r="F352" s="1" t="s">
        <v>186</v>
      </c>
      <c r="G352" s="1" t="s">
        <v>28</v>
      </c>
      <c r="H352" s="4">
        <v>0.5006944444444444</v>
      </c>
      <c r="I352" s="1" t="s">
        <v>145</v>
      </c>
      <c r="J352" s="1" t="s">
        <v>30</v>
      </c>
      <c r="K352" s="4">
        <v>0.7493055555555556</v>
      </c>
      <c r="L352" s="1" t="s">
        <v>224</v>
      </c>
      <c r="M352" s="1" t="s">
        <v>28</v>
      </c>
      <c r="N352" s="4">
        <v>0.9888888888888889</v>
      </c>
      <c r="O352" s="1" t="s">
        <v>359</v>
      </c>
      <c r="P352" s="1">
        <f t="shared" si="1"/>
        <v>68</v>
      </c>
      <c r="Q352" s="1">
        <f t="shared" si="2"/>
        <v>52</v>
      </c>
      <c r="R352" s="5">
        <f t="shared" si="3"/>
        <v>68</v>
      </c>
      <c r="S352" s="5" t="s">
        <v>39</v>
      </c>
    </row>
    <row r="353">
      <c r="A353" s="1" t="s">
        <v>24</v>
      </c>
      <c r="B353" s="2">
        <v>18.0</v>
      </c>
      <c r="C353" s="1" t="s">
        <v>34</v>
      </c>
      <c r="D353" s="1" t="s">
        <v>30</v>
      </c>
      <c r="E353" s="4">
        <v>0.2625</v>
      </c>
      <c r="F353" s="1" t="s">
        <v>146</v>
      </c>
      <c r="G353" s="1" t="s">
        <v>28</v>
      </c>
      <c r="H353" s="4">
        <v>0.5395833333333333</v>
      </c>
      <c r="I353" s="1" t="s">
        <v>111</v>
      </c>
      <c r="J353" s="1" t="s">
        <v>30</v>
      </c>
      <c r="K353" s="4">
        <v>0.8055555555555556</v>
      </c>
      <c r="L353" s="1" t="s">
        <v>134</v>
      </c>
      <c r="P353" s="1">
        <f t="shared" si="1"/>
        <v>70</v>
      </c>
      <c r="Q353" s="1">
        <f t="shared" si="2"/>
        <v>50</v>
      </c>
      <c r="R353" s="5">
        <f t="shared" si="3"/>
        <v>70</v>
      </c>
      <c r="S353" s="5" t="s">
        <v>39</v>
      </c>
    </row>
    <row r="354">
      <c r="A354" s="1" t="s">
        <v>24</v>
      </c>
      <c r="B354" s="2">
        <v>19.0</v>
      </c>
      <c r="C354" s="1" t="s">
        <v>41</v>
      </c>
      <c r="D354" s="1" t="s">
        <v>28</v>
      </c>
      <c r="E354" s="4">
        <v>0.04513888888888889</v>
      </c>
      <c r="F354" s="1" t="s">
        <v>249</v>
      </c>
      <c r="G354" s="1" t="s">
        <v>30</v>
      </c>
      <c r="H354" s="4">
        <v>0.3034722222222222</v>
      </c>
      <c r="I354" s="1" t="s">
        <v>257</v>
      </c>
      <c r="J354" s="1" t="s">
        <v>28</v>
      </c>
      <c r="K354" s="4">
        <v>0.5763888888888888</v>
      </c>
      <c r="L354" s="1" t="s">
        <v>123</v>
      </c>
      <c r="M354" s="1" t="s">
        <v>30</v>
      </c>
      <c r="N354" s="4">
        <v>0.85625</v>
      </c>
      <c r="O354" s="1" t="s">
        <v>88</v>
      </c>
      <c r="P354" s="1">
        <f t="shared" si="1"/>
        <v>57</v>
      </c>
      <c r="Q354" s="1">
        <f t="shared" si="2"/>
        <v>85</v>
      </c>
      <c r="R354" s="5">
        <f t="shared" si="3"/>
        <v>85</v>
      </c>
      <c r="S354" s="5" t="s">
        <v>39</v>
      </c>
    </row>
    <row r="355">
      <c r="A355" s="1" t="s">
        <v>24</v>
      </c>
      <c r="B355" s="2">
        <v>20.0</v>
      </c>
      <c r="C355" s="1" t="s">
        <v>55</v>
      </c>
      <c r="D355" s="1" t="s">
        <v>28</v>
      </c>
      <c r="E355" s="4">
        <v>0.10208333333333333</v>
      </c>
      <c r="F355" s="1" t="s">
        <v>29</v>
      </c>
      <c r="G355" s="1" t="s">
        <v>30</v>
      </c>
      <c r="H355" s="4">
        <v>0.34375</v>
      </c>
      <c r="I355" s="1" t="s">
        <v>114</v>
      </c>
      <c r="J355" s="1" t="s">
        <v>28</v>
      </c>
      <c r="K355" s="4">
        <v>0.6125</v>
      </c>
      <c r="L355" s="1" t="s">
        <v>218</v>
      </c>
      <c r="M355" s="1" t="s">
        <v>30</v>
      </c>
      <c r="N355" s="4">
        <v>0.8993055555555556</v>
      </c>
      <c r="O355" s="1" t="s">
        <v>219</v>
      </c>
      <c r="P355" s="1">
        <f t="shared" si="1"/>
        <v>54</v>
      </c>
      <c r="Q355" s="1">
        <f t="shared" si="2"/>
        <v>111</v>
      </c>
      <c r="R355" s="5">
        <f t="shared" si="3"/>
        <v>111</v>
      </c>
      <c r="S355" s="5" t="s">
        <v>90</v>
      </c>
    </row>
    <row r="356">
      <c r="A356" s="1" t="s">
        <v>24</v>
      </c>
      <c r="B356" s="2">
        <v>21.0</v>
      </c>
      <c r="C356" s="1" t="s">
        <v>25</v>
      </c>
      <c r="D356" s="1" t="s">
        <v>28</v>
      </c>
      <c r="E356" s="4">
        <v>0.15347222222222223</v>
      </c>
      <c r="F356" s="1" t="s">
        <v>426</v>
      </c>
      <c r="G356" s="1" t="s">
        <v>30</v>
      </c>
      <c r="H356" s="4">
        <v>0.38125</v>
      </c>
      <c r="I356" s="1" t="s">
        <v>31</v>
      </c>
      <c r="J356" s="1" t="s">
        <v>28</v>
      </c>
      <c r="K356" s="4">
        <v>0.6479166666666667</v>
      </c>
      <c r="L356" s="1" t="s">
        <v>335</v>
      </c>
      <c r="M356" s="1" t="s">
        <v>30</v>
      </c>
      <c r="N356" s="4">
        <v>0.9381944444444444</v>
      </c>
      <c r="O356" s="1" t="s">
        <v>415</v>
      </c>
      <c r="P356" s="1">
        <f t="shared" si="1"/>
        <v>57</v>
      </c>
      <c r="Q356" s="1">
        <f t="shared" si="2"/>
        <v>139</v>
      </c>
      <c r="R356" s="5">
        <f t="shared" si="3"/>
        <v>139</v>
      </c>
      <c r="S356" s="5" t="s">
        <v>47</v>
      </c>
    </row>
    <row r="357">
      <c r="A357" s="1" t="s">
        <v>24</v>
      </c>
      <c r="B357" s="2">
        <v>22.0</v>
      </c>
      <c r="C357" s="1" t="s">
        <v>75</v>
      </c>
      <c r="D357" s="1" t="s">
        <v>28</v>
      </c>
      <c r="E357" s="4">
        <v>0.19652777777777777</v>
      </c>
      <c r="F357" s="1" t="s">
        <v>359</v>
      </c>
      <c r="G357" s="1" t="s">
        <v>30</v>
      </c>
      <c r="H357" s="4">
        <v>0.4173611111111111</v>
      </c>
      <c r="I357" s="1" t="s">
        <v>469</v>
      </c>
      <c r="J357" s="1" t="s">
        <v>28</v>
      </c>
      <c r="K357" s="4">
        <v>0.6826388888888889</v>
      </c>
      <c r="L357" s="1" t="s">
        <v>434</v>
      </c>
      <c r="M357" s="1" t="s">
        <v>30</v>
      </c>
      <c r="N357" s="4">
        <v>0.9743055555555555</v>
      </c>
      <c r="O357" s="1" t="s">
        <v>513</v>
      </c>
      <c r="P357" s="1">
        <f t="shared" si="1"/>
        <v>63</v>
      </c>
      <c r="Q357" s="1">
        <f t="shared" si="2"/>
        <v>164</v>
      </c>
      <c r="R357" s="5">
        <f t="shared" si="3"/>
        <v>164</v>
      </c>
      <c r="S357" s="5" t="s">
        <v>47</v>
      </c>
    </row>
    <row r="358">
      <c r="A358" s="1" t="s">
        <v>24</v>
      </c>
      <c r="B358" s="2">
        <v>23.0</v>
      </c>
      <c r="C358" s="1" t="s">
        <v>86</v>
      </c>
      <c r="D358" s="1" t="s">
        <v>28</v>
      </c>
      <c r="E358" s="4">
        <v>0.23472222222222222</v>
      </c>
      <c r="F358" s="1" t="s">
        <v>157</v>
      </c>
      <c r="G358" s="1" t="s">
        <v>30</v>
      </c>
      <c r="H358" s="4">
        <v>0.45208333333333334</v>
      </c>
      <c r="I358" s="1" t="s">
        <v>277</v>
      </c>
      <c r="J358" s="1" t="s">
        <v>28</v>
      </c>
      <c r="K358" s="4">
        <v>0.7180555555555556</v>
      </c>
      <c r="L358" s="1" t="s">
        <v>436</v>
      </c>
      <c r="P358" s="1">
        <f t="shared" si="1"/>
        <v>69</v>
      </c>
      <c r="Q358" s="1">
        <f t="shared" si="2"/>
        <v>68</v>
      </c>
      <c r="R358" s="5">
        <f t="shared" si="3"/>
        <v>69</v>
      </c>
      <c r="S358" s="5" t="s">
        <v>39</v>
      </c>
    </row>
    <row r="359">
      <c r="A359" s="1" t="s">
        <v>24</v>
      </c>
      <c r="B359" s="2">
        <v>24.0</v>
      </c>
      <c r="C359" s="1" t="s">
        <v>26</v>
      </c>
      <c r="D359" s="1" t="s">
        <v>30</v>
      </c>
      <c r="E359" s="4">
        <v>0.009722222222222222</v>
      </c>
      <c r="F359" s="1" t="s">
        <v>43</v>
      </c>
      <c r="G359" s="1" t="s">
        <v>28</v>
      </c>
      <c r="H359" s="4">
        <v>0.26944444444444443</v>
      </c>
      <c r="I359" s="1" t="s">
        <v>111</v>
      </c>
      <c r="J359" s="1" t="s">
        <v>30</v>
      </c>
      <c r="K359" s="4">
        <v>0.4861111111111111</v>
      </c>
      <c r="L359" s="1" t="s">
        <v>186</v>
      </c>
      <c r="M359" s="1" t="s">
        <v>28</v>
      </c>
      <c r="N359" s="4">
        <v>0.7520833333333333</v>
      </c>
      <c r="O359" s="1" t="s">
        <v>298</v>
      </c>
      <c r="P359" s="1">
        <f t="shared" si="1"/>
        <v>128</v>
      </c>
      <c r="Q359" s="1">
        <f t="shared" si="2"/>
        <v>135</v>
      </c>
      <c r="R359" s="5">
        <f t="shared" si="3"/>
        <v>135</v>
      </c>
      <c r="S359" s="5" t="s">
        <v>47</v>
      </c>
    </row>
    <row r="360">
      <c r="A360" s="1" t="s">
        <v>24</v>
      </c>
      <c r="B360" s="2">
        <v>25.0</v>
      </c>
      <c r="C360" s="1" t="s">
        <v>34</v>
      </c>
      <c r="D360" s="1" t="s">
        <v>30</v>
      </c>
      <c r="E360" s="4">
        <v>0.04375</v>
      </c>
      <c r="F360" s="1" t="s">
        <v>515</v>
      </c>
      <c r="G360" s="1" t="s">
        <v>28</v>
      </c>
      <c r="H360" s="4">
        <v>0.3020833333333333</v>
      </c>
      <c r="I360" s="1" t="s">
        <v>65</v>
      </c>
      <c r="J360" s="1" t="s">
        <v>30</v>
      </c>
      <c r="K360" s="4">
        <v>0.5208333333333334</v>
      </c>
      <c r="L360" s="1" t="s">
        <v>58</v>
      </c>
      <c r="M360" s="1" t="s">
        <v>28</v>
      </c>
      <c r="N360" s="4">
        <v>0.7861111111111111</v>
      </c>
      <c r="O360" s="1" t="s">
        <v>346</v>
      </c>
      <c r="P360" s="1">
        <f t="shared" si="1"/>
        <v>133</v>
      </c>
      <c r="Q360" s="1">
        <f t="shared" si="2"/>
        <v>140</v>
      </c>
      <c r="R360" s="5">
        <f t="shared" si="3"/>
        <v>140</v>
      </c>
      <c r="S360" s="5" t="s">
        <v>47</v>
      </c>
    </row>
    <row r="361">
      <c r="A361" s="1" t="s">
        <v>24</v>
      </c>
      <c r="B361" s="2">
        <v>26.0</v>
      </c>
      <c r="C361" s="1" t="s">
        <v>41</v>
      </c>
      <c r="D361" s="1" t="s">
        <v>30</v>
      </c>
      <c r="E361" s="4">
        <v>0.07777777777777778</v>
      </c>
      <c r="F361" s="1" t="s">
        <v>516</v>
      </c>
      <c r="G361" s="1" t="s">
        <v>28</v>
      </c>
      <c r="H361" s="4">
        <v>0.3347222222222222</v>
      </c>
      <c r="I361" s="1" t="s">
        <v>77</v>
      </c>
      <c r="J361" s="1" t="s">
        <v>30</v>
      </c>
      <c r="K361" s="4">
        <v>0.5555555555555556</v>
      </c>
      <c r="L361" s="1" t="s">
        <v>66</v>
      </c>
      <c r="M361" s="1" t="s">
        <v>28</v>
      </c>
      <c r="N361" s="4">
        <v>0.8194444444444444</v>
      </c>
      <c r="O361" s="1" t="s">
        <v>59</v>
      </c>
      <c r="P361" s="1">
        <f t="shared" si="1"/>
        <v>132</v>
      </c>
      <c r="Q361" s="1">
        <f t="shared" si="2"/>
        <v>139</v>
      </c>
      <c r="R361" s="5">
        <f t="shared" si="3"/>
        <v>139</v>
      </c>
      <c r="S361" s="5" t="s">
        <v>47</v>
      </c>
    </row>
    <row r="362">
      <c r="A362" s="1" t="s">
        <v>24</v>
      </c>
      <c r="B362" s="2">
        <v>27.0</v>
      </c>
      <c r="C362" s="1" t="s">
        <v>55</v>
      </c>
      <c r="D362" s="1" t="s">
        <v>30</v>
      </c>
      <c r="E362" s="4">
        <v>0.11041666666666666</v>
      </c>
      <c r="F362" s="1" t="s">
        <v>510</v>
      </c>
      <c r="G362" s="1" t="s">
        <v>28</v>
      </c>
      <c r="H362" s="4">
        <v>0.3659722222222222</v>
      </c>
      <c r="I362" s="1" t="s">
        <v>77</v>
      </c>
      <c r="J362" s="1" t="s">
        <v>30</v>
      </c>
      <c r="K362" s="4">
        <v>0.5916666666666667</v>
      </c>
      <c r="L362" s="1" t="s">
        <v>313</v>
      </c>
      <c r="M362" s="1" t="s">
        <v>28</v>
      </c>
      <c r="N362" s="4">
        <v>0.8527777777777777</v>
      </c>
      <c r="O362" s="1" t="s">
        <v>216</v>
      </c>
      <c r="P362" s="1">
        <f t="shared" si="1"/>
        <v>126</v>
      </c>
      <c r="Q362" s="1">
        <f t="shared" si="2"/>
        <v>128</v>
      </c>
      <c r="R362" s="5">
        <f t="shared" si="3"/>
        <v>128</v>
      </c>
      <c r="S362" s="5" t="s">
        <v>47</v>
      </c>
    </row>
    <row r="363">
      <c r="A363" s="1" t="s">
        <v>24</v>
      </c>
      <c r="B363" s="2">
        <v>28.0</v>
      </c>
      <c r="C363" s="1" t="s">
        <v>25</v>
      </c>
      <c r="D363" s="1" t="s">
        <v>30</v>
      </c>
      <c r="E363" s="4">
        <v>0.1423611111111111</v>
      </c>
      <c r="F363" s="1" t="s">
        <v>511</v>
      </c>
      <c r="G363" s="1" t="s">
        <v>28</v>
      </c>
      <c r="H363" s="4">
        <v>0.39791666666666664</v>
      </c>
      <c r="I363" s="1" t="s">
        <v>77</v>
      </c>
      <c r="J363" s="1" t="s">
        <v>30</v>
      </c>
      <c r="K363" s="4">
        <v>0.6298611111111111</v>
      </c>
      <c r="L363" s="1" t="s">
        <v>88</v>
      </c>
      <c r="M363" s="1" t="s">
        <v>28</v>
      </c>
      <c r="N363" s="4">
        <v>0.8875</v>
      </c>
      <c r="O363" s="1" t="s">
        <v>89</v>
      </c>
      <c r="P363" s="1">
        <f t="shared" si="1"/>
        <v>115</v>
      </c>
      <c r="Q363" s="1">
        <f t="shared" si="2"/>
        <v>111</v>
      </c>
      <c r="R363" s="5">
        <f t="shared" si="3"/>
        <v>115</v>
      </c>
      <c r="S363" s="5" t="s">
        <v>90</v>
      </c>
    </row>
    <row r="364">
      <c r="A364" s="1" t="s">
        <v>24</v>
      </c>
      <c r="B364" s="2">
        <v>29.0</v>
      </c>
      <c r="C364" s="1" t="s">
        <v>75</v>
      </c>
      <c r="D364" s="1" t="s">
        <v>30</v>
      </c>
      <c r="E364" s="4">
        <v>0.17291666666666666</v>
      </c>
      <c r="F364" s="1" t="s">
        <v>132</v>
      </c>
      <c r="G364" s="1" t="s">
        <v>28</v>
      </c>
      <c r="H364" s="4">
        <v>0.42986111111111114</v>
      </c>
      <c r="I364" s="1" t="s">
        <v>77</v>
      </c>
      <c r="J364" s="1" t="s">
        <v>30</v>
      </c>
      <c r="K364" s="4">
        <v>0.6715277777777777</v>
      </c>
      <c r="L364" s="1" t="s">
        <v>277</v>
      </c>
      <c r="M364" s="1" t="s">
        <v>28</v>
      </c>
      <c r="N364" s="4">
        <v>0.9243055555555556</v>
      </c>
      <c r="O364" s="1" t="s">
        <v>183</v>
      </c>
      <c r="P364" s="1">
        <f t="shared" si="1"/>
        <v>102</v>
      </c>
      <c r="Q364" s="1">
        <f t="shared" si="2"/>
        <v>89</v>
      </c>
      <c r="R364" s="5">
        <f t="shared" si="3"/>
        <v>102</v>
      </c>
      <c r="S364" s="5" t="s">
        <v>90</v>
      </c>
    </row>
    <row r="365">
      <c r="A365" s="1" t="s">
        <v>24</v>
      </c>
      <c r="B365" s="2">
        <v>30.0</v>
      </c>
      <c r="C365" s="1" t="s">
        <v>86</v>
      </c>
      <c r="D365" s="1" t="s">
        <v>30</v>
      </c>
      <c r="E365" s="4">
        <v>0.20347222222222222</v>
      </c>
      <c r="F365" s="1" t="s">
        <v>215</v>
      </c>
      <c r="G365" s="1" t="s">
        <v>28</v>
      </c>
      <c r="H365" s="4">
        <v>0.46458333333333335</v>
      </c>
      <c r="I365" s="1" t="s">
        <v>77</v>
      </c>
      <c r="J365" s="1" t="s">
        <v>30</v>
      </c>
      <c r="K365" s="4">
        <v>0.7180555555555556</v>
      </c>
      <c r="L365" s="1" t="s">
        <v>257</v>
      </c>
      <c r="M365" s="1" t="s">
        <v>28</v>
      </c>
      <c r="N365" s="4">
        <v>0.9659722222222222</v>
      </c>
      <c r="O365" s="1" t="s">
        <v>111</v>
      </c>
      <c r="P365" s="1">
        <f t="shared" si="1"/>
        <v>89</v>
      </c>
      <c r="Q365" s="1">
        <f t="shared" si="2"/>
        <v>67</v>
      </c>
      <c r="R365" s="5">
        <f t="shared" si="3"/>
        <v>89</v>
      </c>
      <c r="S365" s="5" t="s">
        <v>39</v>
      </c>
    </row>
    <row r="366">
      <c r="A366" s="1" t="s">
        <v>24</v>
      </c>
      <c r="B366" s="2">
        <v>31.0</v>
      </c>
      <c r="C366" s="1" t="s">
        <v>26</v>
      </c>
      <c r="D366" s="1" t="s">
        <v>30</v>
      </c>
      <c r="E366" s="4">
        <v>0.23472222222222222</v>
      </c>
      <c r="F366" s="1" t="s">
        <v>110</v>
      </c>
      <c r="G366" s="1" t="s">
        <v>28</v>
      </c>
      <c r="H366" s="4">
        <v>0.5013888888888889</v>
      </c>
      <c r="I366" s="1" t="s">
        <v>77</v>
      </c>
      <c r="J366" s="1" t="s">
        <v>30</v>
      </c>
      <c r="K366" s="4">
        <v>0.7743055555555556</v>
      </c>
      <c r="L366" s="1" t="s">
        <v>114</v>
      </c>
      <c r="P366" s="1">
        <f t="shared" si="1"/>
        <v>77</v>
      </c>
      <c r="Q366" s="1">
        <f t="shared" si="2"/>
        <v>51</v>
      </c>
      <c r="R366" s="5">
        <f t="shared" si="3"/>
        <v>77</v>
      </c>
      <c r="S366" s="5" t="s">
        <v>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928</v>
      </c>
    </row>
    <row r="2">
      <c r="A2" s="18">
        <v>45658.0</v>
      </c>
      <c r="B2" s="1" t="s">
        <v>60</v>
      </c>
      <c r="C2" s="1" t="s">
        <v>60</v>
      </c>
    </row>
    <row r="3">
      <c r="A3" s="18">
        <v>45659.0</v>
      </c>
      <c r="B3" s="1" t="s">
        <v>60</v>
      </c>
      <c r="C3" s="1" t="s">
        <v>60</v>
      </c>
    </row>
    <row r="4">
      <c r="A4" s="18">
        <v>45660.0</v>
      </c>
      <c r="B4" s="1" t="s">
        <v>60</v>
      </c>
      <c r="C4" s="1" t="s">
        <v>60</v>
      </c>
    </row>
    <row r="5">
      <c r="A5" s="18">
        <v>45661.0</v>
      </c>
      <c r="B5" s="1" t="s">
        <v>60</v>
      </c>
      <c r="C5" s="1" t="s">
        <v>60</v>
      </c>
    </row>
    <row r="6">
      <c r="A6" s="18">
        <v>45662.0</v>
      </c>
      <c r="B6" s="1" t="s">
        <v>60</v>
      </c>
      <c r="C6" s="1" t="s">
        <v>60</v>
      </c>
    </row>
    <row r="7">
      <c r="A7" s="18">
        <v>45663.0</v>
      </c>
      <c r="B7" s="1" t="s">
        <v>60</v>
      </c>
      <c r="C7" s="1" t="s">
        <v>60</v>
      </c>
    </row>
    <row r="8">
      <c r="A8" s="18">
        <v>45664.0</v>
      </c>
      <c r="B8" s="1" t="s">
        <v>929</v>
      </c>
      <c r="C8" s="4">
        <v>0.33055555555555555</v>
      </c>
    </row>
    <row r="9">
      <c r="A9" s="18">
        <v>45665.0</v>
      </c>
      <c r="B9" s="1" t="s">
        <v>60</v>
      </c>
      <c r="C9" s="1" t="s">
        <v>60</v>
      </c>
    </row>
    <row r="10">
      <c r="A10" s="18">
        <v>45666.0</v>
      </c>
      <c r="B10" s="1" t="s">
        <v>60</v>
      </c>
      <c r="C10" s="1" t="s">
        <v>60</v>
      </c>
    </row>
    <row r="11">
      <c r="A11" s="18">
        <v>45667.0</v>
      </c>
      <c r="B11" s="1" t="s">
        <v>60</v>
      </c>
      <c r="C11" s="1" t="s">
        <v>60</v>
      </c>
    </row>
    <row r="12">
      <c r="A12" s="18">
        <v>45668.0</v>
      </c>
      <c r="B12" s="1" t="s">
        <v>60</v>
      </c>
      <c r="C12" s="1" t="s">
        <v>60</v>
      </c>
    </row>
    <row r="13">
      <c r="A13" s="18">
        <v>45669.0</v>
      </c>
      <c r="B13" s="1" t="s">
        <v>60</v>
      </c>
      <c r="C13" s="1" t="s">
        <v>60</v>
      </c>
    </row>
    <row r="14">
      <c r="A14" s="18">
        <v>45670.0</v>
      </c>
      <c r="B14" s="1" t="s">
        <v>60</v>
      </c>
      <c r="C14" s="1" t="s">
        <v>60</v>
      </c>
    </row>
    <row r="15">
      <c r="A15" s="18">
        <v>45671.0</v>
      </c>
      <c r="B15" s="1" t="s">
        <v>930</v>
      </c>
      <c r="C15" s="4">
        <v>0.26875</v>
      </c>
    </row>
    <row r="16">
      <c r="A16" s="18">
        <v>45672.0</v>
      </c>
      <c r="B16" s="1" t="s">
        <v>60</v>
      </c>
      <c r="C16" s="1" t="s">
        <v>60</v>
      </c>
    </row>
    <row r="17">
      <c r="A17" s="18">
        <v>45673.0</v>
      </c>
      <c r="B17" s="1" t="s">
        <v>60</v>
      </c>
      <c r="C17" s="1" t="s">
        <v>60</v>
      </c>
    </row>
    <row r="18">
      <c r="A18" s="18">
        <v>45674.0</v>
      </c>
      <c r="B18" s="1" t="s">
        <v>60</v>
      </c>
      <c r="C18" s="1" t="s">
        <v>60</v>
      </c>
    </row>
    <row r="19">
      <c r="A19" s="18">
        <v>45675.0</v>
      </c>
      <c r="B19" s="1" t="s">
        <v>60</v>
      </c>
      <c r="C19" s="1" t="s">
        <v>60</v>
      </c>
    </row>
    <row r="20">
      <c r="A20" s="18">
        <v>45676.0</v>
      </c>
      <c r="B20" s="1" t="s">
        <v>60</v>
      </c>
      <c r="C20" s="1" t="s">
        <v>60</v>
      </c>
    </row>
    <row r="21">
      <c r="A21" s="18">
        <v>45677.0</v>
      </c>
      <c r="B21" s="1" t="s">
        <v>60</v>
      </c>
      <c r="C21" s="1" t="s">
        <v>60</v>
      </c>
    </row>
    <row r="22">
      <c r="A22" s="18">
        <v>45678.0</v>
      </c>
      <c r="B22" s="1" t="s">
        <v>60</v>
      </c>
      <c r="C22" s="1" t="s">
        <v>60</v>
      </c>
    </row>
    <row r="23">
      <c r="A23" s="18">
        <v>45679.0</v>
      </c>
      <c r="B23" s="1" t="s">
        <v>931</v>
      </c>
      <c r="C23" s="4">
        <v>0.18819444444444444</v>
      </c>
    </row>
    <row r="24">
      <c r="A24" s="18">
        <v>45680.0</v>
      </c>
      <c r="B24" s="1" t="s">
        <v>60</v>
      </c>
      <c r="C24" s="1" t="s">
        <v>60</v>
      </c>
    </row>
    <row r="25">
      <c r="A25" s="18">
        <v>45681.0</v>
      </c>
      <c r="B25" s="1" t="s">
        <v>60</v>
      </c>
      <c r="C25" s="1" t="s">
        <v>60</v>
      </c>
    </row>
    <row r="26">
      <c r="A26" s="18">
        <v>45682.0</v>
      </c>
      <c r="B26" s="1" t="s">
        <v>60</v>
      </c>
      <c r="C26" s="1" t="s">
        <v>60</v>
      </c>
    </row>
    <row r="27">
      <c r="A27" s="18">
        <v>45683.0</v>
      </c>
      <c r="B27" s="1" t="s">
        <v>60</v>
      </c>
      <c r="C27" s="1" t="s">
        <v>60</v>
      </c>
    </row>
    <row r="28">
      <c r="A28" s="18">
        <v>45684.0</v>
      </c>
      <c r="B28" s="1" t="s">
        <v>60</v>
      </c>
      <c r="C28" s="1" t="s">
        <v>60</v>
      </c>
    </row>
    <row r="29">
      <c r="A29" s="18">
        <v>45685.0</v>
      </c>
      <c r="B29" s="1" t="s">
        <v>60</v>
      </c>
      <c r="C29" s="1" t="s">
        <v>60</v>
      </c>
    </row>
    <row r="30">
      <c r="A30" s="18">
        <v>45686.0</v>
      </c>
      <c r="B30" s="1" t="s">
        <v>932</v>
      </c>
      <c r="C30" s="4">
        <v>0.8583333333333333</v>
      </c>
    </row>
    <row r="31">
      <c r="A31" s="18">
        <v>45687.0</v>
      </c>
      <c r="B31" s="1" t="s">
        <v>60</v>
      </c>
      <c r="C31" s="1" t="s">
        <v>60</v>
      </c>
    </row>
    <row r="32">
      <c r="A32" s="18">
        <v>45688.0</v>
      </c>
      <c r="B32" s="1" t="s">
        <v>60</v>
      </c>
      <c r="C32" s="1" t="s">
        <v>60</v>
      </c>
    </row>
    <row r="33">
      <c r="A33" s="18">
        <v>45689.0</v>
      </c>
      <c r="B33" s="1" t="s">
        <v>60</v>
      </c>
      <c r="C33" s="1" t="s">
        <v>60</v>
      </c>
    </row>
    <row r="34">
      <c r="A34" s="18">
        <v>45690.0</v>
      </c>
      <c r="B34" s="1" t="s">
        <v>60</v>
      </c>
      <c r="C34" s="1" t="s">
        <v>60</v>
      </c>
    </row>
    <row r="35">
      <c r="A35" s="18">
        <v>45691.0</v>
      </c>
      <c r="B35" s="1" t="s">
        <v>60</v>
      </c>
      <c r="C35" s="1" t="s">
        <v>60</v>
      </c>
    </row>
    <row r="36">
      <c r="A36" s="18">
        <v>45692.0</v>
      </c>
      <c r="B36" s="1" t="s">
        <v>60</v>
      </c>
      <c r="C36" s="1" t="s">
        <v>60</v>
      </c>
    </row>
    <row r="37">
      <c r="A37" s="18">
        <v>45693.0</v>
      </c>
      <c r="B37" s="1" t="s">
        <v>929</v>
      </c>
      <c r="C37" s="4">
        <v>0.6680555555555555</v>
      </c>
    </row>
    <row r="38">
      <c r="A38" s="18">
        <v>45694.0</v>
      </c>
      <c r="B38" s="1" t="s">
        <v>60</v>
      </c>
      <c r="C38" s="1" t="s">
        <v>60</v>
      </c>
    </row>
    <row r="39">
      <c r="A39" s="18">
        <v>45695.0</v>
      </c>
      <c r="B39" s="1" t="s">
        <v>60</v>
      </c>
      <c r="C39" s="1" t="s">
        <v>60</v>
      </c>
    </row>
    <row r="40">
      <c r="A40" s="18">
        <v>45696.0</v>
      </c>
      <c r="B40" s="1" t="s">
        <v>60</v>
      </c>
      <c r="C40" s="1" t="s">
        <v>60</v>
      </c>
    </row>
    <row r="41">
      <c r="A41" s="18">
        <v>45697.0</v>
      </c>
      <c r="B41" s="1" t="s">
        <v>60</v>
      </c>
      <c r="C41" s="1" t="s">
        <v>60</v>
      </c>
    </row>
    <row r="42">
      <c r="A42" s="18">
        <v>45698.0</v>
      </c>
      <c r="B42" s="1" t="s">
        <v>60</v>
      </c>
      <c r="C42" s="1" t="s">
        <v>60</v>
      </c>
    </row>
    <row r="43">
      <c r="A43" s="18">
        <v>45699.0</v>
      </c>
      <c r="B43" s="1" t="s">
        <v>60</v>
      </c>
      <c r="C43" s="1" t="s">
        <v>60</v>
      </c>
    </row>
    <row r="44">
      <c r="A44" s="18">
        <v>45700.0</v>
      </c>
      <c r="B44" s="1" t="s">
        <v>930</v>
      </c>
      <c r="C44" s="4">
        <v>0.9118055555555555</v>
      </c>
    </row>
    <row r="45">
      <c r="A45" s="18">
        <v>45701.0</v>
      </c>
      <c r="B45" s="1" t="s">
        <v>60</v>
      </c>
      <c r="C45" s="1" t="s">
        <v>60</v>
      </c>
    </row>
    <row r="46">
      <c r="A46" s="18">
        <v>45702.0</v>
      </c>
      <c r="B46" s="1" t="s">
        <v>60</v>
      </c>
      <c r="C46" s="1" t="s">
        <v>60</v>
      </c>
    </row>
    <row r="47">
      <c r="A47" s="18">
        <v>45703.0</v>
      </c>
      <c r="B47" s="1" t="s">
        <v>60</v>
      </c>
      <c r="C47" s="1" t="s">
        <v>60</v>
      </c>
    </row>
    <row r="48">
      <c r="A48" s="18">
        <v>45704.0</v>
      </c>
      <c r="B48" s="1" t="s">
        <v>60</v>
      </c>
      <c r="C48" s="1" t="s">
        <v>60</v>
      </c>
    </row>
    <row r="49">
      <c r="A49" s="18">
        <v>45705.0</v>
      </c>
      <c r="B49" s="1" t="s">
        <v>60</v>
      </c>
      <c r="C49" s="1" t="s">
        <v>60</v>
      </c>
    </row>
    <row r="50">
      <c r="A50" s="18">
        <v>45706.0</v>
      </c>
      <c r="B50" s="1" t="s">
        <v>60</v>
      </c>
      <c r="C50" s="1" t="s">
        <v>60</v>
      </c>
    </row>
    <row r="51">
      <c r="A51" s="18">
        <v>45707.0</v>
      </c>
      <c r="B51" s="1" t="s">
        <v>60</v>
      </c>
      <c r="C51" s="1" t="s">
        <v>60</v>
      </c>
    </row>
    <row r="52">
      <c r="A52" s="18">
        <v>45708.0</v>
      </c>
      <c r="B52" s="1" t="s">
        <v>60</v>
      </c>
      <c r="C52" s="1" t="s">
        <v>60</v>
      </c>
    </row>
    <row r="53">
      <c r="A53" s="18">
        <v>45709.0</v>
      </c>
      <c r="B53" s="1" t="s">
        <v>931</v>
      </c>
      <c r="C53" s="4">
        <v>0.06388888888888888</v>
      </c>
    </row>
    <row r="54">
      <c r="A54" s="18">
        <v>45710.0</v>
      </c>
      <c r="B54" s="1" t="s">
        <v>60</v>
      </c>
      <c r="C54" s="1" t="s">
        <v>60</v>
      </c>
    </row>
    <row r="55">
      <c r="A55" s="18">
        <v>45711.0</v>
      </c>
      <c r="B55" s="1" t="s">
        <v>60</v>
      </c>
      <c r="C55" s="1" t="s">
        <v>60</v>
      </c>
    </row>
    <row r="56">
      <c r="A56" s="18">
        <v>45712.0</v>
      </c>
      <c r="B56" s="1" t="s">
        <v>60</v>
      </c>
      <c r="C56" s="1" t="s">
        <v>60</v>
      </c>
    </row>
    <row r="57">
      <c r="A57" s="18">
        <v>45713.0</v>
      </c>
      <c r="B57" s="1" t="s">
        <v>60</v>
      </c>
      <c r="C57" s="1" t="s">
        <v>60</v>
      </c>
    </row>
    <row r="58">
      <c r="A58" s="18">
        <v>45714.0</v>
      </c>
      <c r="B58" s="1" t="s">
        <v>60</v>
      </c>
      <c r="C58" s="1" t="s">
        <v>60</v>
      </c>
    </row>
    <row r="59">
      <c r="A59" s="18">
        <v>45715.0</v>
      </c>
      <c r="B59" s="1" t="s">
        <v>60</v>
      </c>
      <c r="C59" s="1" t="s">
        <v>60</v>
      </c>
    </row>
    <row r="60">
      <c r="A60" s="18">
        <v>45716.0</v>
      </c>
      <c r="B60" s="1" t="s">
        <v>932</v>
      </c>
      <c r="C60" s="4">
        <v>0.3645833333333333</v>
      </c>
    </row>
    <row r="61">
      <c r="A61" s="18">
        <v>45717.0</v>
      </c>
      <c r="B61" s="1" t="s">
        <v>60</v>
      </c>
      <c r="C61" s="1" t="s">
        <v>60</v>
      </c>
    </row>
    <row r="62">
      <c r="A62" s="18">
        <v>45718.0</v>
      </c>
      <c r="B62" s="1" t="s">
        <v>60</v>
      </c>
      <c r="C62" s="1" t="s">
        <v>60</v>
      </c>
    </row>
    <row r="63">
      <c r="A63" s="18">
        <v>45719.0</v>
      </c>
      <c r="B63" s="1" t="s">
        <v>60</v>
      </c>
      <c r="C63" s="1" t="s">
        <v>60</v>
      </c>
    </row>
    <row r="64">
      <c r="A64" s="18">
        <v>45720.0</v>
      </c>
      <c r="B64" s="1" t="s">
        <v>60</v>
      </c>
      <c r="C64" s="1" t="s">
        <v>60</v>
      </c>
    </row>
    <row r="65">
      <c r="A65" s="18">
        <v>45721.0</v>
      </c>
      <c r="B65" s="1" t="s">
        <v>60</v>
      </c>
      <c r="C65" s="1" t="s">
        <v>60</v>
      </c>
    </row>
    <row r="66">
      <c r="A66" s="18">
        <v>45722.0</v>
      </c>
      <c r="B66" s="1" t="s">
        <v>60</v>
      </c>
      <c r="C66" s="1" t="s">
        <v>60</v>
      </c>
    </row>
    <row r="67">
      <c r="A67" s="18">
        <v>45723.0</v>
      </c>
      <c r="B67" s="1" t="s">
        <v>929</v>
      </c>
      <c r="C67" s="4">
        <v>0.022222222222222223</v>
      </c>
    </row>
    <row r="68">
      <c r="A68" s="18">
        <v>45724.0</v>
      </c>
      <c r="B68" s="1" t="s">
        <v>60</v>
      </c>
      <c r="C68" s="1" t="s">
        <v>60</v>
      </c>
    </row>
    <row r="69">
      <c r="A69" s="18">
        <v>45725.0</v>
      </c>
      <c r="B69" s="1" t="s">
        <v>60</v>
      </c>
      <c r="C69" s="1" t="s">
        <v>60</v>
      </c>
    </row>
    <row r="70">
      <c r="A70" s="18">
        <v>45726.0</v>
      </c>
      <c r="B70" s="1" t="s">
        <v>60</v>
      </c>
      <c r="C70" s="1" t="s">
        <v>60</v>
      </c>
    </row>
    <row r="71">
      <c r="A71" s="18">
        <v>45727.0</v>
      </c>
      <c r="B71" s="1" t="s">
        <v>60</v>
      </c>
      <c r="C71" s="1" t="s">
        <v>60</v>
      </c>
    </row>
    <row r="72">
      <c r="A72" s="18">
        <v>45728.0</v>
      </c>
      <c r="B72" s="1" t="s">
        <v>60</v>
      </c>
      <c r="C72" s="1" t="s">
        <v>60</v>
      </c>
    </row>
    <row r="73">
      <c r="A73" s="18">
        <v>45729.0</v>
      </c>
      <c r="B73" s="1" t="s">
        <v>60</v>
      </c>
      <c r="C73" s="1" t="s">
        <v>60</v>
      </c>
    </row>
    <row r="74">
      <c r="A74" s="18">
        <v>45730.0</v>
      </c>
      <c r="B74" s="1" t="s">
        <v>930</v>
      </c>
      <c r="C74" s="4">
        <v>0.6215277777777778</v>
      </c>
    </row>
    <row r="75">
      <c r="A75" s="18">
        <v>45731.0</v>
      </c>
      <c r="B75" s="1" t="s">
        <v>60</v>
      </c>
      <c r="C75" s="1" t="s">
        <v>60</v>
      </c>
    </row>
    <row r="76">
      <c r="A76" s="18">
        <v>45732.0</v>
      </c>
      <c r="B76" s="1" t="s">
        <v>60</v>
      </c>
      <c r="C76" s="1" t="s">
        <v>60</v>
      </c>
    </row>
    <row r="77">
      <c r="A77" s="18">
        <v>45733.0</v>
      </c>
      <c r="B77" s="1" t="s">
        <v>60</v>
      </c>
      <c r="C77" s="1" t="s">
        <v>60</v>
      </c>
    </row>
    <row r="78">
      <c r="A78" s="18">
        <v>45734.0</v>
      </c>
      <c r="B78" s="1" t="s">
        <v>60</v>
      </c>
      <c r="C78" s="1" t="s">
        <v>60</v>
      </c>
    </row>
    <row r="79">
      <c r="A79" s="18">
        <v>45735.0</v>
      </c>
      <c r="B79" s="1" t="s">
        <v>60</v>
      </c>
      <c r="C79" s="1" t="s">
        <v>60</v>
      </c>
    </row>
    <row r="80">
      <c r="A80" s="18">
        <v>45736.0</v>
      </c>
      <c r="B80" s="1" t="s">
        <v>60</v>
      </c>
      <c r="C80" s="1" t="s">
        <v>60</v>
      </c>
    </row>
    <row r="81">
      <c r="A81" s="18">
        <v>45737.0</v>
      </c>
      <c r="B81" s="1" t="s">
        <v>60</v>
      </c>
      <c r="C81" s="1" t="s">
        <v>60</v>
      </c>
    </row>
    <row r="82">
      <c r="A82" s="18">
        <v>45738.0</v>
      </c>
      <c r="B82" s="1" t="s">
        <v>931</v>
      </c>
      <c r="C82" s="4">
        <v>0.8118055555555556</v>
      </c>
    </row>
    <row r="83">
      <c r="A83" s="18">
        <v>45739.0</v>
      </c>
      <c r="B83" s="1" t="s">
        <v>60</v>
      </c>
      <c r="C83" s="1" t="s">
        <v>60</v>
      </c>
    </row>
    <row r="84">
      <c r="A84" s="18">
        <v>45740.0</v>
      </c>
      <c r="B84" s="1" t="s">
        <v>60</v>
      </c>
      <c r="C84" s="1" t="s">
        <v>60</v>
      </c>
    </row>
    <row r="85">
      <c r="A85" s="18">
        <v>45741.0</v>
      </c>
      <c r="B85" s="1" t="s">
        <v>60</v>
      </c>
      <c r="C85" s="1" t="s">
        <v>60</v>
      </c>
    </row>
    <row r="86">
      <c r="A86" s="18">
        <v>45742.0</v>
      </c>
      <c r="B86" s="1" t="s">
        <v>60</v>
      </c>
      <c r="C86" s="1" t="s">
        <v>60</v>
      </c>
    </row>
    <row r="87">
      <c r="A87" s="18">
        <v>45743.0</v>
      </c>
      <c r="B87" s="1" t="s">
        <v>60</v>
      </c>
      <c r="C87" s="1" t="s">
        <v>60</v>
      </c>
    </row>
    <row r="88">
      <c r="A88" s="18">
        <v>45744.0</v>
      </c>
      <c r="B88" s="1" t="s">
        <v>60</v>
      </c>
      <c r="C88" s="1" t="s">
        <v>60</v>
      </c>
    </row>
    <row r="89">
      <c r="A89" s="18">
        <v>45745.0</v>
      </c>
      <c r="B89" s="1" t="s">
        <v>932</v>
      </c>
      <c r="C89" s="4">
        <v>0.7902777777777777</v>
      </c>
    </row>
    <row r="90">
      <c r="A90" s="18">
        <v>45746.0</v>
      </c>
      <c r="B90" s="1" t="s">
        <v>60</v>
      </c>
      <c r="C90" s="1" t="s">
        <v>60</v>
      </c>
    </row>
    <row r="91">
      <c r="A91" s="18">
        <v>45747.0</v>
      </c>
      <c r="B91" s="1" t="s">
        <v>60</v>
      </c>
      <c r="C91" s="1" t="s">
        <v>60</v>
      </c>
    </row>
    <row r="92">
      <c r="A92" s="18">
        <v>45748.0</v>
      </c>
      <c r="B92" s="1" t="s">
        <v>60</v>
      </c>
      <c r="C92" s="1" t="s">
        <v>60</v>
      </c>
    </row>
    <row r="93">
      <c r="A93" s="18">
        <v>45749.0</v>
      </c>
      <c r="B93" s="1" t="s">
        <v>60</v>
      </c>
      <c r="C93" s="1" t="s">
        <v>60</v>
      </c>
    </row>
    <row r="94">
      <c r="A94" s="18">
        <v>45750.0</v>
      </c>
      <c r="B94" s="1" t="s">
        <v>60</v>
      </c>
      <c r="C94" s="1" t="s">
        <v>60</v>
      </c>
    </row>
    <row r="95">
      <c r="A95" s="18">
        <v>45751.0</v>
      </c>
      <c r="B95" s="1" t="s">
        <v>60</v>
      </c>
      <c r="C95" s="1" t="s">
        <v>60</v>
      </c>
    </row>
    <row r="96">
      <c r="A96" s="18">
        <v>45752.0</v>
      </c>
      <c r="B96" s="1" t="s">
        <v>929</v>
      </c>
      <c r="C96" s="4">
        <v>0.4270833333333333</v>
      </c>
    </row>
    <row r="97">
      <c r="A97" s="18">
        <v>45753.0</v>
      </c>
      <c r="B97" s="1" t="s">
        <v>60</v>
      </c>
      <c r="C97" s="1" t="s">
        <v>60</v>
      </c>
    </row>
    <row r="98">
      <c r="A98" s="18">
        <v>45754.0</v>
      </c>
      <c r="B98" s="1" t="s">
        <v>60</v>
      </c>
      <c r="C98" s="1" t="s">
        <v>60</v>
      </c>
    </row>
    <row r="99">
      <c r="A99" s="18">
        <v>45755.0</v>
      </c>
      <c r="B99" s="1" t="s">
        <v>60</v>
      </c>
      <c r="C99" s="1" t="s">
        <v>60</v>
      </c>
    </row>
    <row r="100">
      <c r="A100" s="18">
        <v>45756.0</v>
      </c>
      <c r="B100" s="1" t="s">
        <v>60</v>
      </c>
      <c r="C100" s="1" t="s">
        <v>60</v>
      </c>
    </row>
    <row r="101">
      <c r="A101" s="18">
        <v>45757.0</v>
      </c>
      <c r="B101" s="1" t="s">
        <v>60</v>
      </c>
      <c r="C101" s="1" t="s">
        <v>60</v>
      </c>
    </row>
    <row r="102">
      <c r="A102" s="18">
        <v>45758.0</v>
      </c>
      <c r="B102" s="1" t="s">
        <v>60</v>
      </c>
      <c r="C102" s="1" t="s">
        <v>60</v>
      </c>
    </row>
    <row r="103">
      <c r="A103" s="18">
        <v>45759.0</v>
      </c>
      <c r="B103" s="1" t="s">
        <v>60</v>
      </c>
      <c r="C103" s="1" t="s">
        <v>60</v>
      </c>
    </row>
    <row r="104">
      <c r="A104" s="18">
        <v>45760.0</v>
      </c>
      <c r="B104" s="1" t="s">
        <v>930</v>
      </c>
      <c r="C104" s="4">
        <v>0.3486111111111111</v>
      </c>
    </row>
    <row r="105">
      <c r="A105" s="18">
        <v>45761.0</v>
      </c>
      <c r="B105" s="1" t="s">
        <v>60</v>
      </c>
      <c r="C105" s="1" t="s">
        <v>60</v>
      </c>
    </row>
    <row r="106">
      <c r="A106" s="18">
        <v>45762.0</v>
      </c>
      <c r="B106" s="1" t="s">
        <v>60</v>
      </c>
      <c r="C106" s="1" t="s">
        <v>60</v>
      </c>
    </row>
    <row r="107">
      <c r="A107" s="18">
        <v>45763.0</v>
      </c>
      <c r="B107" s="1" t="s">
        <v>60</v>
      </c>
      <c r="C107" s="1" t="s">
        <v>60</v>
      </c>
    </row>
    <row r="108">
      <c r="A108" s="18">
        <v>45764.0</v>
      </c>
      <c r="B108" s="1" t="s">
        <v>60</v>
      </c>
      <c r="C108" s="1" t="s">
        <v>60</v>
      </c>
    </row>
    <row r="109">
      <c r="A109" s="18">
        <v>45765.0</v>
      </c>
      <c r="B109" s="1" t="s">
        <v>60</v>
      </c>
      <c r="C109" s="1" t="s">
        <v>60</v>
      </c>
    </row>
    <row r="110">
      <c r="A110" s="18">
        <v>45766.0</v>
      </c>
      <c r="B110" s="1" t="s">
        <v>60</v>
      </c>
      <c r="C110" s="1" t="s">
        <v>60</v>
      </c>
    </row>
    <row r="111">
      <c r="A111" s="18">
        <v>45767.0</v>
      </c>
      <c r="B111" s="1" t="s">
        <v>60</v>
      </c>
      <c r="C111" s="1" t="s">
        <v>60</v>
      </c>
    </row>
    <row r="112">
      <c r="A112" s="18">
        <v>45768.0</v>
      </c>
      <c r="B112" s="1" t="s">
        <v>931</v>
      </c>
      <c r="C112" s="4">
        <v>0.4</v>
      </c>
    </row>
    <row r="113">
      <c r="A113" s="18">
        <v>45769.0</v>
      </c>
      <c r="B113" s="1" t="s">
        <v>60</v>
      </c>
      <c r="C113" s="1" t="s">
        <v>60</v>
      </c>
    </row>
    <row r="114">
      <c r="A114" s="18">
        <v>45770.0</v>
      </c>
      <c r="B114" s="1" t="s">
        <v>60</v>
      </c>
      <c r="C114" s="1" t="s">
        <v>60</v>
      </c>
    </row>
    <row r="115">
      <c r="A115" s="18">
        <v>45771.0</v>
      </c>
      <c r="B115" s="1" t="s">
        <v>60</v>
      </c>
      <c r="C115" s="1" t="s">
        <v>60</v>
      </c>
    </row>
    <row r="116">
      <c r="A116" s="18">
        <v>45772.0</v>
      </c>
      <c r="B116" s="1" t="s">
        <v>60</v>
      </c>
      <c r="C116" s="1" t="s">
        <v>60</v>
      </c>
    </row>
    <row r="117">
      <c r="A117" s="18">
        <v>45773.0</v>
      </c>
      <c r="B117" s="1" t="s">
        <v>60</v>
      </c>
      <c r="C117" s="1" t="s">
        <v>60</v>
      </c>
    </row>
    <row r="118">
      <c r="A118" s="18">
        <v>45774.0</v>
      </c>
      <c r="B118" s="1" t="s">
        <v>60</v>
      </c>
      <c r="C118" s="1" t="s">
        <v>60</v>
      </c>
    </row>
    <row r="119">
      <c r="A119" s="18">
        <v>45775.0</v>
      </c>
      <c r="B119" s="1" t="s">
        <v>932</v>
      </c>
      <c r="C119" s="4">
        <v>0.14652777777777778</v>
      </c>
    </row>
    <row r="120">
      <c r="A120" s="18">
        <v>45776.0</v>
      </c>
      <c r="B120" s="1" t="s">
        <v>60</v>
      </c>
      <c r="C120" s="1" t="s">
        <v>60</v>
      </c>
    </row>
    <row r="121">
      <c r="A121" s="18">
        <v>45777.0</v>
      </c>
      <c r="B121" s="1" t="s">
        <v>60</v>
      </c>
      <c r="C121" s="1" t="s">
        <v>60</v>
      </c>
    </row>
    <row r="122">
      <c r="A122" s="18">
        <v>45778.0</v>
      </c>
      <c r="B122" s="1" t="s">
        <v>60</v>
      </c>
      <c r="C122" s="1" t="s">
        <v>60</v>
      </c>
    </row>
    <row r="123">
      <c r="A123" s="18">
        <v>45779.0</v>
      </c>
      <c r="B123" s="1" t="s">
        <v>60</v>
      </c>
      <c r="C123" s="1" t="s">
        <v>60</v>
      </c>
    </row>
    <row r="124">
      <c r="A124" s="18">
        <v>45780.0</v>
      </c>
      <c r="B124" s="1" t="s">
        <v>60</v>
      </c>
      <c r="C124" s="1" t="s">
        <v>60</v>
      </c>
    </row>
    <row r="125">
      <c r="A125" s="18">
        <v>45781.0</v>
      </c>
      <c r="B125" s="1" t="s">
        <v>929</v>
      </c>
      <c r="C125" s="4">
        <v>0.9111111111111111</v>
      </c>
    </row>
    <row r="126">
      <c r="A126" s="18">
        <v>45782.0</v>
      </c>
      <c r="B126" s="1" t="s">
        <v>60</v>
      </c>
      <c r="C126" s="1" t="s">
        <v>60</v>
      </c>
    </row>
    <row r="127">
      <c r="A127" s="18">
        <v>45783.0</v>
      </c>
      <c r="B127" s="1" t="s">
        <v>60</v>
      </c>
      <c r="C127" s="1" t="s">
        <v>60</v>
      </c>
    </row>
    <row r="128">
      <c r="A128" s="18">
        <v>45784.0</v>
      </c>
      <c r="B128" s="1" t="s">
        <v>60</v>
      </c>
      <c r="C128" s="1" t="s">
        <v>60</v>
      </c>
    </row>
    <row r="129">
      <c r="A129" s="18">
        <v>45785.0</v>
      </c>
      <c r="B129" s="1" t="s">
        <v>60</v>
      </c>
      <c r="C129" s="1" t="s">
        <v>60</v>
      </c>
    </row>
    <row r="130">
      <c r="A130" s="18">
        <v>45786.0</v>
      </c>
      <c r="B130" s="1" t="s">
        <v>60</v>
      </c>
      <c r="C130" s="1" t="s">
        <v>60</v>
      </c>
    </row>
    <row r="131">
      <c r="A131" s="18">
        <v>45787.0</v>
      </c>
      <c r="B131" s="1" t="s">
        <v>60</v>
      </c>
      <c r="C131" s="1" t="s">
        <v>60</v>
      </c>
    </row>
    <row r="132">
      <c r="A132" s="18">
        <v>45788.0</v>
      </c>
      <c r="B132" s="1" t="s">
        <v>60</v>
      </c>
      <c r="C132" s="1" t="s">
        <v>60</v>
      </c>
    </row>
    <row r="133">
      <c r="A133" s="18">
        <v>45789.0</v>
      </c>
      <c r="B133" s="1" t="s">
        <v>60</v>
      </c>
      <c r="C133" s="1" t="s">
        <v>60</v>
      </c>
    </row>
    <row r="134">
      <c r="A134" s="18">
        <v>45790.0</v>
      </c>
      <c r="B134" s="1" t="s">
        <v>930</v>
      </c>
      <c r="C134" s="4">
        <v>0.03888888888888889</v>
      </c>
    </row>
    <row r="135">
      <c r="A135" s="18">
        <v>45791.0</v>
      </c>
      <c r="B135" s="1" t="s">
        <v>60</v>
      </c>
      <c r="C135" s="1" t="s">
        <v>60</v>
      </c>
    </row>
    <row r="136">
      <c r="A136" s="18">
        <v>45792.0</v>
      </c>
      <c r="B136" s="1" t="s">
        <v>60</v>
      </c>
      <c r="C136" s="1" t="s">
        <v>60</v>
      </c>
    </row>
    <row r="137">
      <c r="A137" s="18">
        <v>45793.0</v>
      </c>
      <c r="B137" s="1" t="s">
        <v>60</v>
      </c>
      <c r="C137" s="1" t="s">
        <v>60</v>
      </c>
    </row>
    <row r="138">
      <c r="A138" s="18">
        <v>45794.0</v>
      </c>
      <c r="B138" s="1" t="s">
        <v>60</v>
      </c>
      <c r="C138" s="1" t="s">
        <v>60</v>
      </c>
    </row>
    <row r="139">
      <c r="A139" s="18">
        <v>45795.0</v>
      </c>
      <c r="B139" s="1" t="s">
        <v>60</v>
      </c>
      <c r="C139" s="1" t="s">
        <v>60</v>
      </c>
    </row>
    <row r="140">
      <c r="A140" s="18">
        <v>45796.0</v>
      </c>
      <c r="B140" s="1" t="s">
        <v>60</v>
      </c>
      <c r="C140" s="1" t="s">
        <v>60</v>
      </c>
    </row>
    <row r="141">
      <c r="A141" s="18">
        <v>45797.0</v>
      </c>
      <c r="B141" s="1" t="s">
        <v>931</v>
      </c>
      <c r="C141" s="4">
        <v>0.8326388888888889</v>
      </c>
    </row>
    <row r="142">
      <c r="A142" s="18">
        <v>45798.0</v>
      </c>
      <c r="B142" s="1" t="s">
        <v>60</v>
      </c>
      <c r="C142" s="1" t="s">
        <v>60</v>
      </c>
    </row>
    <row r="143">
      <c r="A143" s="18">
        <v>45799.0</v>
      </c>
      <c r="B143" s="1" t="s">
        <v>60</v>
      </c>
      <c r="C143" s="1" t="s">
        <v>60</v>
      </c>
    </row>
    <row r="144">
      <c r="A144" s="18">
        <v>45800.0</v>
      </c>
      <c r="B144" s="1" t="s">
        <v>60</v>
      </c>
      <c r="C144" s="1" t="s">
        <v>60</v>
      </c>
    </row>
    <row r="145">
      <c r="A145" s="18">
        <v>45801.0</v>
      </c>
      <c r="B145" s="1" t="s">
        <v>60</v>
      </c>
      <c r="C145" s="1" t="s">
        <v>60</v>
      </c>
    </row>
    <row r="146">
      <c r="A146" s="18">
        <v>45802.0</v>
      </c>
      <c r="B146" s="1" t="s">
        <v>60</v>
      </c>
      <c r="C146" s="1" t="s">
        <v>60</v>
      </c>
    </row>
    <row r="147">
      <c r="A147" s="18">
        <v>45803.0</v>
      </c>
      <c r="B147" s="1" t="s">
        <v>60</v>
      </c>
      <c r="C147" s="1" t="s">
        <v>60</v>
      </c>
    </row>
    <row r="148">
      <c r="A148" s="18">
        <v>45804.0</v>
      </c>
      <c r="B148" s="1" t="s">
        <v>932</v>
      </c>
      <c r="C148" s="4">
        <v>0.4597222222222222</v>
      </c>
    </row>
    <row r="149">
      <c r="A149" s="18">
        <v>45805.0</v>
      </c>
      <c r="B149" s="1" t="s">
        <v>60</v>
      </c>
      <c r="C149" s="1" t="s">
        <v>60</v>
      </c>
    </row>
    <row r="150">
      <c r="A150" s="18">
        <v>45806.0</v>
      </c>
      <c r="B150" s="1" t="s">
        <v>60</v>
      </c>
      <c r="C150" s="1" t="s">
        <v>60</v>
      </c>
    </row>
    <row r="151">
      <c r="A151" s="18">
        <v>45807.0</v>
      </c>
      <c r="B151" s="1" t="s">
        <v>60</v>
      </c>
      <c r="C151" s="1" t="s">
        <v>60</v>
      </c>
    </row>
    <row r="152">
      <c r="A152" s="18">
        <v>45808.0</v>
      </c>
      <c r="B152" s="1" t="s">
        <v>60</v>
      </c>
      <c r="C152" s="1" t="s">
        <v>60</v>
      </c>
    </row>
    <row r="153">
      <c r="A153" s="18">
        <v>45809.0</v>
      </c>
      <c r="B153" s="1" t="s">
        <v>60</v>
      </c>
      <c r="C153" s="1" t="s">
        <v>60</v>
      </c>
    </row>
    <row r="154">
      <c r="A154" s="18">
        <v>45810.0</v>
      </c>
      <c r="B154" s="1" t="s">
        <v>60</v>
      </c>
      <c r="C154" s="1" t="s">
        <v>60</v>
      </c>
    </row>
    <row r="155">
      <c r="A155" s="18">
        <v>45811.0</v>
      </c>
      <c r="B155" s="1" t="s">
        <v>929</v>
      </c>
      <c r="C155" s="4">
        <v>0.48680555555555555</v>
      </c>
    </row>
    <row r="156">
      <c r="A156" s="18">
        <v>45812.0</v>
      </c>
      <c r="B156" s="1" t="s">
        <v>60</v>
      </c>
      <c r="C156" s="1" t="s">
        <v>60</v>
      </c>
    </row>
    <row r="157">
      <c r="A157" s="18">
        <v>45813.0</v>
      </c>
      <c r="B157" s="1" t="s">
        <v>60</v>
      </c>
      <c r="C157" s="1" t="s">
        <v>60</v>
      </c>
    </row>
    <row r="158">
      <c r="A158" s="18">
        <v>45814.0</v>
      </c>
      <c r="B158" s="1" t="s">
        <v>60</v>
      </c>
      <c r="C158" s="1" t="s">
        <v>60</v>
      </c>
    </row>
    <row r="159">
      <c r="A159" s="18">
        <v>45815.0</v>
      </c>
      <c r="B159" s="1" t="s">
        <v>60</v>
      </c>
      <c r="C159" s="1" t="s">
        <v>60</v>
      </c>
    </row>
    <row r="160">
      <c r="A160" s="18">
        <v>45816.0</v>
      </c>
      <c r="B160" s="1" t="s">
        <v>60</v>
      </c>
      <c r="C160" s="1" t="s">
        <v>60</v>
      </c>
    </row>
    <row r="161">
      <c r="A161" s="18">
        <v>45817.0</v>
      </c>
      <c r="B161" s="1" t="s">
        <v>60</v>
      </c>
      <c r="C161" s="1" t="s">
        <v>60</v>
      </c>
    </row>
    <row r="162">
      <c r="A162" s="18">
        <v>45818.0</v>
      </c>
      <c r="B162" s="1" t="s">
        <v>60</v>
      </c>
      <c r="C162" s="1" t="s">
        <v>60</v>
      </c>
    </row>
    <row r="163">
      <c r="A163" s="18">
        <v>45819.0</v>
      </c>
      <c r="B163" s="1" t="s">
        <v>930</v>
      </c>
      <c r="C163" s="4">
        <v>0.6555555555555556</v>
      </c>
    </row>
    <row r="164">
      <c r="A164" s="18">
        <v>45820.0</v>
      </c>
      <c r="B164" s="1" t="s">
        <v>60</v>
      </c>
      <c r="C164" s="1" t="s">
        <v>60</v>
      </c>
    </row>
    <row r="165">
      <c r="A165" s="18">
        <v>45821.0</v>
      </c>
      <c r="B165" s="1" t="s">
        <v>60</v>
      </c>
      <c r="C165" s="1" t="s">
        <v>60</v>
      </c>
    </row>
    <row r="166">
      <c r="A166" s="18">
        <v>45822.0</v>
      </c>
      <c r="B166" s="1" t="s">
        <v>60</v>
      </c>
      <c r="C166" s="1" t="s">
        <v>60</v>
      </c>
    </row>
    <row r="167">
      <c r="A167" s="18">
        <v>45823.0</v>
      </c>
      <c r="B167" s="1" t="s">
        <v>60</v>
      </c>
      <c r="C167" s="1" t="s">
        <v>60</v>
      </c>
    </row>
    <row r="168">
      <c r="A168" s="18">
        <v>45824.0</v>
      </c>
      <c r="B168" s="1" t="s">
        <v>60</v>
      </c>
      <c r="C168" s="1" t="s">
        <v>60</v>
      </c>
    </row>
    <row r="169">
      <c r="A169" s="18">
        <v>45825.0</v>
      </c>
      <c r="B169" s="1" t="s">
        <v>60</v>
      </c>
      <c r="C169" s="1" t="s">
        <v>60</v>
      </c>
    </row>
    <row r="170">
      <c r="A170" s="18">
        <v>45826.0</v>
      </c>
      <c r="B170" s="1" t="s">
        <v>60</v>
      </c>
      <c r="C170" s="1" t="s">
        <v>60</v>
      </c>
    </row>
    <row r="171">
      <c r="A171" s="18">
        <v>45827.0</v>
      </c>
      <c r="B171" s="1" t="s">
        <v>931</v>
      </c>
      <c r="C171" s="4">
        <v>0.13819444444444445</v>
      </c>
    </row>
    <row r="172">
      <c r="A172" s="18">
        <v>45828.0</v>
      </c>
      <c r="B172" s="1" t="s">
        <v>60</v>
      </c>
      <c r="C172" s="1" t="s">
        <v>60</v>
      </c>
    </row>
    <row r="173">
      <c r="A173" s="18">
        <v>45829.0</v>
      </c>
      <c r="B173" s="1" t="s">
        <v>60</v>
      </c>
      <c r="C173" s="1" t="s">
        <v>60</v>
      </c>
    </row>
    <row r="174">
      <c r="A174" s="18">
        <v>45830.0</v>
      </c>
      <c r="B174" s="1" t="s">
        <v>60</v>
      </c>
      <c r="C174" s="1" t="s">
        <v>60</v>
      </c>
    </row>
    <row r="175">
      <c r="A175" s="18">
        <v>45831.0</v>
      </c>
      <c r="B175" s="1" t="s">
        <v>60</v>
      </c>
      <c r="C175" s="1" t="s">
        <v>60</v>
      </c>
    </row>
    <row r="176">
      <c r="A176" s="18">
        <v>45832.0</v>
      </c>
      <c r="B176" s="1" t="s">
        <v>60</v>
      </c>
      <c r="C176" s="1" t="s">
        <v>60</v>
      </c>
    </row>
    <row r="177">
      <c r="A177" s="18">
        <v>45833.0</v>
      </c>
      <c r="B177" s="1" t="s">
        <v>932</v>
      </c>
      <c r="C177" s="4">
        <v>0.7722222222222223</v>
      </c>
    </row>
    <row r="178">
      <c r="A178" s="18">
        <v>45834.0</v>
      </c>
      <c r="B178" s="1" t="s">
        <v>60</v>
      </c>
      <c r="C178" s="1" t="s">
        <v>60</v>
      </c>
    </row>
    <row r="179">
      <c r="A179" s="18">
        <v>45835.0</v>
      </c>
      <c r="B179" s="1" t="s">
        <v>60</v>
      </c>
      <c r="C179" s="1" t="s">
        <v>60</v>
      </c>
    </row>
    <row r="180">
      <c r="A180" s="18">
        <v>45836.0</v>
      </c>
      <c r="B180" s="1" t="s">
        <v>60</v>
      </c>
      <c r="C180" s="1" t="s">
        <v>60</v>
      </c>
    </row>
    <row r="181">
      <c r="A181" s="18">
        <v>45837.0</v>
      </c>
      <c r="B181" s="1" t="s">
        <v>60</v>
      </c>
      <c r="C181" s="1" t="s">
        <v>60</v>
      </c>
    </row>
    <row r="182">
      <c r="A182" s="18">
        <v>45838.0</v>
      </c>
      <c r="B182" s="1" t="s">
        <v>60</v>
      </c>
      <c r="C182" s="1" t="s">
        <v>60</v>
      </c>
    </row>
    <row r="183">
      <c r="A183" s="18">
        <v>45839.0</v>
      </c>
      <c r="B183" s="1" t="s">
        <v>60</v>
      </c>
      <c r="C183" s="1" t="s">
        <v>60</v>
      </c>
    </row>
    <row r="184">
      <c r="A184" s="18">
        <v>45840.0</v>
      </c>
      <c r="B184" s="1" t="s">
        <v>60</v>
      </c>
      <c r="C184" s="1" t="s">
        <v>60</v>
      </c>
    </row>
    <row r="185">
      <c r="A185" s="18">
        <v>45841.0</v>
      </c>
      <c r="B185" s="1" t="s">
        <v>929</v>
      </c>
      <c r="C185" s="4">
        <v>0.14583333333333334</v>
      </c>
    </row>
    <row r="186">
      <c r="A186" s="18">
        <v>45842.0</v>
      </c>
      <c r="B186" s="1" t="s">
        <v>60</v>
      </c>
      <c r="C186" s="1" t="s">
        <v>60</v>
      </c>
    </row>
    <row r="187">
      <c r="A187" s="18">
        <v>45843.0</v>
      </c>
      <c r="B187" s="1" t="s">
        <v>60</v>
      </c>
      <c r="C187" s="1" t="s">
        <v>60</v>
      </c>
    </row>
    <row r="188">
      <c r="A188" s="18">
        <v>45844.0</v>
      </c>
      <c r="B188" s="1" t="s">
        <v>60</v>
      </c>
      <c r="C188" s="1" t="s">
        <v>60</v>
      </c>
    </row>
    <row r="189">
      <c r="A189" s="18">
        <v>45845.0</v>
      </c>
      <c r="B189" s="1" t="s">
        <v>60</v>
      </c>
      <c r="C189" s="1" t="s">
        <v>60</v>
      </c>
    </row>
    <row r="190">
      <c r="A190" s="18">
        <v>45846.0</v>
      </c>
      <c r="B190" s="1" t="s">
        <v>60</v>
      </c>
      <c r="C190" s="1" t="s">
        <v>60</v>
      </c>
    </row>
    <row r="191">
      <c r="A191" s="18">
        <v>45847.0</v>
      </c>
      <c r="B191" s="1" t="s">
        <v>60</v>
      </c>
      <c r="C191" s="1" t="s">
        <v>60</v>
      </c>
    </row>
    <row r="192">
      <c r="A192" s="18">
        <v>45848.0</v>
      </c>
      <c r="B192" s="1" t="s">
        <v>60</v>
      </c>
      <c r="C192" s="1" t="s">
        <v>60</v>
      </c>
    </row>
    <row r="193">
      <c r="A193" s="18">
        <v>45849.0</v>
      </c>
      <c r="B193" s="1" t="s">
        <v>930</v>
      </c>
      <c r="C193" s="4">
        <v>0.19236111111111112</v>
      </c>
    </row>
    <row r="194">
      <c r="A194" s="18">
        <v>45850.0</v>
      </c>
      <c r="B194" s="1" t="s">
        <v>60</v>
      </c>
      <c r="C194" s="1" t="s">
        <v>60</v>
      </c>
    </row>
    <row r="195">
      <c r="A195" s="18">
        <v>45851.0</v>
      </c>
      <c r="B195" s="1" t="s">
        <v>60</v>
      </c>
      <c r="C195" s="1" t="s">
        <v>60</v>
      </c>
    </row>
    <row r="196">
      <c r="A196" s="18">
        <v>45852.0</v>
      </c>
      <c r="B196" s="1" t="s">
        <v>60</v>
      </c>
      <c r="C196" s="1" t="s">
        <v>60</v>
      </c>
    </row>
    <row r="197">
      <c r="A197" s="18">
        <v>45853.0</v>
      </c>
      <c r="B197" s="1" t="s">
        <v>60</v>
      </c>
      <c r="C197" s="1" t="s">
        <v>60</v>
      </c>
    </row>
    <row r="198">
      <c r="A198" s="18">
        <v>45854.0</v>
      </c>
      <c r="B198" s="1" t="s">
        <v>60</v>
      </c>
      <c r="C198" s="1" t="s">
        <v>60</v>
      </c>
    </row>
    <row r="199">
      <c r="A199" s="18">
        <v>45855.0</v>
      </c>
      <c r="B199" s="1" t="s">
        <v>60</v>
      </c>
      <c r="C199" s="1" t="s">
        <v>60</v>
      </c>
    </row>
    <row r="200">
      <c r="A200" s="18">
        <v>45856.0</v>
      </c>
      <c r="B200" s="1" t="s">
        <v>931</v>
      </c>
      <c r="C200" s="4">
        <v>0.3597222222222222</v>
      </c>
    </row>
    <row r="201">
      <c r="A201" s="18">
        <v>45857.0</v>
      </c>
      <c r="B201" s="1" t="s">
        <v>60</v>
      </c>
      <c r="C201" s="1" t="s">
        <v>60</v>
      </c>
    </row>
    <row r="202">
      <c r="A202" s="18">
        <v>45858.0</v>
      </c>
      <c r="B202" s="1" t="s">
        <v>60</v>
      </c>
      <c r="C202" s="1" t="s">
        <v>60</v>
      </c>
    </row>
    <row r="203">
      <c r="A203" s="18">
        <v>45859.0</v>
      </c>
      <c r="B203" s="1" t="s">
        <v>60</v>
      </c>
      <c r="C203" s="1" t="s">
        <v>60</v>
      </c>
    </row>
    <row r="204">
      <c r="A204" s="18">
        <v>45860.0</v>
      </c>
      <c r="B204" s="1" t="s">
        <v>60</v>
      </c>
      <c r="C204" s="1" t="s">
        <v>60</v>
      </c>
    </row>
    <row r="205">
      <c r="A205" s="18">
        <v>45861.0</v>
      </c>
      <c r="B205" s="1" t="s">
        <v>60</v>
      </c>
      <c r="C205" s="1" t="s">
        <v>60</v>
      </c>
    </row>
    <row r="206">
      <c r="A206" s="18">
        <v>45862.0</v>
      </c>
      <c r="B206" s="1" t="s">
        <v>60</v>
      </c>
      <c r="C206" s="1" t="s">
        <v>60</v>
      </c>
    </row>
    <row r="207">
      <c r="A207" s="18">
        <v>45863.0</v>
      </c>
      <c r="B207" s="1" t="s">
        <v>932</v>
      </c>
      <c r="C207" s="4">
        <v>0.1326388888888889</v>
      </c>
    </row>
    <row r="208">
      <c r="A208" s="18">
        <v>45864.0</v>
      </c>
      <c r="B208" s="1" t="s">
        <v>60</v>
      </c>
      <c r="C208" s="1" t="s">
        <v>60</v>
      </c>
    </row>
    <row r="209">
      <c r="A209" s="18">
        <v>45865.0</v>
      </c>
      <c r="B209" s="1" t="s">
        <v>60</v>
      </c>
      <c r="C209" s="1" t="s">
        <v>60</v>
      </c>
    </row>
    <row r="210">
      <c r="A210" s="18">
        <v>45866.0</v>
      </c>
      <c r="B210" s="1" t="s">
        <v>60</v>
      </c>
      <c r="C210" s="1" t="s">
        <v>60</v>
      </c>
    </row>
    <row r="211">
      <c r="A211" s="18">
        <v>45867.0</v>
      </c>
      <c r="B211" s="1" t="s">
        <v>60</v>
      </c>
      <c r="C211" s="1" t="s">
        <v>60</v>
      </c>
    </row>
    <row r="212">
      <c r="A212" s="18">
        <v>45868.0</v>
      </c>
      <c r="B212" s="1" t="s">
        <v>60</v>
      </c>
      <c r="C212" s="1" t="s">
        <v>60</v>
      </c>
    </row>
    <row r="213">
      <c r="A213" s="18">
        <v>45869.0</v>
      </c>
      <c r="B213" s="1" t="s">
        <v>60</v>
      </c>
      <c r="C213" s="1" t="s">
        <v>60</v>
      </c>
    </row>
    <row r="214">
      <c r="A214" s="18">
        <v>45870.0</v>
      </c>
      <c r="B214" s="1" t="s">
        <v>929</v>
      </c>
      <c r="C214" s="4">
        <v>0.8618055555555556</v>
      </c>
    </row>
    <row r="215">
      <c r="A215" s="18">
        <v>45871.0</v>
      </c>
      <c r="B215" s="1" t="s">
        <v>60</v>
      </c>
      <c r="C215" s="1" t="s">
        <v>60</v>
      </c>
    </row>
    <row r="216">
      <c r="A216" s="18">
        <v>45872.0</v>
      </c>
      <c r="B216" s="1" t="s">
        <v>60</v>
      </c>
      <c r="C216" s="1" t="s">
        <v>60</v>
      </c>
    </row>
    <row r="217">
      <c r="A217" s="18">
        <v>45873.0</v>
      </c>
      <c r="B217" s="1" t="s">
        <v>60</v>
      </c>
      <c r="C217" s="1" t="s">
        <v>60</v>
      </c>
    </row>
    <row r="218">
      <c r="A218" s="18">
        <v>45874.0</v>
      </c>
      <c r="B218" s="1" t="s">
        <v>60</v>
      </c>
      <c r="C218" s="1" t="s">
        <v>60</v>
      </c>
    </row>
    <row r="219">
      <c r="A219" s="18">
        <v>45875.0</v>
      </c>
      <c r="B219" s="1" t="s">
        <v>60</v>
      </c>
      <c r="C219" s="1" t="s">
        <v>60</v>
      </c>
    </row>
    <row r="220">
      <c r="A220" s="18">
        <v>45876.0</v>
      </c>
      <c r="B220" s="1" t="s">
        <v>60</v>
      </c>
      <c r="C220" s="1" t="s">
        <v>60</v>
      </c>
    </row>
    <row r="221">
      <c r="A221" s="18">
        <v>45877.0</v>
      </c>
      <c r="B221" s="1" t="s">
        <v>60</v>
      </c>
      <c r="C221" s="1" t="s">
        <v>60</v>
      </c>
    </row>
    <row r="222">
      <c r="A222" s="18">
        <v>45878.0</v>
      </c>
      <c r="B222" s="1" t="s">
        <v>930</v>
      </c>
      <c r="C222" s="4">
        <v>0.6631944444444444</v>
      </c>
    </row>
    <row r="223">
      <c r="A223" s="18">
        <v>45879.0</v>
      </c>
      <c r="B223" s="1" t="s">
        <v>60</v>
      </c>
      <c r="C223" s="1" t="s">
        <v>60</v>
      </c>
    </row>
    <row r="224">
      <c r="A224" s="18">
        <v>45880.0</v>
      </c>
      <c r="B224" s="1" t="s">
        <v>60</v>
      </c>
      <c r="C224" s="1" t="s">
        <v>60</v>
      </c>
    </row>
    <row r="225">
      <c r="A225" s="18">
        <v>45881.0</v>
      </c>
      <c r="B225" s="1" t="s">
        <v>60</v>
      </c>
      <c r="C225" s="1" t="s">
        <v>60</v>
      </c>
    </row>
    <row r="226">
      <c r="A226" s="18">
        <v>45882.0</v>
      </c>
      <c r="B226" s="1" t="s">
        <v>60</v>
      </c>
      <c r="C226" s="1" t="s">
        <v>60</v>
      </c>
    </row>
    <row r="227">
      <c r="A227" s="18">
        <v>45883.0</v>
      </c>
      <c r="B227" s="1" t="s">
        <v>60</v>
      </c>
      <c r="C227" s="1" t="s">
        <v>60</v>
      </c>
    </row>
    <row r="228">
      <c r="A228" s="18">
        <v>45884.0</v>
      </c>
      <c r="B228" s="1" t="s">
        <v>60</v>
      </c>
      <c r="C228" s="1" t="s">
        <v>60</v>
      </c>
    </row>
    <row r="229">
      <c r="A229" s="18">
        <v>45885.0</v>
      </c>
      <c r="B229" s="1" t="s">
        <v>931</v>
      </c>
      <c r="C229" s="4">
        <v>0.55</v>
      </c>
    </row>
    <row r="230">
      <c r="A230" s="18">
        <v>45886.0</v>
      </c>
      <c r="B230" s="1" t="s">
        <v>60</v>
      </c>
      <c r="C230" s="1" t="s">
        <v>60</v>
      </c>
    </row>
    <row r="231">
      <c r="A231" s="18">
        <v>45887.0</v>
      </c>
      <c r="B231" s="1" t="s">
        <v>60</v>
      </c>
      <c r="C231" s="1" t="s">
        <v>60</v>
      </c>
    </row>
    <row r="232">
      <c r="A232" s="18">
        <v>45888.0</v>
      </c>
      <c r="B232" s="1" t="s">
        <v>60</v>
      </c>
      <c r="C232" s="1" t="s">
        <v>60</v>
      </c>
    </row>
    <row r="233">
      <c r="A233" s="18">
        <v>45889.0</v>
      </c>
      <c r="B233" s="1" t="s">
        <v>60</v>
      </c>
      <c r="C233" s="1" t="s">
        <v>60</v>
      </c>
    </row>
    <row r="234">
      <c r="A234" s="18">
        <v>45890.0</v>
      </c>
      <c r="B234" s="1" t="s">
        <v>60</v>
      </c>
      <c r="C234" s="1" t="s">
        <v>60</v>
      </c>
    </row>
    <row r="235">
      <c r="A235" s="18">
        <v>45891.0</v>
      </c>
      <c r="B235" s="1" t="s">
        <v>60</v>
      </c>
      <c r="C235" s="1" t="s">
        <v>60</v>
      </c>
    </row>
    <row r="236">
      <c r="A236" s="18">
        <v>45892.0</v>
      </c>
      <c r="B236" s="1" t="s">
        <v>932</v>
      </c>
      <c r="C236" s="4">
        <v>0.5875</v>
      </c>
    </row>
    <row r="237">
      <c r="A237" s="18">
        <v>45893.0</v>
      </c>
      <c r="B237" s="1" t="s">
        <v>60</v>
      </c>
      <c r="C237" s="1" t="s">
        <v>60</v>
      </c>
    </row>
    <row r="238">
      <c r="A238" s="18">
        <v>45894.0</v>
      </c>
      <c r="B238" s="1" t="s">
        <v>60</v>
      </c>
      <c r="C238" s="1" t="s">
        <v>60</v>
      </c>
    </row>
    <row r="239">
      <c r="A239" s="18">
        <v>45895.0</v>
      </c>
      <c r="B239" s="1" t="s">
        <v>60</v>
      </c>
      <c r="C239" s="1" t="s">
        <v>60</v>
      </c>
    </row>
    <row r="240">
      <c r="A240" s="18">
        <v>45896.0</v>
      </c>
      <c r="B240" s="1" t="s">
        <v>60</v>
      </c>
      <c r="C240" s="1" t="s">
        <v>60</v>
      </c>
    </row>
    <row r="241">
      <c r="A241" s="18">
        <v>45897.0</v>
      </c>
      <c r="B241" s="1" t="s">
        <v>60</v>
      </c>
      <c r="C241" s="1" t="s">
        <v>60</v>
      </c>
    </row>
    <row r="242">
      <c r="A242" s="18">
        <v>45898.0</v>
      </c>
      <c r="B242" s="1" t="s">
        <v>60</v>
      </c>
      <c r="C242" s="1" t="s">
        <v>60</v>
      </c>
    </row>
    <row r="243">
      <c r="A243" s="18">
        <v>45899.0</v>
      </c>
      <c r="B243" s="1" t="s">
        <v>60</v>
      </c>
      <c r="C243" s="1" t="s">
        <v>60</v>
      </c>
    </row>
    <row r="244">
      <c r="A244" s="18">
        <v>45900.0</v>
      </c>
      <c r="B244" s="1" t="s">
        <v>929</v>
      </c>
      <c r="C244" s="4">
        <v>0.6006944444444444</v>
      </c>
    </row>
    <row r="245">
      <c r="A245" s="18">
        <v>45901.0</v>
      </c>
      <c r="B245" s="1" t="s">
        <v>60</v>
      </c>
      <c r="C245" s="1" t="s">
        <v>60</v>
      </c>
    </row>
    <row r="246">
      <c r="A246" s="18">
        <v>45902.0</v>
      </c>
      <c r="B246" s="1" t="s">
        <v>60</v>
      </c>
      <c r="C246" s="1" t="s">
        <v>60</v>
      </c>
    </row>
    <row r="247">
      <c r="A247" s="18">
        <v>45903.0</v>
      </c>
      <c r="B247" s="1" t="s">
        <v>60</v>
      </c>
      <c r="C247" s="1" t="s">
        <v>60</v>
      </c>
    </row>
    <row r="248">
      <c r="A248" s="18">
        <v>45904.0</v>
      </c>
      <c r="B248" s="1" t="s">
        <v>60</v>
      </c>
      <c r="C248" s="1" t="s">
        <v>60</v>
      </c>
    </row>
    <row r="249">
      <c r="A249" s="18">
        <v>45905.0</v>
      </c>
      <c r="B249" s="1" t="s">
        <v>60</v>
      </c>
      <c r="C249" s="1" t="s">
        <v>60</v>
      </c>
    </row>
    <row r="250">
      <c r="A250" s="18">
        <v>45906.0</v>
      </c>
      <c r="B250" s="1" t="s">
        <v>60</v>
      </c>
      <c r="C250" s="1" t="s">
        <v>60</v>
      </c>
    </row>
    <row r="251">
      <c r="A251" s="18">
        <v>45907.0</v>
      </c>
      <c r="B251" s="1" t="s">
        <v>60</v>
      </c>
      <c r="C251" s="1" t="s">
        <v>60</v>
      </c>
    </row>
    <row r="252">
      <c r="A252" s="18">
        <v>45908.0</v>
      </c>
      <c r="B252" s="1" t="s">
        <v>930</v>
      </c>
      <c r="C252" s="4">
        <v>0.08958333333333333</v>
      </c>
    </row>
    <row r="253">
      <c r="A253" s="18">
        <v>45909.0</v>
      </c>
      <c r="B253" s="1" t="s">
        <v>60</v>
      </c>
      <c r="C253" s="1" t="s">
        <v>60</v>
      </c>
    </row>
    <row r="254">
      <c r="A254" s="18">
        <v>45910.0</v>
      </c>
      <c r="B254" s="1" t="s">
        <v>60</v>
      </c>
      <c r="C254" s="1" t="s">
        <v>60</v>
      </c>
    </row>
    <row r="255">
      <c r="A255" s="18">
        <v>45911.0</v>
      </c>
      <c r="B255" s="1" t="s">
        <v>60</v>
      </c>
      <c r="C255" s="1" t="s">
        <v>60</v>
      </c>
    </row>
    <row r="256">
      <c r="A256" s="18">
        <v>45912.0</v>
      </c>
      <c r="B256" s="1" t="s">
        <v>60</v>
      </c>
      <c r="C256" s="1" t="s">
        <v>60</v>
      </c>
    </row>
    <row r="257">
      <c r="A257" s="18">
        <v>45913.0</v>
      </c>
      <c r="B257" s="1" t="s">
        <v>60</v>
      </c>
      <c r="C257" s="1" t="s">
        <v>60</v>
      </c>
    </row>
    <row r="258">
      <c r="A258" s="18">
        <v>45914.0</v>
      </c>
      <c r="B258" s="1" t="s">
        <v>931</v>
      </c>
      <c r="C258" s="4">
        <v>0.7729166666666667</v>
      </c>
    </row>
    <row r="259">
      <c r="A259" s="18">
        <v>45915.0</v>
      </c>
      <c r="B259" s="1" t="s">
        <v>60</v>
      </c>
      <c r="C259" s="1" t="s">
        <v>60</v>
      </c>
    </row>
    <row r="260">
      <c r="A260" s="18">
        <v>45916.0</v>
      </c>
      <c r="B260" s="1" t="s">
        <v>60</v>
      </c>
      <c r="C260" s="1" t="s">
        <v>60</v>
      </c>
    </row>
    <row r="261">
      <c r="A261" s="18">
        <v>45917.0</v>
      </c>
      <c r="B261" s="1" t="s">
        <v>60</v>
      </c>
      <c r="C261" s="1" t="s">
        <v>60</v>
      </c>
    </row>
    <row r="262">
      <c r="A262" s="18">
        <v>45918.0</v>
      </c>
      <c r="B262" s="1" t="s">
        <v>60</v>
      </c>
      <c r="C262" s="1" t="s">
        <v>60</v>
      </c>
    </row>
    <row r="263">
      <c r="A263" s="18">
        <v>45919.0</v>
      </c>
      <c r="B263" s="1" t="s">
        <v>60</v>
      </c>
      <c r="C263" s="1" t="s">
        <v>60</v>
      </c>
    </row>
    <row r="264">
      <c r="A264" s="18">
        <v>45920.0</v>
      </c>
      <c r="B264" s="1" t="s">
        <v>60</v>
      </c>
      <c r="C264" s="1" t="s">
        <v>60</v>
      </c>
    </row>
    <row r="265">
      <c r="A265" s="18">
        <v>45921.0</v>
      </c>
      <c r="B265" s="1" t="s">
        <v>60</v>
      </c>
      <c r="C265" s="1" t="s">
        <v>60</v>
      </c>
    </row>
    <row r="266">
      <c r="A266" s="18">
        <v>45922.0</v>
      </c>
      <c r="B266" s="1" t="s">
        <v>932</v>
      </c>
      <c r="C266" s="4">
        <v>0.1625</v>
      </c>
    </row>
    <row r="267">
      <c r="A267" s="18">
        <v>45923.0</v>
      </c>
      <c r="B267" s="1" t="s">
        <v>60</v>
      </c>
      <c r="C267" s="1" t="s">
        <v>60</v>
      </c>
    </row>
    <row r="268">
      <c r="A268" s="18">
        <v>45924.0</v>
      </c>
      <c r="B268" s="1" t="s">
        <v>60</v>
      </c>
      <c r="C268" s="1" t="s">
        <v>60</v>
      </c>
    </row>
    <row r="269">
      <c r="A269" s="18">
        <v>45925.0</v>
      </c>
      <c r="B269" s="1" t="s">
        <v>60</v>
      </c>
      <c r="C269" s="1" t="s">
        <v>60</v>
      </c>
    </row>
    <row r="270">
      <c r="A270" s="18">
        <v>45926.0</v>
      </c>
      <c r="B270" s="1" t="s">
        <v>60</v>
      </c>
      <c r="C270" s="1" t="s">
        <v>60</v>
      </c>
    </row>
    <row r="271">
      <c r="A271" s="18">
        <v>45927.0</v>
      </c>
      <c r="B271" s="1" t="s">
        <v>60</v>
      </c>
      <c r="C271" s="1" t="s">
        <v>60</v>
      </c>
    </row>
    <row r="272">
      <c r="A272" s="18">
        <v>45928.0</v>
      </c>
      <c r="B272" s="1" t="s">
        <v>60</v>
      </c>
      <c r="C272" s="1" t="s">
        <v>60</v>
      </c>
    </row>
    <row r="273">
      <c r="A273" s="18">
        <v>45929.0</v>
      </c>
      <c r="B273" s="1" t="s">
        <v>60</v>
      </c>
      <c r="C273" s="1" t="s">
        <v>60</v>
      </c>
    </row>
    <row r="274">
      <c r="A274" s="18">
        <v>45930.0</v>
      </c>
      <c r="B274" s="1" t="s">
        <v>929</v>
      </c>
      <c r="C274" s="4">
        <v>0.32916666666666666</v>
      </c>
    </row>
    <row r="275">
      <c r="A275" s="18">
        <v>45931.0</v>
      </c>
      <c r="B275" s="1" t="s">
        <v>60</v>
      </c>
      <c r="C275" s="1" t="s">
        <v>60</v>
      </c>
    </row>
    <row r="276">
      <c r="A276" s="18">
        <v>45932.0</v>
      </c>
      <c r="B276" s="1" t="s">
        <v>60</v>
      </c>
      <c r="C276" s="1" t="s">
        <v>60</v>
      </c>
    </row>
    <row r="277">
      <c r="A277" s="18">
        <v>45933.0</v>
      </c>
      <c r="B277" s="1" t="s">
        <v>60</v>
      </c>
      <c r="C277" s="1" t="s">
        <v>60</v>
      </c>
    </row>
    <row r="278">
      <c r="A278" s="18">
        <v>45934.0</v>
      </c>
      <c r="B278" s="1" t="s">
        <v>60</v>
      </c>
      <c r="C278" s="1" t="s">
        <v>60</v>
      </c>
    </row>
    <row r="279">
      <c r="A279" s="18">
        <v>45935.0</v>
      </c>
      <c r="B279" s="1" t="s">
        <v>60</v>
      </c>
      <c r="C279" s="1" t="s">
        <v>60</v>
      </c>
    </row>
    <row r="280">
      <c r="A280" s="18">
        <v>45936.0</v>
      </c>
      <c r="B280" s="1" t="s">
        <v>60</v>
      </c>
      <c r="C280" s="1" t="s">
        <v>60</v>
      </c>
    </row>
    <row r="281">
      <c r="A281" s="18">
        <v>45937.0</v>
      </c>
      <c r="B281" s="1" t="s">
        <v>930</v>
      </c>
      <c r="C281" s="4">
        <v>0.49166666666666664</v>
      </c>
    </row>
    <row r="282">
      <c r="A282" s="18">
        <v>45938.0</v>
      </c>
      <c r="B282" s="1" t="s">
        <v>60</v>
      </c>
      <c r="C282" s="1" t="s">
        <v>60</v>
      </c>
    </row>
    <row r="283">
      <c r="A283" s="18">
        <v>45939.0</v>
      </c>
      <c r="B283" s="1" t="s">
        <v>60</v>
      </c>
      <c r="C283" s="1" t="s">
        <v>60</v>
      </c>
    </row>
    <row r="284">
      <c r="A284" s="18">
        <v>45940.0</v>
      </c>
      <c r="B284" s="1" t="s">
        <v>60</v>
      </c>
      <c r="C284" s="1" t="s">
        <v>60</v>
      </c>
    </row>
    <row r="285">
      <c r="A285" s="18">
        <v>45941.0</v>
      </c>
      <c r="B285" s="1" t="s">
        <v>60</v>
      </c>
      <c r="C285" s="1" t="s">
        <v>60</v>
      </c>
    </row>
    <row r="286">
      <c r="A286" s="18">
        <v>45942.0</v>
      </c>
      <c r="B286" s="1" t="s">
        <v>60</v>
      </c>
      <c r="C286" s="1" t="s">
        <v>60</v>
      </c>
    </row>
    <row r="287">
      <c r="A287" s="18">
        <v>45943.0</v>
      </c>
      <c r="B287" s="1" t="s">
        <v>60</v>
      </c>
      <c r="C287" s="1" t="s">
        <v>60</v>
      </c>
    </row>
    <row r="288">
      <c r="A288" s="18">
        <v>45944.0</v>
      </c>
      <c r="B288" s="1" t="s">
        <v>931</v>
      </c>
      <c r="C288" s="4">
        <v>0.09236111111111112</v>
      </c>
    </row>
    <row r="289">
      <c r="A289" s="18">
        <v>45945.0</v>
      </c>
      <c r="B289" s="1" t="s">
        <v>60</v>
      </c>
      <c r="C289" s="1" t="s">
        <v>60</v>
      </c>
    </row>
    <row r="290">
      <c r="A290" s="18">
        <v>45946.0</v>
      </c>
      <c r="B290" s="1" t="s">
        <v>60</v>
      </c>
      <c r="C290" s="1" t="s">
        <v>60</v>
      </c>
    </row>
    <row r="291">
      <c r="A291" s="18">
        <v>45947.0</v>
      </c>
      <c r="B291" s="1" t="s">
        <v>60</v>
      </c>
      <c r="C291" s="1" t="s">
        <v>60</v>
      </c>
    </row>
    <row r="292">
      <c r="A292" s="18">
        <v>45948.0</v>
      </c>
      <c r="B292" s="1" t="s">
        <v>60</v>
      </c>
      <c r="C292" s="1" t="s">
        <v>60</v>
      </c>
    </row>
    <row r="293">
      <c r="A293" s="18">
        <v>45949.0</v>
      </c>
      <c r="B293" s="1" t="s">
        <v>60</v>
      </c>
      <c r="C293" s="1" t="s">
        <v>60</v>
      </c>
    </row>
    <row r="294">
      <c r="A294" s="18">
        <v>45950.0</v>
      </c>
      <c r="B294" s="1" t="s">
        <v>60</v>
      </c>
      <c r="C294" s="1" t="s">
        <v>60</v>
      </c>
    </row>
    <row r="295">
      <c r="A295" s="18">
        <v>45951.0</v>
      </c>
      <c r="B295" s="1" t="s">
        <v>932</v>
      </c>
      <c r="C295" s="4">
        <v>0.8506944444444444</v>
      </c>
    </row>
    <row r="296">
      <c r="A296" s="18">
        <v>45952.0</v>
      </c>
      <c r="B296" s="1" t="s">
        <v>60</v>
      </c>
      <c r="C296" s="1" t="s">
        <v>60</v>
      </c>
    </row>
    <row r="297">
      <c r="A297" s="18">
        <v>45953.0</v>
      </c>
      <c r="B297" s="1" t="s">
        <v>60</v>
      </c>
      <c r="C297" s="1" t="s">
        <v>60</v>
      </c>
    </row>
    <row r="298">
      <c r="A298" s="18">
        <v>45954.0</v>
      </c>
      <c r="B298" s="1" t="s">
        <v>60</v>
      </c>
      <c r="C298" s="1" t="s">
        <v>60</v>
      </c>
    </row>
    <row r="299">
      <c r="A299" s="18">
        <v>45955.0</v>
      </c>
      <c r="B299" s="1" t="s">
        <v>60</v>
      </c>
      <c r="C299" s="1" t="s">
        <v>60</v>
      </c>
    </row>
    <row r="300">
      <c r="A300" s="18">
        <v>45956.0</v>
      </c>
      <c r="B300" s="1" t="s">
        <v>60</v>
      </c>
      <c r="C300" s="1" t="s">
        <v>60</v>
      </c>
    </row>
    <row r="301">
      <c r="A301" s="18">
        <v>45957.0</v>
      </c>
      <c r="B301" s="1" t="s">
        <v>60</v>
      </c>
      <c r="C301" s="1" t="s">
        <v>60</v>
      </c>
    </row>
    <row r="302">
      <c r="A302" s="18">
        <v>45958.0</v>
      </c>
      <c r="B302" s="1" t="s">
        <v>60</v>
      </c>
      <c r="C302" s="1" t="s">
        <v>60</v>
      </c>
    </row>
    <row r="303">
      <c r="A303" s="18">
        <v>45959.0</v>
      </c>
      <c r="B303" s="1" t="s">
        <v>60</v>
      </c>
      <c r="C303" s="1" t="s">
        <v>60</v>
      </c>
    </row>
    <row r="304">
      <c r="A304" s="18">
        <v>45960.0</v>
      </c>
      <c r="B304" s="1" t="s">
        <v>929</v>
      </c>
      <c r="C304" s="4">
        <v>0.014583333333333334</v>
      </c>
    </row>
    <row r="305">
      <c r="A305" s="18">
        <v>45961.0</v>
      </c>
      <c r="B305" s="1" t="s">
        <v>60</v>
      </c>
      <c r="C305" s="1" t="s">
        <v>60</v>
      </c>
    </row>
    <row r="306">
      <c r="A306" s="18">
        <v>45962.0</v>
      </c>
      <c r="B306" s="1" t="s">
        <v>60</v>
      </c>
      <c r="C306" s="1" t="s">
        <v>60</v>
      </c>
    </row>
    <row r="307">
      <c r="A307" s="18">
        <v>45963.0</v>
      </c>
      <c r="B307" s="1" t="s">
        <v>60</v>
      </c>
      <c r="C307" s="1" t="s">
        <v>60</v>
      </c>
    </row>
    <row r="308">
      <c r="A308" s="18">
        <v>45964.0</v>
      </c>
      <c r="B308" s="1" t="s">
        <v>60</v>
      </c>
      <c r="C308" s="1" t="s">
        <v>60</v>
      </c>
    </row>
    <row r="309">
      <c r="A309" s="18">
        <v>45965.0</v>
      </c>
      <c r="B309" s="1" t="s">
        <v>60</v>
      </c>
      <c r="C309" s="1" t="s">
        <v>60</v>
      </c>
    </row>
    <row r="310">
      <c r="A310" s="18">
        <v>45966.0</v>
      </c>
      <c r="B310" s="1" t="s">
        <v>930</v>
      </c>
      <c r="C310" s="4">
        <v>0.8881944444444444</v>
      </c>
    </row>
    <row r="311">
      <c r="A311" s="18">
        <v>45967.0</v>
      </c>
      <c r="B311" s="1" t="s">
        <v>60</v>
      </c>
      <c r="C311" s="1" t="s">
        <v>60</v>
      </c>
    </row>
    <row r="312">
      <c r="A312" s="18">
        <v>45968.0</v>
      </c>
      <c r="B312" s="1" t="s">
        <v>60</v>
      </c>
      <c r="C312" s="1" t="s">
        <v>60</v>
      </c>
    </row>
    <row r="313">
      <c r="A313" s="18">
        <v>45969.0</v>
      </c>
      <c r="B313" s="1" t="s">
        <v>60</v>
      </c>
      <c r="C313" s="1" t="s">
        <v>60</v>
      </c>
    </row>
    <row r="314">
      <c r="A314" s="18">
        <v>45970.0</v>
      </c>
      <c r="B314" s="1" t="s">
        <v>60</v>
      </c>
      <c r="C314" s="1" t="s">
        <v>60</v>
      </c>
    </row>
    <row r="315">
      <c r="A315" s="18">
        <v>45971.0</v>
      </c>
      <c r="B315" s="1" t="s">
        <v>60</v>
      </c>
      <c r="C315" s="1" t="s">
        <v>60</v>
      </c>
    </row>
    <row r="316">
      <c r="A316" s="18">
        <v>45972.0</v>
      </c>
      <c r="B316" s="1" t="s">
        <v>60</v>
      </c>
      <c r="C316" s="1" t="s">
        <v>60</v>
      </c>
    </row>
    <row r="317">
      <c r="A317" s="18">
        <v>45973.0</v>
      </c>
      <c r="B317" s="1" t="s">
        <v>931</v>
      </c>
      <c r="C317" s="4">
        <v>0.5611111111111111</v>
      </c>
    </row>
    <row r="318">
      <c r="A318" s="18">
        <v>45974.0</v>
      </c>
      <c r="B318" s="1" t="s">
        <v>60</v>
      </c>
      <c r="C318" s="1" t="s">
        <v>60</v>
      </c>
    </row>
    <row r="319">
      <c r="A319" s="18">
        <v>45975.0</v>
      </c>
      <c r="B319" s="1" t="s">
        <v>60</v>
      </c>
      <c r="C319" s="1" t="s">
        <v>60</v>
      </c>
    </row>
    <row r="320">
      <c r="A320" s="18">
        <v>45976.0</v>
      </c>
      <c r="B320" s="1" t="s">
        <v>60</v>
      </c>
      <c r="C320" s="1" t="s">
        <v>60</v>
      </c>
    </row>
    <row r="321">
      <c r="A321" s="18">
        <v>45977.0</v>
      </c>
      <c r="B321" s="1" t="s">
        <v>60</v>
      </c>
      <c r="C321" s="1" t="s">
        <v>60</v>
      </c>
    </row>
    <row r="322">
      <c r="A322" s="18">
        <v>45978.0</v>
      </c>
      <c r="B322" s="1" t="s">
        <v>60</v>
      </c>
      <c r="C322" s="1" t="s">
        <v>60</v>
      </c>
    </row>
    <row r="323">
      <c r="A323" s="18">
        <v>45979.0</v>
      </c>
      <c r="B323" s="1" t="s">
        <v>60</v>
      </c>
      <c r="C323" s="1" t="s">
        <v>60</v>
      </c>
    </row>
    <row r="324">
      <c r="A324" s="18">
        <v>45980.0</v>
      </c>
      <c r="B324" s="1" t="s">
        <v>60</v>
      </c>
      <c r="C324" s="1" t="s">
        <v>60</v>
      </c>
    </row>
    <row r="325">
      <c r="A325" s="18">
        <v>45981.0</v>
      </c>
      <c r="B325" s="1" t="s">
        <v>932</v>
      </c>
      <c r="C325" s="4">
        <v>0.6159722222222223</v>
      </c>
    </row>
    <row r="326">
      <c r="A326" s="18">
        <v>45982.0</v>
      </c>
      <c r="B326" s="1" t="s">
        <v>60</v>
      </c>
      <c r="C326" s="1" t="s">
        <v>60</v>
      </c>
    </row>
    <row r="327">
      <c r="A327" s="18">
        <v>45983.0</v>
      </c>
      <c r="B327" s="1" t="s">
        <v>60</v>
      </c>
      <c r="C327" s="1" t="s">
        <v>60</v>
      </c>
    </row>
    <row r="328">
      <c r="A328" s="18">
        <v>45984.0</v>
      </c>
      <c r="B328" s="1" t="s">
        <v>60</v>
      </c>
      <c r="C328" s="1" t="s">
        <v>60</v>
      </c>
    </row>
    <row r="329">
      <c r="A329" s="18">
        <v>45985.0</v>
      </c>
      <c r="B329" s="1" t="s">
        <v>60</v>
      </c>
      <c r="C329" s="1" t="s">
        <v>60</v>
      </c>
    </row>
    <row r="330">
      <c r="A330" s="18">
        <v>45986.0</v>
      </c>
      <c r="B330" s="1" t="s">
        <v>60</v>
      </c>
      <c r="C330" s="1" t="s">
        <v>60</v>
      </c>
    </row>
    <row r="331">
      <c r="A331" s="18">
        <v>45987.0</v>
      </c>
      <c r="B331" s="1" t="s">
        <v>60</v>
      </c>
      <c r="C331" s="1" t="s">
        <v>60</v>
      </c>
    </row>
    <row r="332">
      <c r="A332" s="18">
        <v>45988.0</v>
      </c>
      <c r="B332" s="1" t="s">
        <v>60</v>
      </c>
      <c r="C332" s="1" t="s">
        <v>60</v>
      </c>
    </row>
    <row r="333">
      <c r="A333" s="18">
        <v>45989.0</v>
      </c>
      <c r="B333" s="1" t="s">
        <v>929</v>
      </c>
      <c r="C333" s="4">
        <v>0.6243055555555556</v>
      </c>
    </row>
    <row r="334">
      <c r="A334" s="18">
        <v>45990.0</v>
      </c>
      <c r="B334" s="1" t="s">
        <v>60</v>
      </c>
      <c r="C334" s="1" t="s">
        <v>60</v>
      </c>
    </row>
    <row r="335">
      <c r="A335" s="18">
        <v>45991.0</v>
      </c>
      <c r="B335" s="1" t="s">
        <v>60</v>
      </c>
      <c r="C335" s="1" t="s">
        <v>60</v>
      </c>
    </row>
    <row r="336">
      <c r="A336" s="18">
        <v>45992.0</v>
      </c>
      <c r="B336" s="1" t="s">
        <v>60</v>
      </c>
      <c r="C336" s="1" t="s">
        <v>60</v>
      </c>
    </row>
    <row r="337">
      <c r="A337" s="18">
        <v>45993.0</v>
      </c>
      <c r="B337" s="1" t="s">
        <v>60</v>
      </c>
      <c r="C337" s="1" t="s">
        <v>60</v>
      </c>
    </row>
    <row r="338">
      <c r="A338" s="18">
        <v>45994.0</v>
      </c>
      <c r="B338" s="1" t="s">
        <v>60</v>
      </c>
      <c r="C338" s="1" t="s">
        <v>60</v>
      </c>
    </row>
    <row r="339">
      <c r="A339" s="18">
        <v>45995.0</v>
      </c>
      <c r="B339" s="1" t="s">
        <v>60</v>
      </c>
      <c r="C339" s="1" t="s">
        <v>60</v>
      </c>
    </row>
    <row r="340">
      <c r="A340" s="18">
        <v>45996.0</v>
      </c>
      <c r="B340" s="1" t="s">
        <v>930</v>
      </c>
      <c r="C340" s="4">
        <v>0.3013888888888889</v>
      </c>
    </row>
    <row r="341">
      <c r="A341" s="18">
        <v>45997.0</v>
      </c>
      <c r="B341" s="1" t="s">
        <v>60</v>
      </c>
      <c r="C341" s="1" t="s">
        <v>60</v>
      </c>
    </row>
    <row r="342">
      <c r="A342" s="18">
        <v>45998.0</v>
      </c>
      <c r="B342" s="1" t="s">
        <v>60</v>
      </c>
      <c r="C342" s="1" t="s">
        <v>60</v>
      </c>
    </row>
    <row r="343">
      <c r="A343" s="18">
        <v>45999.0</v>
      </c>
      <c r="B343" s="1" t="s">
        <v>60</v>
      </c>
      <c r="C343" s="1" t="s">
        <v>60</v>
      </c>
    </row>
    <row r="344">
      <c r="A344" s="18">
        <v>46000.0</v>
      </c>
      <c r="B344" s="1" t="s">
        <v>60</v>
      </c>
      <c r="C344" s="1" t="s">
        <v>60</v>
      </c>
    </row>
    <row r="345">
      <c r="A345" s="18">
        <v>46001.0</v>
      </c>
      <c r="B345" s="1" t="s">
        <v>60</v>
      </c>
      <c r="C345" s="1" t="s">
        <v>60</v>
      </c>
    </row>
    <row r="346">
      <c r="A346" s="18">
        <v>46002.0</v>
      </c>
      <c r="B346" s="1" t="s">
        <v>60</v>
      </c>
      <c r="C346" s="1" t="s">
        <v>60</v>
      </c>
    </row>
    <row r="347">
      <c r="A347" s="18">
        <v>46003.0</v>
      </c>
      <c r="B347" s="1" t="s">
        <v>931</v>
      </c>
      <c r="C347" s="4">
        <v>0.20277777777777778</v>
      </c>
    </row>
    <row r="348">
      <c r="A348" s="18">
        <v>46004.0</v>
      </c>
      <c r="B348" s="1" t="s">
        <v>60</v>
      </c>
      <c r="C348" s="1" t="s">
        <v>60</v>
      </c>
    </row>
    <row r="349">
      <c r="A349" s="18">
        <v>46005.0</v>
      </c>
      <c r="B349" s="1" t="s">
        <v>60</v>
      </c>
      <c r="C349" s="1" t="s">
        <v>60</v>
      </c>
    </row>
    <row r="350">
      <c r="A350" s="18">
        <v>46006.0</v>
      </c>
      <c r="B350" s="1" t="s">
        <v>60</v>
      </c>
      <c r="C350" s="1" t="s">
        <v>60</v>
      </c>
    </row>
    <row r="351">
      <c r="A351" s="18">
        <v>46007.0</v>
      </c>
      <c r="B351" s="1" t="s">
        <v>60</v>
      </c>
      <c r="C351" s="1" t="s">
        <v>60</v>
      </c>
    </row>
    <row r="352">
      <c r="A352" s="18">
        <v>46008.0</v>
      </c>
      <c r="B352" s="1" t="s">
        <v>60</v>
      </c>
      <c r="C352" s="1" t="s">
        <v>60</v>
      </c>
    </row>
    <row r="353">
      <c r="A353" s="18">
        <v>46009.0</v>
      </c>
      <c r="B353" s="1" t="s">
        <v>60</v>
      </c>
      <c r="C353" s="1" t="s">
        <v>60</v>
      </c>
    </row>
    <row r="354">
      <c r="A354" s="18">
        <v>46010.0</v>
      </c>
      <c r="B354" s="1" t="s">
        <v>60</v>
      </c>
      <c r="C354" s="1" t="s">
        <v>60</v>
      </c>
    </row>
    <row r="355">
      <c r="A355" s="18">
        <v>46011.0</v>
      </c>
      <c r="B355" s="1" t="s">
        <v>932</v>
      </c>
      <c r="C355" s="4">
        <v>0.4048611111111111</v>
      </c>
    </row>
    <row r="356">
      <c r="A356" s="18">
        <v>46012.0</v>
      </c>
      <c r="B356" s="1" t="s">
        <v>60</v>
      </c>
      <c r="C356" s="1" t="s">
        <v>60</v>
      </c>
    </row>
    <row r="357">
      <c r="A357" s="18">
        <v>46013.0</v>
      </c>
      <c r="B357" s="1" t="s">
        <v>60</v>
      </c>
      <c r="C357" s="1" t="s">
        <v>60</v>
      </c>
    </row>
    <row r="358">
      <c r="A358" s="18">
        <v>46014.0</v>
      </c>
      <c r="B358" s="1" t="s">
        <v>60</v>
      </c>
      <c r="C358" s="1" t="s">
        <v>60</v>
      </c>
    </row>
    <row r="359">
      <c r="A359" s="18">
        <v>46015.0</v>
      </c>
      <c r="B359" s="1" t="s">
        <v>60</v>
      </c>
      <c r="C359" s="1" t="s">
        <v>60</v>
      </c>
    </row>
    <row r="360">
      <c r="A360" s="18">
        <v>46016.0</v>
      </c>
      <c r="B360" s="1" t="s">
        <v>60</v>
      </c>
      <c r="C360" s="1" t="s">
        <v>60</v>
      </c>
    </row>
    <row r="361">
      <c r="A361" s="18">
        <v>46017.0</v>
      </c>
      <c r="B361" s="1" t="s">
        <v>60</v>
      </c>
      <c r="C361" s="1" t="s">
        <v>60</v>
      </c>
    </row>
    <row r="362">
      <c r="A362" s="18">
        <v>46018.0</v>
      </c>
      <c r="B362" s="1" t="s">
        <v>60</v>
      </c>
      <c r="C362" s="1" t="s">
        <v>60</v>
      </c>
    </row>
    <row r="363">
      <c r="A363" s="18">
        <v>46019.0</v>
      </c>
      <c r="B363" s="1" t="s">
        <v>929</v>
      </c>
      <c r="C363" s="4">
        <v>0.13194444444444445</v>
      </c>
    </row>
    <row r="364">
      <c r="A364" s="18">
        <v>46020.0</v>
      </c>
      <c r="B364" s="1" t="s">
        <v>60</v>
      </c>
      <c r="C364" s="1" t="s">
        <v>60</v>
      </c>
    </row>
    <row r="365">
      <c r="A365" s="18">
        <v>46021.0</v>
      </c>
      <c r="B365" s="1" t="s">
        <v>60</v>
      </c>
      <c r="C365" s="1" t="s">
        <v>60</v>
      </c>
    </row>
    <row r="366">
      <c r="A366" s="18">
        <v>46022.0</v>
      </c>
      <c r="B366" s="1" t="s">
        <v>60</v>
      </c>
      <c r="C366" s="1" t="s">
        <v>60</v>
      </c>
    </row>
    <row r="367">
      <c r="A367" s="18">
        <v>46023.0</v>
      </c>
      <c r="B367" s="1" t="s">
        <v>60</v>
      </c>
      <c r="C367" s="1" t="s">
        <v>60</v>
      </c>
    </row>
    <row r="368">
      <c r="A368" s="18">
        <v>46024.0</v>
      </c>
      <c r="B368" s="1" t="s">
        <v>60</v>
      </c>
      <c r="C368" s="1" t="s">
        <v>60</v>
      </c>
    </row>
    <row r="369">
      <c r="A369" s="18">
        <v>46025.0</v>
      </c>
      <c r="B369" s="1" t="s">
        <v>930</v>
      </c>
      <c r="C369" s="4">
        <v>0.7520833333333333</v>
      </c>
    </row>
    <row r="370">
      <c r="A370" s="18">
        <v>46026.0</v>
      </c>
      <c r="B370" s="1" t="s">
        <v>60</v>
      </c>
      <c r="C370" s="1" t="s">
        <v>60</v>
      </c>
    </row>
    <row r="371">
      <c r="A371" s="18">
        <v>46027.0</v>
      </c>
      <c r="B371" s="1" t="s">
        <v>60</v>
      </c>
      <c r="C371" s="1" t="s">
        <v>60</v>
      </c>
    </row>
    <row r="372">
      <c r="A372" s="18">
        <v>46028.0</v>
      </c>
      <c r="B372" s="1" t="s">
        <v>60</v>
      </c>
      <c r="C372" s="1" t="s">
        <v>60</v>
      </c>
    </row>
    <row r="373">
      <c r="A373" s="18">
        <v>46029.0</v>
      </c>
      <c r="B373" s="1" t="s">
        <v>60</v>
      </c>
      <c r="C373" s="1" t="s">
        <v>60</v>
      </c>
    </row>
    <row r="374">
      <c r="A374" s="18">
        <v>46030.0</v>
      </c>
      <c r="B374" s="1" t="s">
        <v>60</v>
      </c>
      <c r="C374" s="1" t="s">
        <v>60</v>
      </c>
    </row>
    <row r="375">
      <c r="A375" s="18">
        <v>46031.0</v>
      </c>
      <c r="B375" s="1" t="s">
        <v>60</v>
      </c>
      <c r="C375" s="1" t="s">
        <v>60</v>
      </c>
    </row>
    <row r="376">
      <c r="A376" s="18">
        <v>46032.0</v>
      </c>
      <c r="B376" s="1" t="s">
        <v>931</v>
      </c>
      <c r="C376" s="4">
        <v>0.9916666666666667</v>
      </c>
    </row>
    <row r="377">
      <c r="A377" s="18">
        <v>46033.0</v>
      </c>
      <c r="B377" s="1" t="s">
        <v>60</v>
      </c>
      <c r="C377" s="1" t="s">
        <v>60</v>
      </c>
    </row>
    <row r="378">
      <c r="A378" s="18">
        <v>46034.0</v>
      </c>
      <c r="B378" s="1" t="s">
        <v>60</v>
      </c>
      <c r="C378" s="1" t="s">
        <v>60</v>
      </c>
    </row>
    <row r="379">
      <c r="A379" s="18">
        <v>46035.0</v>
      </c>
      <c r="B379" s="1" t="s">
        <v>60</v>
      </c>
      <c r="C379" s="1" t="s">
        <v>60</v>
      </c>
    </row>
    <row r="380">
      <c r="A380" s="18">
        <v>46036.0</v>
      </c>
      <c r="B380" s="1" t="s">
        <v>60</v>
      </c>
      <c r="C380" s="1" t="s">
        <v>60</v>
      </c>
    </row>
    <row r="381">
      <c r="A381" s="18">
        <v>46037.0</v>
      </c>
      <c r="B381" s="1" t="s">
        <v>60</v>
      </c>
      <c r="C381" s="1" t="s">
        <v>60</v>
      </c>
    </row>
    <row r="382">
      <c r="A382" s="18">
        <v>46038.0</v>
      </c>
      <c r="B382" s="1" t="s">
        <v>60</v>
      </c>
      <c r="C382" s="1" t="s">
        <v>60</v>
      </c>
    </row>
    <row r="383">
      <c r="A383" s="18">
        <v>46039.0</v>
      </c>
      <c r="B383" s="1" t="s">
        <v>60</v>
      </c>
      <c r="C383" s="1" t="s">
        <v>60</v>
      </c>
    </row>
    <row r="384">
      <c r="A384" s="18">
        <v>46040.0</v>
      </c>
      <c r="B384" s="1" t="s">
        <v>60</v>
      </c>
      <c r="C384" s="1" t="s">
        <v>60</v>
      </c>
    </row>
    <row r="385">
      <c r="A385" s="18">
        <v>46041.0</v>
      </c>
      <c r="B385" s="1" t="s">
        <v>932</v>
      </c>
      <c r="C385" s="4">
        <v>0.16111111111111112</v>
      </c>
    </row>
    <row r="386">
      <c r="A386" s="18">
        <v>46042.0</v>
      </c>
      <c r="B386" s="1" t="s">
        <v>60</v>
      </c>
      <c r="C386" s="1" t="s">
        <v>60</v>
      </c>
    </row>
    <row r="387">
      <c r="A387" s="18">
        <v>46043.0</v>
      </c>
      <c r="B387" s="1" t="s">
        <v>60</v>
      </c>
      <c r="C387" s="1" t="s">
        <v>60</v>
      </c>
    </row>
    <row r="388">
      <c r="A388" s="18">
        <v>46044.0</v>
      </c>
      <c r="B388" s="1" t="s">
        <v>60</v>
      </c>
      <c r="C388" s="1" t="s">
        <v>60</v>
      </c>
    </row>
    <row r="389">
      <c r="A389" s="18">
        <v>46045.0</v>
      </c>
      <c r="B389" s="1" t="s">
        <v>60</v>
      </c>
      <c r="C389" s="1" t="s">
        <v>60</v>
      </c>
    </row>
    <row r="390">
      <c r="A390" s="18">
        <v>46046.0</v>
      </c>
      <c r="B390" s="1" t="s">
        <v>60</v>
      </c>
      <c r="C390" s="1" t="s">
        <v>60</v>
      </c>
    </row>
    <row r="391">
      <c r="A391" s="18">
        <v>46047.0</v>
      </c>
      <c r="B391" s="1" t="s">
        <v>60</v>
      </c>
      <c r="C391" s="1" t="s">
        <v>60</v>
      </c>
    </row>
    <row r="392">
      <c r="A392" s="18">
        <v>46048.0</v>
      </c>
      <c r="B392" s="1" t="s">
        <v>929</v>
      </c>
      <c r="C392" s="4">
        <v>0.5326388888888889</v>
      </c>
    </row>
    <row r="393">
      <c r="A393" s="18">
        <v>46049.0</v>
      </c>
      <c r="B393" s="1" t="s">
        <v>60</v>
      </c>
      <c r="C393" s="1" t="s">
        <v>60</v>
      </c>
    </row>
    <row r="394">
      <c r="A394" s="18">
        <v>46050.0</v>
      </c>
      <c r="B394" s="1" t="s">
        <v>60</v>
      </c>
      <c r="C394" s="1" t="s">
        <v>60</v>
      </c>
    </row>
    <row r="395">
      <c r="A395" s="18">
        <v>46051.0</v>
      </c>
      <c r="B395" s="1" t="s">
        <v>60</v>
      </c>
      <c r="C395" s="1" t="s">
        <v>60</v>
      </c>
    </row>
    <row r="396">
      <c r="A396" s="18">
        <v>46052.0</v>
      </c>
      <c r="B396" s="1" t="s">
        <v>60</v>
      </c>
      <c r="C396" s="1" t="s">
        <v>60</v>
      </c>
    </row>
    <row r="397">
      <c r="A397" s="18">
        <v>46053.0</v>
      </c>
      <c r="B397" s="1" t="s">
        <v>60</v>
      </c>
      <c r="C397" s="1" t="s">
        <v>60</v>
      </c>
    </row>
    <row r="398">
      <c r="A398" s="18">
        <v>46054.0</v>
      </c>
      <c r="B398" s="1" t="s">
        <v>60</v>
      </c>
      <c r="C398" s="1" t="s">
        <v>60</v>
      </c>
    </row>
    <row r="399">
      <c r="A399" s="18">
        <v>46055.0</v>
      </c>
      <c r="B399" s="1" t="s">
        <v>930</v>
      </c>
      <c r="C399" s="4">
        <v>0.25625</v>
      </c>
    </row>
    <row r="400">
      <c r="A400" s="18">
        <v>46056.0</v>
      </c>
      <c r="B400" s="1" t="s">
        <v>60</v>
      </c>
      <c r="C400" s="1" t="s">
        <v>60</v>
      </c>
    </row>
    <row r="401">
      <c r="A401" s="18">
        <v>46057.0</v>
      </c>
      <c r="B401" s="1" t="s">
        <v>60</v>
      </c>
      <c r="C401" s="1" t="s">
        <v>60</v>
      </c>
    </row>
    <row r="402">
      <c r="A402" s="18">
        <v>46058.0</v>
      </c>
      <c r="B402" s="1" t="s">
        <v>60</v>
      </c>
      <c r="C402" s="1" t="s">
        <v>60</v>
      </c>
    </row>
    <row r="403">
      <c r="A403" s="18">
        <v>46059.0</v>
      </c>
      <c r="B403" s="1" t="s">
        <v>60</v>
      </c>
      <c r="C403" s="1" t="s">
        <v>60</v>
      </c>
    </row>
    <row r="404">
      <c r="A404" s="18">
        <v>46060.0</v>
      </c>
      <c r="B404" s="1" t="s">
        <v>60</v>
      </c>
      <c r="C404" s="1" t="s">
        <v>60</v>
      </c>
    </row>
    <row r="405">
      <c r="A405" s="18">
        <v>46061.0</v>
      </c>
      <c r="B405" s="1" t="s">
        <v>60</v>
      </c>
      <c r="C405" s="1" t="s">
        <v>60</v>
      </c>
    </row>
    <row r="406">
      <c r="A406" s="18">
        <v>46062.0</v>
      </c>
      <c r="B406" s="1" t="s">
        <v>931</v>
      </c>
      <c r="C406" s="4">
        <v>0.8631944444444445</v>
      </c>
    </row>
    <row r="407">
      <c r="A407" s="18">
        <v>46063.0</v>
      </c>
      <c r="B407" s="1" t="s">
        <v>60</v>
      </c>
      <c r="C407" s="1" t="s">
        <v>60</v>
      </c>
    </row>
    <row r="408">
      <c r="A408" s="18">
        <v>46064.0</v>
      </c>
      <c r="B408" s="1" t="s">
        <v>60</v>
      </c>
      <c r="C408" s="1" t="s">
        <v>60</v>
      </c>
    </row>
    <row r="409">
      <c r="A409" s="18">
        <v>46065.0</v>
      </c>
      <c r="B409" s="1" t="s">
        <v>60</v>
      </c>
      <c r="C409" s="1" t="s">
        <v>60</v>
      </c>
    </row>
    <row r="410">
      <c r="A410" s="18">
        <v>46066.0</v>
      </c>
      <c r="B410" s="1" t="s">
        <v>60</v>
      </c>
      <c r="C410" s="1" t="s">
        <v>60</v>
      </c>
    </row>
    <row r="411">
      <c r="A411" s="18">
        <v>46067.0</v>
      </c>
      <c r="B411" s="1" t="s">
        <v>60</v>
      </c>
      <c r="C411" s="1" t="s">
        <v>60</v>
      </c>
    </row>
    <row r="412">
      <c r="A412" s="18">
        <v>46068.0</v>
      </c>
      <c r="B412" s="1" t="s">
        <v>60</v>
      </c>
      <c r="C412" s="1" t="s">
        <v>60</v>
      </c>
    </row>
    <row r="413">
      <c r="A413" s="18">
        <v>46069.0</v>
      </c>
      <c r="B413" s="1" t="s">
        <v>60</v>
      </c>
      <c r="C413" s="1" t="s">
        <v>60</v>
      </c>
    </row>
    <row r="414">
      <c r="A414" s="18">
        <v>46070.0</v>
      </c>
      <c r="B414" s="1" t="s">
        <v>932</v>
      </c>
      <c r="C414" s="4">
        <v>0.8340277777777778</v>
      </c>
    </row>
    <row r="415">
      <c r="A415" s="18">
        <v>46071.0</v>
      </c>
      <c r="B415" s="1" t="s">
        <v>60</v>
      </c>
      <c r="C415" s="1" t="s">
        <v>60</v>
      </c>
    </row>
    <row r="416">
      <c r="A416" s="18">
        <v>46072.0</v>
      </c>
      <c r="B416" s="1" t="s">
        <v>60</v>
      </c>
      <c r="C416" s="1" t="s">
        <v>60</v>
      </c>
    </row>
    <row r="417">
      <c r="A417" s="18">
        <v>46073.0</v>
      </c>
      <c r="B417" s="1" t="s">
        <v>60</v>
      </c>
      <c r="C417" s="1" t="s">
        <v>60</v>
      </c>
    </row>
    <row r="418">
      <c r="A418" s="18">
        <v>46074.0</v>
      </c>
      <c r="B418" s="1" t="s">
        <v>60</v>
      </c>
      <c r="C418" s="1" t="s">
        <v>60</v>
      </c>
    </row>
    <row r="419">
      <c r="A419" s="18">
        <v>46075.0</v>
      </c>
      <c r="B419" s="1" t="s">
        <v>60</v>
      </c>
      <c r="C419" s="1" t="s">
        <v>60</v>
      </c>
    </row>
    <row r="420">
      <c r="A420" s="18">
        <v>46076.0</v>
      </c>
      <c r="B420" s="1" t="s">
        <v>60</v>
      </c>
      <c r="C420" s="1" t="s">
        <v>60</v>
      </c>
    </row>
    <row r="421">
      <c r="A421" s="18">
        <v>46077.0</v>
      </c>
      <c r="B421" s="1" t="s">
        <v>929</v>
      </c>
      <c r="C421" s="4">
        <v>0.8527777777777777</v>
      </c>
    </row>
    <row r="422">
      <c r="A422" s="18">
        <v>46078.0</v>
      </c>
      <c r="B422" s="1" t="s">
        <v>60</v>
      </c>
      <c r="C422" s="1" t="s">
        <v>60</v>
      </c>
    </row>
    <row r="423">
      <c r="A423" s="18">
        <v>46079.0</v>
      </c>
      <c r="B423" s="1" t="s">
        <v>60</v>
      </c>
      <c r="C423" s="1" t="s">
        <v>60</v>
      </c>
    </row>
    <row r="424">
      <c r="A424" s="18">
        <v>46080.0</v>
      </c>
      <c r="B424" s="1" t="s">
        <v>60</v>
      </c>
      <c r="C424" s="1" t="s">
        <v>60</v>
      </c>
    </row>
    <row r="425">
      <c r="A425" s="18">
        <v>46081.0</v>
      </c>
      <c r="B425" s="1" t="s">
        <v>60</v>
      </c>
      <c r="C425" s="1" t="s">
        <v>60</v>
      </c>
    </row>
    <row r="426">
      <c r="A426" s="18">
        <v>46082.0</v>
      </c>
      <c r="B426" s="1" t="s">
        <v>60</v>
      </c>
      <c r="C426" s="1" t="s">
        <v>60</v>
      </c>
    </row>
    <row r="427">
      <c r="A427" s="18">
        <v>46083.0</v>
      </c>
      <c r="B427" s="1" t="s">
        <v>60</v>
      </c>
      <c r="C427" s="1" t="s">
        <v>60</v>
      </c>
    </row>
    <row r="428">
      <c r="A428" s="18">
        <v>46084.0</v>
      </c>
      <c r="B428" s="1" t="s">
        <v>930</v>
      </c>
      <c r="C428" s="4">
        <v>0.8180555555555555</v>
      </c>
    </row>
    <row r="429">
      <c r="A429" s="18">
        <v>46085.0</v>
      </c>
      <c r="B429" s="1" t="s">
        <v>60</v>
      </c>
      <c r="C429" s="1" t="s">
        <v>60</v>
      </c>
    </row>
    <row r="430">
      <c r="A430" s="18">
        <v>46086.0</v>
      </c>
      <c r="B430" s="1" t="s">
        <v>60</v>
      </c>
      <c r="C430" s="1" t="s">
        <v>60</v>
      </c>
    </row>
    <row r="431">
      <c r="A431" s="18">
        <v>46087.0</v>
      </c>
      <c r="B431" s="1" t="s">
        <v>60</v>
      </c>
      <c r="C431" s="1" t="s">
        <v>60</v>
      </c>
    </row>
    <row r="432">
      <c r="A432" s="18">
        <v>46088.0</v>
      </c>
      <c r="B432" s="1" t="s">
        <v>60</v>
      </c>
      <c r="C432" s="1" t="s">
        <v>60</v>
      </c>
    </row>
    <row r="433">
      <c r="A433" s="18">
        <v>46089.0</v>
      </c>
      <c r="B433" s="1" t="s">
        <v>60</v>
      </c>
      <c r="C433" s="1" t="s">
        <v>60</v>
      </c>
    </row>
    <row r="434">
      <c r="A434" s="18">
        <v>46090.0</v>
      </c>
      <c r="B434" s="1" t="s">
        <v>60</v>
      </c>
      <c r="C434" s="1" t="s">
        <v>60</v>
      </c>
    </row>
    <row r="435">
      <c r="A435" s="18">
        <v>46091.0</v>
      </c>
      <c r="B435" s="1" t="s">
        <v>60</v>
      </c>
      <c r="C435" s="1" t="s">
        <v>60</v>
      </c>
    </row>
    <row r="436">
      <c r="A436" s="18">
        <v>46092.0</v>
      </c>
      <c r="B436" s="1" t="s">
        <v>931</v>
      </c>
      <c r="C436" s="4">
        <v>0.7347222222222223</v>
      </c>
    </row>
    <row r="437">
      <c r="A437" s="18">
        <v>46093.0</v>
      </c>
      <c r="B437" s="1" t="s">
        <v>60</v>
      </c>
      <c r="C437" s="1" t="s">
        <v>60</v>
      </c>
    </row>
    <row r="438">
      <c r="A438" s="18">
        <v>46094.0</v>
      </c>
      <c r="B438" s="1" t="s">
        <v>60</v>
      </c>
      <c r="C438" s="1" t="s">
        <v>60</v>
      </c>
    </row>
    <row r="439">
      <c r="A439" s="18">
        <v>46095.0</v>
      </c>
      <c r="B439" s="1" t="s">
        <v>60</v>
      </c>
      <c r="C439" s="1" t="s">
        <v>60</v>
      </c>
    </row>
    <row r="440">
      <c r="A440" s="18">
        <v>46096.0</v>
      </c>
      <c r="B440" s="1" t="s">
        <v>60</v>
      </c>
      <c r="C440" s="1" t="s">
        <v>60</v>
      </c>
    </row>
    <row r="441">
      <c r="A441" s="18">
        <v>46097.0</v>
      </c>
      <c r="B441" s="1" t="s">
        <v>60</v>
      </c>
      <c r="C441" s="1" t="s">
        <v>60</v>
      </c>
    </row>
    <row r="442">
      <c r="A442" s="18">
        <v>46098.0</v>
      </c>
      <c r="B442" s="1" t="s">
        <v>60</v>
      </c>
      <c r="C442" s="1" t="s">
        <v>60</v>
      </c>
    </row>
    <row r="443">
      <c r="A443" s="18">
        <v>46099.0</v>
      </c>
      <c r="B443" s="1" t="s">
        <v>60</v>
      </c>
      <c r="C443" s="1" t="s">
        <v>60</v>
      </c>
    </row>
    <row r="444">
      <c r="A444" s="18">
        <v>46100.0</v>
      </c>
      <c r="B444" s="1" t="s">
        <v>932</v>
      </c>
      <c r="C444" s="4">
        <v>0.3909722222222222</v>
      </c>
    </row>
    <row r="445">
      <c r="A445" s="18">
        <v>46101.0</v>
      </c>
      <c r="B445" s="1" t="s">
        <v>60</v>
      </c>
      <c r="C445" s="1" t="s">
        <v>60</v>
      </c>
    </row>
    <row r="446">
      <c r="A446" s="18">
        <v>46102.0</v>
      </c>
      <c r="B446" s="1" t="s">
        <v>60</v>
      </c>
      <c r="C446" s="1" t="s">
        <v>60</v>
      </c>
    </row>
    <row r="447">
      <c r="A447" s="18">
        <v>46103.0</v>
      </c>
      <c r="B447" s="1" t="s">
        <v>60</v>
      </c>
      <c r="C447" s="1" t="s">
        <v>60</v>
      </c>
    </row>
    <row r="448">
      <c r="A448" s="18">
        <v>46104.0</v>
      </c>
      <c r="B448" s="1" t="s">
        <v>60</v>
      </c>
      <c r="C448" s="1" t="s">
        <v>60</v>
      </c>
    </row>
    <row r="449">
      <c r="A449" s="18">
        <v>46105.0</v>
      </c>
      <c r="B449" s="1" t="s">
        <v>60</v>
      </c>
      <c r="C449" s="1" t="s">
        <v>60</v>
      </c>
    </row>
    <row r="450">
      <c r="A450" s="18">
        <v>46106.0</v>
      </c>
      <c r="B450" s="1" t="s">
        <v>60</v>
      </c>
      <c r="C450" s="1" t="s">
        <v>60</v>
      </c>
    </row>
    <row r="451">
      <c r="A451" s="18">
        <v>46107.0</v>
      </c>
      <c r="B451" s="1" t="s">
        <v>929</v>
      </c>
      <c r="C451" s="4">
        <v>0.1375</v>
      </c>
    </row>
    <row r="452">
      <c r="A452" s="18">
        <v>46108.0</v>
      </c>
      <c r="B452" s="1" t="s">
        <v>60</v>
      </c>
      <c r="C452" s="1" t="s">
        <v>60</v>
      </c>
    </row>
    <row r="453">
      <c r="A453" s="18">
        <v>46109.0</v>
      </c>
      <c r="B453" s="1" t="s">
        <v>60</v>
      </c>
      <c r="C453" s="1" t="s">
        <v>60</v>
      </c>
    </row>
    <row r="454">
      <c r="A454" s="18">
        <v>46110.0</v>
      </c>
      <c r="B454" s="1" t="s">
        <v>60</v>
      </c>
      <c r="C454" s="1" t="s">
        <v>60</v>
      </c>
    </row>
    <row r="455">
      <c r="A455" s="18">
        <v>46111.0</v>
      </c>
      <c r="B455" s="1" t="s">
        <v>60</v>
      </c>
      <c r="C455" s="1" t="s">
        <v>60</v>
      </c>
    </row>
    <row r="456">
      <c r="A456" s="18">
        <v>46112.0</v>
      </c>
      <c r="B456" s="1" t="s">
        <v>60</v>
      </c>
      <c r="C456" s="1" t="s">
        <v>60</v>
      </c>
    </row>
    <row r="457">
      <c r="A457" s="18">
        <v>46113.0</v>
      </c>
      <c r="B457" s="1" t="s">
        <v>60</v>
      </c>
      <c r="C457" s="1" t="s">
        <v>60</v>
      </c>
    </row>
    <row r="458">
      <c r="A458" s="18">
        <v>46114.0</v>
      </c>
      <c r="B458" s="1" t="s">
        <v>930</v>
      </c>
      <c r="C458" s="4">
        <v>0.425</v>
      </c>
    </row>
    <row r="459">
      <c r="A459" s="18">
        <v>46115.0</v>
      </c>
      <c r="B459" s="1" t="s">
        <v>60</v>
      </c>
      <c r="C459" s="1" t="s">
        <v>60</v>
      </c>
    </row>
    <row r="460">
      <c r="A460" s="18">
        <v>46116.0</v>
      </c>
      <c r="B460" s="1" t="s">
        <v>60</v>
      </c>
      <c r="C460" s="1" t="s">
        <v>60</v>
      </c>
    </row>
    <row r="461">
      <c r="A461" s="18">
        <v>46117.0</v>
      </c>
      <c r="B461" s="1" t="s">
        <v>60</v>
      </c>
      <c r="C461" s="1" t="s">
        <v>60</v>
      </c>
    </row>
    <row r="462">
      <c r="A462" s="18">
        <v>46118.0</v>
      </c>
      <c r="B462" s="1" t="s">
        <v>60</v>
      </c>
      <c r="C462" s="1" t="s">
        <v>60</v>
      </c>
    </row>
    <row r="463">
      <c r="A463" s="18">
        <v>46119.0</v>
      </c>
      <c r="B463" s="1" t="s">
        <v>60</v>
      </c>
      <c r="C463" s="1" t="s">
        <v>60</v>
      </c>
    </row>
    <row r="464">
      <c r="A464" s="18">
        <v>46120.0</v>
      </c>
      <c r="B464" s="1" t="s">
        <v>60</v>
      </c>
      <c r="C464" s="1" t="s">
        <v>60</v>
      </c>
    </row>
    <row r="465">
      <c r="A465" s="18">
        <v>46121.0</v>
      </c>
      <c r="B465" s="1" t="s">
        <v>60</v>
      </c>
      <c r="C465" s="1" t="s">
        <v>60</v>
      </c>
    </row>
    <row r="466">
      <c r="A466" s="18">
        <v>46122.0</v>
      </c>
      <c r="B466" s="1" t="s">
        <v>931</v>
      </c>
      <c r="C466" s="4">
        <v>0.5361111111111111</v>
      </c>
    </row>
    <row r="467">
      <c r="A467" s="18">
        <v>46123.0</v>
      </c>
      <c r="B467" s="1" t="s">
        <v>60</v>
      </c>
      <c r="C467" s="1" t="s">
        <v>60</v>
      </c>
    </row>
    <row r="468">
      <c r="A468" s="18">
        <v>46124.0</v>
      </c>
      <c r="B468" s="1" t="s">
        <v>60</v>
      </c>
      <c r="C468" s="1" t="s">
        <v>60</v>
      </c>
    </row>
    <row r="469">
      <c r="A469" s="18">
        <v>46125.0</v>
      </c>
      <c r="B469" s="1" t="s">
        <v>60</v>
      </c>
      <c r="C469" s="1" t="s">
        <v>60</v>
      </c>
    </row>
    <row r="470">
      <c r="A470" s="18">
        <v>46126.0</v>
      </c>
      <c r="B470" s="1" t="s">
        <v>60</v>
      </c>
      <c r="C470" s="1" t="s">
        <v>60</v>
      </c>
    </row>
    <row r="471">
      <c r="A471" s="18">
        <v>46127.0</v>
      </c>
      <c r="B471" s="1" t="s">
        <v>60</v>
      </c>
      <c r="C471" s="1" t="s">
        <v>60</v>
      </c>
    </row>
    <row r="472">
      <c r="A472" s="18">
        <v>46128.0</v>
      </c>
      <c r="B472" s="1" t="s">
        <v>60</v>
      </c>
      <c r="C472" s="1" t="s">
        <v>60</v>
      </c>
    </row>
    <row r="473">
      <c r="A473" s="18">
        <v>46129.0</v>
      </c>
      <c r="B473" s="1" t="s">
        <v>932</v>
      </c>
      <c r="C473" s="4">
        <v>0.8277777777777777</v>
      </c>
    </row>
    <row r="474">
      <c r="A474" s="18">
        <v>46130.0</v>
      </c>
      <c r="B474" s="1" t="s">
        <v>60</v>
      </c>
      <c r="C474" s="1" t="s">
        <v>60</v>
      </c>
    </row>
    <row r="475">
      <c r="A475" s="18">
        <v>46131.0</v>
      </c>
      <c r="B475" s="1" t="s">
        <v>60</v>
      </c>
      <c r="C475" s="1" t="s">
        <v>60</v>
      </c>
    </row>
    <row r="476">
      <c r="A476" s="18">
        <v>46132.0</v>
      </c>
      <c r="B476" s="1" t="s">
        <v>60</v>
      </c>
      <c r="C476" s="1" t="s">
        <v>60</v>
      </c>
    </row>
    <row r="477">
      <c r="A477" s="18">
        <v>46133.0</v>
      </c>
      <c r="B477" s="1" t="s">
        <v>60</v>
      </c>
      <c r="C477" s="1" t="s">
        <v>60</v>
      </c>
    </row>
    <row r="478">
      <c r="A478" s="18">
        <v>46134.0</v>
      </c>
      <c r="B478" s="1" t="s">
        <v>60</v>
      </c>
      <c r="C478" s="1" t="s">
        <v>60</v>
      </c>
    </row>
    <row r="479">
      <c r="A479" s="18">
        <v>46135.0</v>
      </c>
      <c r="B479" s="1" t="s">
        <v>60</v>
      </c>
      <c r="C479" s="1" t="s">
        <v>60</v>
      </c>
    </row>
    <row r="480">
      <c r="A480" s="18">
        <v>46136.0</v>
      </c>
      <c r="B480" s="1" t="s">
        <v>929</v>
      </c>
      <c r="C480" s="4">
        <v>0.4388888888888889</v>
      </c>
    </row>
    <row r="481">
      <c r="A481" s="18">
        <v>46137.0</v>
      </c>
      <c r="B481" s="1" t="s">
        <v>60</v>
      </c>
      <c r="C481" s="1" t="s">
        <v>60</v>
      </c>
    </row>
    <row r="482">
      <c r="A482" s="18">
        <v>46138.0</v>
      </c>
      <c r="B482" s="1" t="s">
        <v>60</v>
      </c>
      <c r="C482" s="1" t="s">
        <v>60</v>
      </c>
    </row>
    <row r="483">
      <c r="A483" s="18">
        <v>46139.0</v>
      </c>
      <c r="B483" s="1" t="s">
        <v>60</v>
      </c>
      <c r="C483" s="1" t="s">
        <v>60</v>
      </c>
    </row>
    <row r="484">
      <c r="A484" s="18">
        <v>46140.0</v>
      </c>
      <c r="B484" s="1" t="s">
        <v>60</v>
      </c>
      <c r="C484" s="1" t="s">
        <v>60</v>
      </c>
    </row>
    <row r="485">
      <c r="A485" s="18">
        <v>46141.0</v>
      </c>
      <c r="B485" s="1" t="s">
        <v>60</v>
      </c>
      <c r="C485" s="1" t="s">
        <v>60</v>
      </c>
    </row>
    <row r="486">
      <c r="A486" s="18">
        <v>46142.0</v>
      </c>
      <c r="B486" s="1" t="s">
        <v>60</v>
      </c>
      <c r="C486" s="1" t="s">
        <v>60</v>
      </c>
    </row>
    <row r="487">
      <c r="A487" s="18">
        <v>46143.0</v>
      </c>
      <c r="B487" s="1" t="s">
        <v>60</v>
      </c>
      <c r="C487" s="1" t="s">
        <v>60</v>
      </c>
    </row>
    <row r="488">
      <c r="A488" s="18">
        <v>46144.0</v>
      </c>
      <c r="B488" s="1" t="s">
        <v>930</v>
      </c>
      <c r="C488" s="4">
        <v>0.05763888888888889</v>
      </c>
    </row>
    <row r="489">
      <c r="A489" s="18">
        <v>46145.0</v>
      </c>
      <c r="B489" s="1" t="s">
        <v>60</v>
      </c>
      <c r="C489" s="1" t="s">
        <v>60</v>
      </c>
    </row>
    <row r="490">
      <c r="A490" s="18">
        <v>46146.0</v>
      </c>
      <c r="B490" s="1" t="s">
        <v>60</v>
      </c>
      <c r="C490" s="1" t="s">
        <v>60</v>
      </c>
    </row>
    <row r="491">
      <c r="A491" s="18">
        <v>46147.0</v>
      </c>
      <c r="B491" s="1" t="s">
        <v>60</v>
      </c>
      <c r="C491" s="1" t="s">
        <v>60</v>
      </c>
    </row>
    <row r="492">
      <c r="A492" s="18">
        <v>46148.0</v>
      </c>
      <c r="B492" s="1" t="s">
        <v>60</v>
      </c>
      <c r="C492" s="1" t="s">
        <v>60</v>
      </c>
    </row>
    <row r="493">
      <c r="A493" s="18">
        <v>46149.0</v>
      </c>
      <c r="B493" s="1" t="s">
        <v>60</v>
      </c>
      <c r="C493" s="1" t="s">
        <v>60</v>
      </c>
    </row>
    <row r="494">
      <c r="A494" s="18">
        <v>46150.0</v>
      </c>
      <c r="B494" s="1" t="s">
        <v>60</v>
      </c>
      <c r="C494" s="1" t="s">
        <v>60</v>
      </c>
    </row>
    <row r="495">
      <c r="A495" s="18">
        <v>46151.0</v>
      </c>
      <c r="B495" s="1" t="s">
        <v>60</v>
      </c>
      <c r="C495" s="1" t="s">
        <v>60</v>
      </c>
    </row>
    <row r="496">
      <c r="A496" s="18">
        <v>46152.0</v>
      </c>
      <c r="B496" s="1" t="s">
        <v>931</v>
      </c>
      <c r="C496" s="4">
        <v>0.2152777777777778</v>
      </c>
    </row>
    <row r="497">
      <c r="A497" s="18">
        <v>46153.0</v>
      </c>
      <c r="B497" s="1" t="s">
        <v>60</v>
      </c>
      <c r="C497" s="1" t="s">
        <v>60</v>
      </c>
    </row>
    <row r="498">
      <c r="A498" s="18">
        <v>46154.0</v>
      </c>
      <c r="B498" s="1" t="s">
        <v>60</v>
      </c>
      <c r="C498" s="1" t="s">
        <v>60</v>
      </c>
    </row>
    <row r="499">
      <c r="A499" s="18">
        <v>46155.0</v>
      </c>
      <c r="B499" s="1" t="s">
        <v>60</v>
      </c>
      <c r="C499" s="1" t="s">
        <v>60</v>
      </c>
    </row>
    <row r="500">
      <c r="A500" s="18">
        <v>46156.0</v>
      </c>
      <c r="B500" s="1" t="s">
        <v>60</v>
      </c>
      <c r="C500" s="1" t="s">
        <v>60</v>
      </c>
    </row>
    <row r="501">
      <c r="A501" s="18">
        <v>46157.0</v>
      </c>
      <c r="B501" s="1" t="s">
        <v>60</v>
      </c>
      <c r="C501" s="1" t="s">
        <v>60</v>
      </c>
    </row>
    <row r="502">
      <c r="A502" s="18">
        <v>46158.0</v>
      </c>
      <c r="B502" s="1" t="s">
        <v>60</v>
      </c>
      <c r="C502" s="1" t="s">
        <v>60</v>
      </c>
    </row>
    <row r="503">
      <c r="A503" s="18">
        <v>46159.0</v>
      </c>
      <c r="B503" s="1" t="s">
        <v>932</v>
      </c>
      <c r="C503" s="4">
        <v>0.1673611111111111</v>
      </c>
    </row>
    <row r="504">
      <c r="A504" s="18">
        <v>46160.0</v>
      </c>
      <c r="B504" s="1" t="s">
        <v>60</v>
      </c>
      <c r="C504" s="1" t="s">
        <v>60</v>
      </c>
    </row>
    <row r="505">
      <c r="A505" s="18">
        <v>46161.0</v>
      </c>
      <c r="B505" s="1" t="s">
        <v>60</v>
      </c>
      <c r="C505" s="1" t="s">
        <v>60</v>
      </c>
    </row>
    <row r="506">
      <c r="A506" s="18">
        <v>46162.0</v>
      </c>
      <c r="B506" s="1" t="s">
        <v>60</v>
      </c>
      <c r="C506" s="1" t="s">
        <v>60</v>
      </c>
    </row>
    <row r="507">
      <c r="A507" s="18">
        <v>46163.0</v>
      </c>
      <c r="B507" s="1" t="s">
        <v>60</v>
      </c>
      <c r="C507" s="1" t="s">
        <v>60</v>
      </c>
    </row>
    <row r="508">
      <c r="A508" s="18">
        <v>46164.0</v>
      </c>
      <c r="B508" s="1" t="s">
        <v>60</v>
      </c>
      <c r="C508" s="1" t="s">
        <v>60</v>
      </c>
    </row>
    <row r="509">
      <c r="A509" s="18">
        <v>46165.0</v>
      </c>
      <c r="B509" s="1" t="s">
        <v>929</v>
      </c>
      <c r="C509" s="4">
        <v>0.7993055555555556</v>
      </c>
    </row>
    <row r="510">
      <c r="A510" s="18">
        <v>46166.0</v>
      </c>
      <c r="B510" s="1" t="s">
        <v>60</v>
      </c>
      <c r="C510" s="1" t="s">
        <v>60</v>
      </c>
    </row>
    <row r="511">
      <c r="A511" s="18">
        <v>46167.0</v>
      </c>
      <c r="B511" s="1" t="s">
        <v>60</v>
      </c>
      <c r="C511" s="1" t="s">
        <v>60</v>
      </c>
    </row>
    <row r="512">
      <c r="A512" s="18">
        <v>46168.0</v>
      </c>
      <c r="B512" s="1" t="s">
        <v>60</v>
      </c>
      <c r="C512" s="1" t="s">
        <v>60</v>
      </c>
    </row>
    <row r="513">
      <c r="A513" s="18">
        <v>46169.0</v>
      </c>
      <c r="B513" s="1" t="s">
        <v>60</v>
      </c>
      <c r="C513" s="1" t="s">
        <v>60</v>
      </c>
    </row>
    <row r="514">
      <c r="A514" s="18">
        <v>46170.0</v>
      </c>
      <c r="B514" s="1" t="s">
        <v>60</v>
      </c>
      <c r="C514" s="1" t="s">
        <v>60</v>
      </c>
    </row>
    <row r="515">
      <c r="A515" s="18">
        <v>46171.0</v>
      </c>
      <c r="B515" s="1" t="s">
        <v>60</v>
      </c>
      <c r="C515" s="1" t="s">
        <v>60</v>
      </c>
    </row>
    <row r="516">
      <c r="A516" s="18">
        <v>46172.0</v>
      </c>
      <c r="B516" s="1" t="s">
        <v>60</v>
      </c>
      <c r="C516" s="1" t="s">
        <v>60</v>
      </c>
    </row>
    <row r="517">
      <c r="A517" s="18">
        <v>46173.0</v>
      </c>
      <c r="B517" s="1" t="s">
        <v>930</v>
      </c>
      <c r="C517" s="4">
        <v>0.6979166666666666</v>
      </c>
    </row>
    <row r="518">
      <c r="A518" s="18">
        <v>46174.0</v>
      </c>
      <c r="B518" s="1" t="s">
        <v>60</v>
      </c>
      <c r="C518" s="1" t="s">
        <v>60</v>
      </c>
    </row>
    <row r="519">
      <c r="A519" s="18">
        <v>46175.0</v>
      </c>
      <c r="B519" s="1" t="s">
        <v>60</v>
      </c>
      <c r="C519" s="1" t="s">
        <v>60</v>
      </c>
    </row>
    <row r="520">
      <c r="A520" s="18">
        <v>46176.0</v>
      </c>
      <c r="B520" s="1" t="s">
        <v>60</v>
      </c>
      <c r="C520" s="1" t="s">
        <v>60</v>
      </c>
    </row>
    <row r="521">
      <c r="A521" s="18">
        <v>46177.0</v>
      </c>
      <c r="B521" s="1" t="s">
        <v>60</v>
      </c>
      <c r="C521" s="1" t="s">
        <v>60</v>
      </c>
    </row>
    <row r="522">
      <c r="A522" s="18">
        <v>46178.0</v>
      </c>
      <c r="B522" s="1" t="s">
        <v>60</v>
      </c>
      <c r="C522" s="1" t="s">
        <v>60</v>
      </c>
    </row>
    <row r="523">
      <c r="A523" s="18">
        <v>46179.0</v>
      </c>
      <c r="B523" s="1" t="s">
        <v>60</v>
      </c>
      <c r="C523" s="1" t="s">
        <v>60</v>
      </c>
    </row>
    <row r="524">
      <c r="A524" s="18">
        <v>46180.0</v>
      </c>
      <c r="B524" s="1" t="s">
        <v>60</v>
      </c>
      <c r="C524" s="1" t="s">
        <v>60</v>
      </c>
    </row>
    <row r="525">
      <c r="A525" s="18">
        <v>46181.0</v>
      </c>
      <c r="B525" s="1" t="s">
        <v>931</v>
      </c>
      <c r="C525" s="4">
        <v>0.75</v>
      </c>
    </row>
    <row r="526">
      <c r="A526" s="18">
        <v>46182.0</v>
      </c>
      <c r="B526" s="1" t="s">
        <v>60</v>
      </c>
      <c r="C526" s="1" t="s">
        <v>60</v>
      </c>
    </row>
    <row r="527">
      <c r="A527" s="18">
        <v>46183.0</v>
      </c>
      <c r="B527" s="1" t="s">
        <v>60</v>
      </c>
      <c r="C527" s="1" t="s">
        <v>60</v>
      </c>
    </row>
    <row r="528">
      <c r="A528" s="18">
        <v>46184.0</v>
      </c>
      <c r="B528" s="1" t="s">
        <v>60</v>
      </c>
      <c r="C528" s="1" t="s">
        <v>60</v>
      </c>
    </row>
    <row r="529">
      <c r="A529" s="18">
        <v>46185.0</v>
      </c>
      <c r="B529" s="1" t="s">
        <v>60</v>
      </c>
      <c r="C529" s="1" t="s">
        <v>60</v>
      </c>
    </row>
    <row r="530">
      <c r="A530" s="18">
        <v>46186.0</v>
      </c>
      <c r="B530" s="1" t="s">
        <v>60</v>
      </c>
      <c r="C530" s="1" t="s">
        <v>60</v>
      </c>
    </row>
    <row r="531">
      <c r="A531" s="18">
        <v>46187.0</v>
      </c>
      <c r="B531" s="1" t="s">
        <v>60</v>
      </c>
      <c r="C531" s="1" t="s">
        <v>60</v>
      </c>
    </row>
    <row r="532">
      <c r="A532" s="18">
        <v>46188.0</v>
      </c>
      <c r="B532" s="1" t="s">
        <v>932</v>
      </c>
      <c r="C532" s="4">
        <v>0.45416666666666666</v>
      </c>
    </row>
    <row r="533">
      <c r="A533" s="18">
        <v>46189.0</v>
      </c>
      <c r="B533" s="1" t="s">
        <v>60</v>
      </c>
      <c r="C533" s="1" t="s">
        <v>60</v>
      </c>
    </row>
    <row r="534">
      <c r="A534" s="18">
        <v>46190.0</v>
      </c>
      <c r="B534" s="1" t="s">
        <v>60</v>
      </c>
      <c r="C534" s="1" t="s">
        <v>60</v>
      </c>
    </row>
    <row r="535">
      <c r="A535" s="18">
        <v>46191.0</v>
      </c>
      <c r="B535" s="1" t="s">
        <v>60</v>
      </c>
      <c r="C535" s="1" t="s">
        <v>60</v>
      </c>
    </row>
    <row r="536">
      <c r="A536" s="18">
        <v>46192.0</v>
      </c>
      <c r="B536" s="1" t="s">
        <v>60</v>
      </c>
      <c r="C536" s="1" t="s">
        <v>60</v>
      </c>
    </row>
    <row r="537">
      <c r="A537" s="18">
        <v>46193.0</v>
      </c>
      <c r="B537" s="1" t="s">
        <v>60</v>
      </c>
      <c r="C537" s="1" t="s">
        <v>60</v>
      </c>
    </row>
    <row r="538">
      <c r="A538" s="18">
        <v>46194.0</v>
      </c>
      <c r="B538" s="1" t="s">
        <v>60</v>
      </c>
      <c r="C538" s="1" t="s">
        <v>60</v>
      </c>
    </row>
    <row r="539">
      <c r="A539" s="18">
        <v>46195.0</v>
      </c>
      <c r="B539" s="1" t="s">
        <v>929</v>
      </c>
      <c r="C539" s="4">
        <v>0.2465277777777778</v>
      </c>
    </row>
    <row r="540">
      <c r="A540" s="18">
        <v>46196.0</v>
      </c>
      <c r="B540" s="1" t="s">
        <v>60</v>
      </c>
      <c r="C540" s="1" t="s">
        <v>60</v>
      </c>
    </row>
    <row r="541">
      <c r="A541" s="18">
        <v>46197.0</v>
      </c>
      <c r="B541" s="1" t="s">
        <v>60</v>
      </c>
      <c r="C541" s="1" t="s">
        <v>60</v>
      </c>
    </row>
    <row r="542">
      <c r="A542" s="18">
        <v>46198.0</v>
      </c>
      <c r="B542" s="1" t="s">
        <v>60</v>
      </c>
      <c r="C542" s="1" t="s">
        <v>60</v>
      </c>
    </row>
    <row r="543">
      <c r="A543" s="18">
        <v>46199.0</v>
      </c>
      <c r="B543" s="1" t="s">
        <v>60</v>
      </c>
      <c r="C543" s="1" t="s">
        <v>60</v>
      </c>
    </row>
    <row r="544">
      <c r="A544" s="18">
        <v>46200.0</v>
      </c>
      <c r="B544" s="1" t="s">
        <v>60</v>
      </c>
      <c r="C544" s="1" t="s">
        <v>60</v>
      </c>
    </row>
    <row r="545">
      <c r="A545" s="18">
        <v>46201.0</v>
      </c>
      <c r="B545" s="1" t="s">
        <v>60</v>
      </c>
      <c r="C545" s="1" t="s">
        <v>60</v>
      </c>
    </row>
    <row r="546">
      <c r="A546" s="18">
        <v>46202.0</v>
      </c>
      <c r="B546" s="1" t="s">
        <v>60</v>
      </c>
      <c r="C546" s="1" t="s">
        <v>60</v>
      </c>
    </row>
    <row r="547">
      <c r="A547" s="18">
        <v>46203.0</v>
      </c>
      <c r="B547" s="1" t="s">
        <v>930</v>
      </c>
      <c r="C547" s="4">
        <v>0.33125</v>
      </c>
    </row>
    <row r="548">
      <c r="A548" s="18">
        <v>46204.0</v>
      </c>
      <c r="B548" s="1" t="s">
        <v>60</v>
      </c>
      <c r="C548" s="1" t="s">
        <v>60</v>
      </c>
    </row>
    <row r="549">
      <c r="A549" s="18">
        <v>46205.0</v>
      </c>
      <c r="B549" s="1" t="s">
        <v>60</v>
      </c>
      <c r="C549" s="1" t="s">
        <v>60</v>
      </c>
    </row>
    <row r="550">
      <c r="A550" s="18">
        <v>46206.0</v>
      </c>
      <c r="B550" s="1" t="s">
        <v>60</v>
      </c>
      <c r="C550" s="1" t="s">
        <v>60</v>
      </c>
    </row>
    <row r="551">
      <c r="A551" s="18">
        <v>46207.0</v>
      </c>
      <c r="B551" s="1" t="s">
        <v>60</v>
      </c>
      <c r="C551" s="1" t="s">
        <v>60</v>
      </c>
    </row>
    <row r="552">
      <c r="A552" s="18">
        <v>46208.0</v>
      </c>
      <c r="B552" s="1" t="s">
        <v>60</v>
      </c>
      <c r="C552" s="1" t="s">
        <v>60</v>
      </c>
    </row>
    <row r="553">
      <c r="A553" s="18">
        <v>46209.0</v>
      </c>
      <c r="B553" s="1" t="s">
        <v>60</v>
      </c>
      <c r="C553" s="1" t="s">
        <v>60</v>
      </c>
    </row>
    <row r="554">
      <c r="A554" s="18">
        <v>46210.0</v>
      </c>
      <c r="B554" s="1" t="s">
        <v>60</v>
      </c>
      <c r="C554" s="1" t="s">
        <v>60</v>
      </c>
    </row>
    <row r="555">
      <c r="A555" s="18">
        <v>46211.0</v>
      </c>
      <c r="B555" s="1" t="s">
        <v>931</v>
      </c>
      <c r="C555" s="4">
        <v>0.1451388888888889</v>
      </c>
    </row>
    <row r="556">
      <c r="A556" s="18">
        <v>46212.0</v>
      </c>
      <c r="B556" s="1" t="s">
        <v>60</v>
      </c>
      <c r="C556" s="1" t="s">
        <v>60</v>
      </c>
    </row>
    <row r="557">
      <c r="A557" s="18">
        <v>46213.0</v>
      </c>
      <c r="B557" s="1" t="s">
        <v>60</v>
      </c>
      <c r="C557" s="1" t="s">
        <v>60</v>
      </c>
    </row>
    <row r="558">
      <c r="A558" s="18">
        <v>46214.0</v>
      </c>
      <c r="B558" s="1" t="s">
        <v>60</v>
      </c>
      <c r="C558" s="1" t="s">
        <v>60</v>
      </c>
    </row>
    <row r="559">
      <c r="A559" s="18">
        <v>46215.0</v>
      </c>
      <c r="B559" s="1" t="s">
        <v>60</v>
      </c>
      <c r="C559" s="1" t="s">
        <v>60</v>
      </c>
    </row>
    <row r="560">
      <c r="A560" s="18">
        <v>46216.0</v>
      </c>
      <c r="B560" s="1" t="s">
        <v>60</v>
      </c>
      <c r="C560" s="1" t="s">
        <v>60</v>
      </c>
    </row>
    <row r="561">
      <c r="A561" s="18">
        <v>46217.0</v>
      </c>
      <c r="B561" s="1" t="s">
        <v>932</v>
      </c>
      <c r="C561" s="4">
        <v>0.7388888888888889</v>
      </c>
    </row>
    <row r="562">
      <c r="A562" s="18">
        <v>46218.0</v>
      </c>
      <c r="B562" s="1" t="s">
        <v>60</v>
      </c>
      <c r="C562" s="1" t="s">
        <v>60</v>
      </c>
    </row>
    <row r="563">
      <c r="A563" s="18">
        <v>46219.0</v>
      </c>
      <c r="B563" s="1" t="s">
        <v>60</v>
      </c>
      <c r="C563" s="1" t="s">
        <v>60</v>
      </c>
    </row>
    <row r="564">
      <c r="A564" s="18">
        <v>46220.0</v>
      </c>
      <c r="B564" s="1" t="s">
        <v>60</v>
      </c>
      <c r="C564" s="1" t="s">
        <v>60</v>
      </c>
    </row>
    <row r="565">
      <c r="A565" s="18">
        <v>46221.0</v>
      </c>
      <c r="B565" s="1" t="s">
        <v>60</v>
      </c>
      <c r="C565" s="1" t="s">
        <v>60</v>
      </c>
    </row>
    <row r="566">
      <c r="A566" s="18">
        <v>46222.0</v>
      </c>
      <c r="B566" s="1" t="s">
        <v>60</v>
      </c>
      <c r="C566" s="1" t="s">
        <v>60</v>
      </c>
    </row>
    <row r="567">
      <c r="A567" s="18">
        <v>46223.0</v>
      </c>
      <c r="B567" s="1" t="s">
        <v>60</v>
      </c>
      <c r="C567" s="1" t="s">
        <v>60</v>
      </c>
    </row>
    <row r="568">
      <c r="A568" s="18">
        <v>46224.0</v>
      </c>
      <c r="B568" s="1" t="s">
        <v>929</v>
      </c>
      <c r="C568" s="4">
        <v>0.7958333333333333</v>
      </c>
    </row>
    <row r="569">
      <c r="A569" s="18">
        <v>46225.0</v>
      </c>
      <c r="B569" s="1" t="s">
        <v>60</v>
      </c>
      <c r="C569" s="1" t="s">
        <v>60</v>
      </c>
    </row>
    <row r="570">
      <c r="A570" s="18">
        <v>46226.0</v>
      </c>
      <c r="B570" s="1" t="s">
        <v>60</v>
      </c>
      <c r="C570" s="1" t="s">
        <v>60</v>
      </c>
    </row>
    <row r="571">
      <c r="A571" s="18">
        <v>46227.0</v>
      </c>
      <c r="B571" s="1" t="s">
        <v>60</v>
      </c>
      <c r="C571" s="1" t="s">
        <v>60</v>
      </c>
    </row>
    <row r="572">
      <c r="A572" s="18">
        <v>46228.0</v>
      </c>
      <c r="B572" s="1" t="s">
        <v>60</v>
      </c>
      <c r="C572" s="1" t="s">
        <v>60</v>
      </c>
    </row>
    <row r="573">
      <c r="A573" s="18">
        <v>46229.0</v>
      </c>
      <c r="B573" s="1" t="s">
        <v>60</v>
      </c>
      <c r="C573" s="1" t="s">
        <v>60</v>
      </c>
    </row>
    <row r="574">
      <c r="A574" s="18">
        <v>46230.0</v>
      </c>
      <c r="B574" s="1" t="s">
        <v>60</v>
      </c>
      <c r="C574" s="1" t="s">
        <v>60</v>
      </c>
    </row>
    <row r="575">
      <c r="A575" s="18">
        <v>46231.0</v>
      </c>
      <c r="B575" s="1" t="s">
        <v>60</v>
      </c>
      <c r="C575" s="1" t="s">
        <v>60</v>
      </c>
    </row>
    <row r="576">
      <c r="A576" s="18">
        <v>46232.0</v>
      </c>
      <c r="B576" s="1" t="s">
        <v>930</v>
      </c>
      <c r="C576" s="4">
        <v>0.9416666666666667</v>
      </c>
    </row>
    <row r="577">
      <c r="A577" s="18">
        <v>46233.0</v>
      </c>
      <c r="B577" s="1" t="s">
        <v>60</v>
      </c>
      <c r="C577" s="1" t="s">
        <v>60</v>
      </c>
    </row>
    <row r="578">
      <c r="A578" s="18">
        <v>46234.0</v>
      </c>
      <c r="B578" s="1" t="s">
        <v>60</v>
      </c>
      <c r="C578" s="1" t="s">
        <v>60</v>
      </c>
    </row>
    <row r="579">
      <c r="A579" s="18">
        <v>46235.0</v>
      </c>
      <c r="B579" s="1" t="s">
        <v>60</v>
      </c>
      <c r="C579" s="1" t="s">
        <v>60</v>
      </c>
    </row>
    <row r="580">
      <c r="A580" s="18">
        <v>46236.0</v>
      </c>
      <c r="B580" s="1" t="s">
        <v>60</v>
      </c>
      <c r="C580" s="1" t="s">
        <v>60</v>
      </c>
    </row>
    <row r="581">
      <c r="A581" s="18">
        <v>46237.0</v>
      </c>
      <c r="B581" s="1" t="s">
        <v>60</v>
      </c>
      <c r="C581" s="1" t="s">
        <v>60</v>
      </c>
    </row>
    <row r="582">
      <c r="A582" s="18">
        <v>46238.0</v>
      </c>
      <c r="B582" s="1" t="s">
        <v>60</v>
      </c>
      <c r="C582" s="1" t="s">
        <v>60</v>
      </c>
    </row>
    <row r="583">
      <c r="A583" s="18">
        <v>46239.0</v>
      </c>
      <c r="B583" s="1" t="s">
        <v>60</v>
      </c>
      <c r="C583" s="1" t="s">
        <v>60</v>
      </c>
    </row>
    <row r="584">
      <c r="A584" s="18">
        <v>46240.0</v>
      </c>
      <c r="B584" s="1" t="s">
        <v>931</v>
      </c>
      <c r="C584" s="4">
        <v>0.43125</v>
      </c>
    </row>
    <row r="585">
      <c r="A585" s="18">
        <v>46241.0</v>
      </c>
      <c r="B585" s="1" t="s">
        <v>60</v>
      </c>
      <c r="C585" s="1" t="s">
        <v>60</v>
      </c>
    </row>
    <row r="586">
      <c r="A586" s="18">
        <v>46242.0</v>
      </c>
      <c r="B586" s="1" t="s">
        <v>60</v>
      </c>
      <c r="C586" s="1" t="s">
        <v>60</v>
      </c>
    </row>
    <row r="587">
      <c r="A587" s="18">
        <v>46243.0</v>
      </c>
      <c r="B587" s="1" t="s">
        <v>60</v>
      </c>
      <c r="C587" s="1" t="s">
        <v>60</v>
      </c>
    </row>
    <row r="588">
      <c r="A588" s="18">
        <v>46244.0</v>
      </c>
      <c r="B588" s="1" t="s">
        <v>60</v>
      </c>
      <c r="C588" s="1" t="s">
        <v>60</v>
      </c>
    </row>
    <row r="589">
      <c r="A589" s="18">
        <v>46245.0</v>
      </c>
      <c r="B589" s="1" t="s">
        <v>60</v>
      </c>
      <c r="C589" s="1" t="s">
        <v>60</v>
      </c>
    </row>
    <row r="590">
      <c r="A590" s="18">
        <v>46246.0</v>
      </c>
      <c r="B590" s="1" t="s">
        <v>60</v>
      </c>
      <c r="C590" s="1" t="s">
        <v>60</v>
      </c>
    </row>
    <row r="591">
      <c r="A591" s="18">
        <v>46247.0</v>
      </c>
      <c r="B591" s="1" t="s">
        <v>932</v>
      </c>
      <c r="C591" s="4">
        <v>0.06736111111111111</v>
      </c>
    </row>
    <row r="592">
      <c r="A592" s="18">
        <v>46248.0</v>
      </c>
      <c r="B592" s="1" t="s">
        <v>60</v>
      </c>
      <c r="C592" s="1" t="s">
        <v>60</v>
      </c>
    </row>
    <row r="593">
      <c r="A593" s="18">
        <v>46249.0</v>
      </c>
      <c r="B593" s="1" t="s">
        <v>60</v>
      </c>
      <c r="C593" s="1" t="s">
        <v>60</v>
      </c>
    </row>
    <row r="594">
      <c r="A594" s="18">
        <v>46250.0</v>
      </c>
      <c r="B594" s="1" t="s">
        <v>60</v>
      </c>
      <c r="C594" s="1" t="s">
        <v>60</v>
      </c>
    </row>
    <row r="595">
      <c r="A595" s="18">
        <v>46251.0</v>
      </c>
      <c r="B595" s="1" t="s">
        <v>60</v>
      </c>
      <c r="C595" s="1" t="s">
        <v>60</v>
      </c>
    </row>
    <row r="596">
      <c r="A596" s="18">
        <v>46252.0</v>
      </c>
      <c r="B596" s="1" t="s">
        <v>60</v>
      </c>
      <c r="C596" s="1" t="s">
        <v>60</v>
      </c>
    </row>
    <row r="597">
      <c r="A597" s="18">
        <v>46253.0</v>
      </c>
      <c r="B597" s="1" t="s">
        <v>60</v>
      </c>
      <c r="C597" s="1" t="s">
        <v>60</v>
      </c>
    </row>
    <row r="598">
      <c r="A598" s="18">
        <v>46254.0</v>
      </c>
      <c r="B598" s="1" t="s">
        <v>929</v>
      </c>
      <c r="C598" s="4">
        <v>0.4486111111111111</v>
      </c>
    </row>
    <row r="599">
      <c r="A599" s="18">
        <v>46255.0</v>
      </c>
      <c r="B599" s="1" t="s">
        <v>60</v>
      </c>
      <c r="C599" s="1" t="s">
        <v>60</v>
      </c>
    </row>
    <row r="600">
      <c r="A600" s="18">
        <v>46256.0</v>
      </c>
      <c r="B600" s="1" t="s">
        <v>60</v>
      </c>
      <c r="C600" s="1" t="s">
        <v>60</v>
      </c>
    </row>
    <row r="601">
      <c r="A601" s="18">
        <v>46257.0</v>
      </c>
      <c r="B601" s="1" t="s">
        <v>60</v>
      </c>
      <c r="C601" s="1" t="s">
        <v>60</v>
      </c>
    </row>
    <row r="602">
      <c r="A602" s="18">
        <v>46258.0</v>
      </c>
      <c r="B602" s="1" t="s">
        <v>60</v>
      </c>
      <c r="C602" s="1" t="s">
        <v>60</v>
      </c>
    </row>
    <row r="603">
      <c r="A603" s="18">
        <v>46259.0</v>
      </c>
      <c r="B603" s="1" t="s">
        <v>60</v>
      </c>
      <c r="C603" s="1" t="s">
        <v>60</v>
      </c>
    </row>
    <row r="604">
      <c r="A604" s="18">
        <v>46260.0</v>
      </c>
      <c r="B604" s="1" t="s">
        <v>60</v>
      </c>
      <c r="C604" s="1" t="s">
        <v>60</v>
      </c>
    </row>
    <row r="605">
      <c r="A605" s="18">
        <v>46261.0</v>
      </c>
      <c r="B605" s="1" t="s">
        <v>60</v>
      </c>
      <c r="C605" s="1" t="s">
        <v>60</v>
      </c>
    </row>
    <row r="606">
      <c r="A606" s="18">
        <v>46262.0</v>
      </c>
      <c r="B606" s="1" t="s">
        <v>930</v>
      </c>
      <c r="C606" s="4">
        <v>0.5125</v>
      </c>
    </row>
    <row r="607">
      <c r="A607" s="18">
        <v>46263.0</v>
      </c>
      <c r="B607" s="1" t="s">
        <v>60</v>
      </c>
      <c r="C607" s="1" t="s">
        <v>60</v>
      </c>
    </row>
    <row r="608">
      <c r="A608" s="18">
        <v>46264.0</v>
      </c>
      <c r="B608" s="1" t="s">
        <v>60</v>
      </c>
      <c r="C608" s="1" t="s">
        <v>60</v>
      </c>
    </row>
    <row r="609">
      <c r="A609" s="18">
        <v>46265.0</v>
      </c>
      <c r="B609" s="1" t="s">
        <v>60</v>
      </c>
      <c r="C609" s="1" t="s">
        <v>60</v>
      </c>
    </row>
    <row r="610">
      <c r="A610" s="18">
        <v>46266.0</v>
      </c>
      <c r="B610" s="1" t="s">
        <v>60</v>
      </c>
      <c r="C610" s="1" t="s">
        <v>60</v>
      </c>
    </row>
    <row r="611">
      <c r="A611" s="18">
        <v>46267.0</v>
      </c>
      <c r="B611" s="1" t="s">
        <v>60</v>
      </c>
      <c r="C611" s="1" t="s">
        <v>60</v>
      </c>
    </row>
    <row r="612">
      <c r="A612" s="18">
        <v>46268.0</v>
      </c>
      <c r="B612" s="1" t="s">
        <v>60</v>
      </c>
      <c r="C612" s="1" t="s">
        <v>60</v>
      </c>
    </row>
    <row r="613">
      <c r="A613" s="18">
        <v>46269.0</v>
      </c>
      <c r="B613" s="1" t="s">
        <v>931</v>
      </c>
      <c r="C613" s="4">
        <v>0.6604166666666667</v>
      </c>
    </row>
    <row r="614">
      <c r="A614" s="18">
        <v>46270.0</v>
      </c>
      <c r="B614" s="1" t="s">
        <v>60</v>
      </c>
      <c r="C614" s="1" t="s">
        <v>60</v>
      </c>
    </row>
    <row r="615">
      <c r="A615" s="18">
        <v>46271.0</v>
      </c>
      <c r="B615" s="1" t="s">
        <v>60</v>
      </c>
      <c r="C615" s="1" t="s">
        <v>60</v>
      </c>
    </row>
    <row r="616">
      <c r="A616" s="18">
        <v>46272.0</v>
      </c>
      <c r="B616" s="1" t="s">
        <v>60</v>
      </c>
      <c r="C616" s="1" t="s">
        <v>60</v>
      </c>
    </row>
    <row r="617">
      <c r="A617" s="18">
        <v>46273.0</v>
      </c>
      <c r="B617" s="1" t="s">
        <v>60</v>
      </c>
      <c r="C617" s="1" t="s">
        <v>60</v>
      </c>
    </row>
    <row r="618">
      <c r="A618" s="18">
        <v>46274.0</v>
      </c>
      <c r="B618" s="1" t="s">
        <v>60</v>
      </c>
      <c r="C618" s="1" t="s">
        <v>60</v>
      </c>
    </row>
    <row r="619">
      <c r="A619" s="18">
        <v>46275.0</v>
      </c>
      <c r="B619" s="1" t="s">
        <v>60</v>
      </c>
      <c r="C619" s="1" t="s">
        <v>60</v>
      </c>
    </row>
    <row r="620">
      <c r="A620" s="18">
        <v>46276.0</v>
      </c>
      <c r="B620" s="1" t="s">
        <v>932</v>
      </c>
      <c r="C620" s="4">
        <v>0.47708333333333336</v>
      </c>
    </row>
    <row r="621">
      <c r="A621" s="18">
        <v>46277.0</v>
      </c>
      <c r="B621" s="1" t="s">
        <v>60</v>
      </c>
      <c r="C621" s="1" t="s">
        <v>60</v>
      </c>
    </row>
    <row r="622">
      <c r="A622" s="18">
        <v>46278.0</v>
      </c>
      <c r="B622" s="1" t="s">
        <v>60</v>
      </c>
      <c r="C622" s="1" t="s">
        <v>60</v>
      </c>
    </row>
    <row r="623">
      <c r="A623" s="18">
        <v>46279.0</v>
      </c>
      <c r="B623" s="1" t="s">
        <v>60</v>
      </c>
      <c r="C623" s="1" t="s">
        <v>60</v>
      </c>
    </row>
    <row r="624">
      <c r="A624" s="18">
        <v>46280.0</v>
      </c>
      <c r="B624" s="1" t="s">
        <v>60</v>
      </c>
      <c r="C624" s="1" t="s">
        <v>60</v>
      </c>
    </row>
    <row r="625">
      <c r="A625" s="18">
        <v>46281.0</v>
      </c>
      <c r="B625" s="1" t="s">
        <v>60</v>
      </c>
      <c r="C625" s="1" t="s">
        <v>60</v>
      </c>
    </row>
    <row r="626">
      <c r="A626" s="18">
        <v>46282.0</v>
      </c>
      <c r="B626" s="1" t="s">
        <v>60</v>
      </c>
      <c r="C626" s="1" t="s">
        <v>60</v>
      </c>
    </row>
    <row r="627">
      <c r="A627" s="18">
        <v>46283.0</v>
      </c>
      <c r="B627" s="1" t="s">
        <v>60</v>
      </c>
      <c r="C627" s="1" t="s">
        <v>60</v>
      </c>
    </row>
    <row r="628">
      <c r="A628" s="18">
        <v>46284.0</v>
      </c>
      <c r="B628" s="1" t="s">
        <v>929</v>
      </c>
      <c r="C628" s="4">
        <v>0.19722222222222222</v>
      </c>
    </row>
    <row r="629">
      <c r="A629" s="18">
        <v>46285.0</v>
      </c>
      <c r="B629" s="1" t="s">
        <v>60</v>
      </c>
      <c r="C629" s="1" t="s">
        <v>60</v>
      </c>
    </row>
    <row r="630">
      <c r="A630" s="18">
        <v>46286.0</v>
      </c>
      <c r="B630" s="1" t="s">
        <v>60</v>
      </c>
      <c r="C630" s="1" t="s">
        <v>60</v>
      </c>
    </row>
    <row r="631">
      <c r="A631" s="18">
        <v>46287.0</v>
      </c>
      <c r="B631" s="1" t="s">
        <v>60</v>
      </c>
      <c r="C631" s="1" t="s">
        <v>60</v>
      </c>
    </row>
    <row r="632">
      <c r="A632" s="18">
        <v>46288.0</v>
      </c>
      <c r="B632" s="1" t="s">
        <v>60</v>
      </c>
      <c r="C632" s="1" t="s">
        <v>60</v>
      </c>
    </row>
    <row r="633">
      <c r="A633" s="18">
        <v>46289.0</v>
      </c>
      <c r="B633" s="1" t="s">
        <v>60</v>
      </c>
      <c r="C633" s="1" t="s">
        <v>60</v>
      </c>
    </row>
    <row r="634">
      <c r="A634" s="18">
        <v>46290.0</v>
      </c>
      <c r="B634" s="1" t="s">
        <v>60</v>
      </c>
      <c r="C634" s="1" t="s">
        <v>60</v>
      </c>
    </row>
    <row r="635">
      <c r="A635" s="18">
        <v>46291.0</v>
      </c>
      <c r="B635" s="1" t="s">
        <v>60</v>
      </c>
      <c r="C635" s="1" t="s">
        <v>60</v>
      </c>
    </row>
    <row r="636">
      <c r="A636" s="18">
        <v>46292.0</v>
      </c>
      <c r="B636" s="1" t="s">
        <v>930</v>
      </c>
      <c r="C636" s="4">
        <v>0.034027777777777775</v>
      </c>
    </row>
    <row r="637">
      <c r="A637" s="18">
        <v>46293.0</v>
      </c>
      <c r="B637" s="1" t="s">
        <v>60</v>
      </c>
      <c r="C637" s="1" t="s">
        <v>60</v>
      </c>
    </row>
    <row r="638">
      <c r="A638" s="18">
        <v>46294.0</v>
      </c>
      <c r="B638" s="1" t="s">
        <v>60</v>
      </c>
      <c r="C638" s="1" t="s">
        <v>60</v>
      </c>
    </row>
    <row r="639">
      <c r="A639" s="18">
        <v>46295.0</v>
      </c>
      <c r="B639" s="1" t="s">
        <v>60</v>
      </c>
      <c r="C639" s="1" t="s">
        <v>60</v>
      </c>
    </row>
    <row r="640">
      <c r="A640" s="18">
        <v>46296.0</v>
      </c>
      <c r="B640" s="1" t="s">
        <v>60</v>
      </c>
      <c r="C640" s="1" t="s">
        <v>60</v>
      </c>
    </row>
    <row r="641">
      <c r="A641" s="18">
        <v>46297.0</v>
      </c>
      <c r="B641" s="1" t="s">
        <v>60</v>
      </c>
      <c r="C641" s="1" t="s">
        <v>60</v>
      </c>
    </row>
    <row r="642">
      <c r="A642" s="18">
        <v>46298.0</v>
      </c>
      <c r="B642" s="1" t="s">
        <v>931</v>
      </c>
      <c r="C642" s="4">
        <v>0.8923611111111112</v>
      </c>
    </row>
    <row r="643">
      <c r="A643" s="18">
        <v>46299.0</v>
      </c>
      <c r="B643" s="1" t="s">
        <v>60</v>
      </c>
      <c r="C643" s="1" t="s">
        <v>60</v>
      </c>
    </row>
    <row r="644">
      <c r="A644" s="18">
        <v>46300.0</v>
      </c>
      <c r="B644" s="1" t="s">
        <v>60</v>
      </c>
      <c r="C644" s="1" t="s">
        <v>60</v>
      </c>
    </row>
    <row r="645">
      <c r="A645" s="18">
        <v>46301.0</v>
      </c>
      <c r="B645" s="1" t="s">
        <v>60</v>
      </c>
      <c r="C645" s="1" t="s">
        <v>60</v>
      </c>
    </row>
    <row r="646">
      <c r="A646" s="18">
        <v>46302.0</v>
      </c>
      <c r="B646" s="1" t="s">
        <v>60</v>
      </c>
      <c r="C646" s="1" t="s">
        <v>60</v>
      </c>
    </row>
    <row r="647">
      <c r="A647" s="18">
        <v>46303.0</v>
      </c>
      <c r="B647" s="1" t="s">
        <v>60</v>
      </c>
      <c r="C647" s="1" t="s">
        <v>60</v>
      </c>
    </row>
    <row r="648">
      <c r="A648" s="18">
        <v>46304.0</v>
      </c>
      <c r="B648" s="1" t="s">
        <v>60</v>
      </c>
      <c r="C648" s="1" t="s">
        <v>60</v>
      </c>
    </row>
    <row r="649">
      <c r="A649" s="18">
        <v>46305.0</v>
      </c>
      <c r="B649" s="1" t="s">
        <v>932</v>
      </c>
      <c r="C649" s="4">
        <v>0.9930555555555556</v>
      </c>
    </row>
    <row r="650">
      <c r="A650" s="18">
        <v>46306.0</v>
      </c>
      <c r="B650" s="1" t="s">
        <v>60</v>
      </c>
      <c r="C650" s="1" t="s">
        <v>60</v>
      </c>
    </row>
    <row r="651">
      <c r="A651" s="18">
        <v>46307.0</v>
      </c>
      <c r="B651" s="1" t="s">
        <v>60</v>
      </c>
      <c r="C651" s="1" t="s">
        <v>60</v>
      </c>
    </row>
    <row r="652">
      <c r="A652" s="18">
        <v>46308.0</v>
      </c>
      <c r="B652" s="1" t="s">
        <v>60</v>
      </c>
      <c r="C652" s="1" t="s">
        <v>60</v>
      </c>
    </row>
    <row r="653">
      <c r="A653" s="18">
        <v>46309.0</v>
      </c>
      <c r="B653" s="1" t="s">
        <v>60</v>
      </c>
      <c r="C653" s="1" t="s">
        <v>60</v>
      </c>
    </row>
    <row r="654">
      <c r="A654" s="18">
        <v>46310.0</v>
      </c>
      <c r="B654" s="1" t="s">
        <v>60</v>
      </c>
      <c r="C654" s="1" t="s">
        <v>60</v>
      </c>
    </row>
    <row r="655">
      <c r="A655" s="18">
        <v>46311.0</v>
      </c>
      <c r="B655" s="1" t="s">
        <v>60</v>
      </c>
      <c r="C655" s="1" t="s">
        <v>60</v>
      </c>
    </row>
    <row r="656">
      <c r="A656" s="18">
        <v>46312.0</v>
      </c>
      <c r="B656" s="1" t="s">
        <v>60</v>
      </c>
      <c r="C656" s="1" t="s">
        <v>60</v>
      </c>
    </row>
    <row r="657">
      <c r="A657" s="18">
        <v>46313.0</v>
      </c>
      <c r="B657" s="1" t="s">
        <v>60</v>
      </c>
      <c r="C657" s="1" t="s">
        <v>60</v>
      </c>
    </row>
    <row r="658">
      <c r="A658" s="18">
        <v>46314.0</v>
      </c>
      <c r="B658" s="1" t="s">
        <v>929</v>
      </c>
      <c r="C658" s="4">
        <v>0.009027777777777777</v>
      </c>
    </row>
    <row r="659">
      <c r="A659" s="18">
        <v>46315.0</v>
      </c>
      <c r="B659" s="1" t="s">
        <v>60</v>
      </c>
      <c r="C659" s="1" t="s">
        <v>60</v>
      </c>
    </row>
    <row r="660">
      <c r="A660" s="18">
        <v>46316.0</v>
      </c>
      <c r="B660" s="1" t="s">
        <v>60</v>
      </c>
      <c r="C660" s="1" t="s">
        <v>60</v>
      </c>
    </row>
    <row r="661">
      <c r="A661" s="18">
        <v>46317.0</v>
      </c>
      <c r="B661" s="1" t="s">
        <v>60</v>
      </c>
      <c r="C661" s="1" t="s">
        <v>60</v>
      </c>
    </row>
    <row r="662">
      <c r="A662" s="18">
        <v>46318.0</v>
      </c>
      <c r="B662" s="1" t="s">
        <v>60</v>
      </c>
      <c r="C662" s="1" t="s">
        <v>60</v>
      </c>
    </row>
    <row r="663">
      <c r="A663" s="18">
        <v>46319.0</v>
      </c>
      <c r="B663" s="1" t="s">
        <v>60</v>
      </c>
      <c r="C663" s="1" t="s">
        <v>60</v>
      </c>
    </row>
    <row r="664">
      <c r="A664" s="18">
        <v>46320.0</v>
      </c>
      <c r="B664" s="1" t="s">
        <v>60</v>
      </c>
      <c r="C664" s="1" t="s">
        <v>60</v>
      </c>
    </row>
    <row r="665">
      <c r="A665" s="18">
        <v>46321.0</v>
      </c>
      <c r="B665" s="1" t="s">
        <v>930</v>
      </c>
      <c r="C665" s="4">
        <v>0.5083333333333333</v>
      </c>
    </row>
    <row r="666">
      <c r="A666" s="18">
        <v>46322.0</v>
      </c>
      <c r="B666" s="1" t="s">
        <v>60</v>
      </c>
      <c r="C666" s="1" t="s">
        <v>60</v>
      </c>
    </row>
    <row r="667">
      <c r="A667" s="18">
        <v>46323.0</v>
      </c>
      <c r="B667" s="1" t="s">
        <v>60</v>
      </c>
      <c r="C667" s="1" t="s">
        <v>60</v>
      </c>
    </row>
    <row r="668">
      <c r="A668" s="18">
        <v>46324.0</v>
      </c>
      <c r="B668" s="1" t="s">
        <v>60</v>
      </c>
      <c r="C668" s="1" t="s">
        <v>60</v>
      </c>
    </row>
    <row r="669">
      <c r="A669" s="18">
        <v>46325.0</v>
      </c>
      <c r="B669" s="1" t="s">
        <v>60</v>
      </c>
      <c r="C669" s="1" t="s">
        <v>60</v>
      </c>
    </row>
    <row r="670">
      <c r="A670" s="18">
        <v>46326.0</v>
      </c>
      <c r="B670" s="1" t="s">
        <v>60</v>
      </c>
      <c r="C670" s="1" t="s">
        <v>60</v>
      </c>
    </row>
    <row r="671">
      <c r="A671" s="18">
        <v>46327.0</v>
      </c>
      <c r="B671" s="1" t="s">
        <v>60</v>
      </c>
      <c r="C671" s="1" t="s">
        <v>60</v>
      </c>
    </row>
    <row r="672">
      <c r="A672" s="18">
        <v>46328.0</v>
      </c>
      <c r="B672" s="1" t="s">
        <v>931</v>
      </c>
      <c r="C672" s="4">
        <v>0.18611111111111112</v>
      </c>
    </row>
    <row r="673">
      <c r="A673" s="18">
        <v>46329.0</v>
      </c>
      <c r="B673" s="1" t="s">
        <v>60</v>
      </c>
      <c r="C673" s="1" t="s">
        <v>60</v>
      </c>
    </row>
    <row r="674">
      <c r="A674" s="18">
        <v>46330.0</v>
      </c>
      <c r="B674" s="1" t="s">
        <v>60</v>
      </c>
      <c r="C674" s="1" t="s">
        <v>60</v>
      </c>
    </row>
    <row r="675">
      <c r="A675" s="18">
        <v>46331.0</v>
      </c>
      <c r="B675" s="1" t="s">
        <v>60</v>
      </c>
      <c r="C675" s="1" t="s">
        <v>60</v>
      </c>
    </row>
    <row r="676">
      <c r="A676" s="18">
        <v>46332.0</v>
      </c>
      <c r="B676" s="1" t="s">
        <v>60</v>
      </c>
      <c r="C676" s="1" t="s">
        <v>60</v>
      </c>
    </row>
    <row r="677">
      <c r="A677" s="18">
        <v>46333.0</v>
      </c>
      <c r="B677" s="1" t="s">
        <v>60</v>
      </c>
      <c r="C677" s="1" t="s">
        <v>60</v>
      </c>
    </row>
    <row r="678">
      <c r="A678" s="18">
        <v>46334.0</v>
      </c>
      <c r="B678" s="1" t="s">
        <v>60</v>
      </c>
      <c r="C678" s="1" t="s">
        <v>60</v>
      </c>
    </row>
    <row r="679">
      <c r="A679" s="18">
        <v>46335.0</v>
      </c>
      <c r="B679" s="1" t="s">
        <v>932</v>
      </c>
      <c r="C679" s="4">
        <v>0.6263888888888889</v>
      </c>
    </row>
    <row r="680">
      <c r="A680" s="18">
        <v>46336.0</v>
      </c>
      <c r="B680" s="1" t="s">
        <v>60</v>
      </c>
      <c r="C680" s="1" t="s">
        <v>60</v>
      </c>
    </row>
    <row r="681">
      <c r="A681" s="18">
        <v>46337.0</v>
      </c>
      <c r="B681" s="1" t="s">
        <v>60</v>
      </c>
      <c r="C681" s="1" t="s">
        <v>60</v>
      </c>
    </row>
    <row r="682">
      <c r="A682" s="18">
        <v>46338.0</v>
      </c>
      <c r="B682" s="1" t="s">
        <v>60</v>
      </c>
      <c r="C682" s="1" t="s">
        <v>60</v>
      </c>
    </row>
    <row r="683">
      <c r="A683" s="18">
        <v>46339.0</v>
      </c>
      <c r="B683" s="1" t="s">
        <v>60</v>
      </c>
      <c r="C683" s="1" t="s">
        <v>60</v>
      </c>
    </row>
    <row r="684">
      <c r="A684" s="18">
        <v>46340.0</v>
      </c>
      <c r="B684" s="1" t="s">
        <v>60</v>
      </c>
      <c r="C684" s="1" t="s">
        <v>60</v>
      </c>
    </row>
    <row r="685">
      <c r="A685" s="18">
        <v>46341.0</v>
      </c>
      <c r="B685" s="1" t="s">
        <v>60</v>
      </c>
      <c r="C685" s="1" t="s">
        <v>60</v>
      </c>
    </row>
    <row r="686">
      <c r="A686" s="18">
        <v>46342.0</v>
      </c>
      <c r="B686" s="1" t="s">
        <v>60</v>
      </c>
      <c r="C686" s="1" t="s">
        <v>60</v>
      </c>
    </row>
    <row r="687">
      <c r="A687" s="18">
        <v>46343.0</v>
      </c>
      <c r="B687" s="1" t="s">
        <v>929</v>
      </c>
      <c r="C687" s="4">
        <v>0.825</v>
      </c>
    </row>
    <row r="688">
      <c r="A688" s="18">
        <v>46344.0</v>
      </c>
      <c r="B688" s="1" t="s">
        <v>60</v>
      </c>
      <c r="C688" s="1" t="s">
        <v>60</v>
      </c>
    </row>
    <row r="689">
      <c r="A689" s="18">
        <v>46345.0</v>
      </c>
      <c r="B689" s="1" t="s">
        <v>60</v>
      </c>
      <c r="C689" s="1" t="s">
        <v>60</v>
      </c>
    </row>
    <row r="690">
      <c r="A690" s="18">
        <v>46346.0</v>
      </c>
      <c r="B690" s="1" t="s">
        <v>60</v>
      </c>
      <c r="C690" s="1" t="s">
        <v>60</v>
      </c>
    </row>
    <row r="691">
      <c r="A691" s="18">
        <v>46347.0</v>
      </c>
      <c r="B691" s="1" t="s">
        <v>60</v>
      </c>
      <c r="C691" s="1" t="s">
        <v>60</v>
      </c>
    </row>
    <row r="692">
      <c r="A692" s="18">
        <v>46348.0</v>
      </c>
      <c r="B692" s="1" t="s">
        <v>60</v>
      </c>
      <c r="C692" s="1" t="s">
        <v>60</v>
      </c>
    </row>
    <row r="693">
      <c r="A693" s="18">
        <v>46349.0</v>
      </c>
      <c r="B693" s="1" t="s">
        <v>60</v>
      </c>
      <c r="C693" s="1" t="s">
        <v>60</v>
      </c>
    </row>
    <row r="694">
      <c r="A694" s="18">
        <v>46350.0</v>
      </c>
      <c r="B694" s="1" t="s">
        <v>930</v>
      </c>
      <c r="C694" s="4">
        <v>0.9534722222222223</v>
      </c>
    </row>
    <row r="695">
      <c r="A695" s="18">
        <v>46351.0</v>
      </c>
      <c r="B695" s="1" t="s">
        <v>60</v>
      </c>
      <c r="C695" s="1" t="s">
        <v>60</v>
      </c>
    </row>
    <row r="696">
      <c r="A696" s="18">
        <v>46352.0</v>
      </c>
      <c r="B696" s="1" t="s">
        <v>60</v>
      </c>
      <c r="C696" s="1" t="s">
        <v>60</v>
      </c>
    </row>
    <row r="697">
      <c r="A697" s="18">
        <v>46353.0</v>
      </c>
      <c r="B697" s="1" t="s">
        <v>60</v>
      </c>
      <c r="C697" s="1" t="s">
        <v>60</v>
      </c>
    </row>
    <row r="698">
      <c r="A698" s="18">
        <v>46354.0</v>
      </c>
      <c r="B698" s="1" t="s">
        <v>60</v>
      </c>
      <c r="C698" s="1" t="s">
        <v>60</v>
      </c>
    </row>
    <row r="699">
      <c r="A699" s="18">
        <v>46355.0</v>
      </c>
      <c r="B699" s="1" t="s">
        <v>60</v>
      </c>
      <c r="C699" s="1" t="s">
        <v>60</v>
      </c>
    </row>
    <row r="700">
      <c r="A700" s="18">
        <v>46356.0</v>
      </c>
      <c r="B700" s="1" t="s">
        <v>60</v>
      </c>
      <c r="C700" s="1" t="s">
        <v>60</v>
      </c>
    </row>
    <row r="701">
      <c r="A701" s="18">
        <v>46357.0</v>
      </c>
      <c r="B701" s="1" t="s">
        <v>931</v>
      </c>
      <c r="C701" s="4">
        <v>0.5895833333333333</v>
      </c>
    </row>
    <row r="702">
      <c r="A702" s="18">
        <v>46358.0</v>
      </c>
      <c r="B702" s="1" t="s">
        <v>60</v>
      </c>
      <c r="C702" s="1" t="s">
        <v>60</v>
      </c>
    </row>
    <row r="703">
      <c r="A703" s="18">
        <v>46359.0</v>
      </c>
      <c r="B703" s="1" t="s">
        <v>60</v>
      </c>
      <c r="C703" s="1" t="s">
        <v>60</v>
      </c>
    </row>
    <row r="704">
      <c r="A704" s="18">
        <v>46360.0</v>
      </c>
      <c r="B704" s="1" t="s">
        <v>60</v>
      </c>
      <c r="C704" s="1" t="s">
        <v>60</v>
      </c>
    </row>
    <row r="705">
      <c r="A705" s="18">
        <v>46361.0</v>
      </c>
      <c r="B705" s="1" t="s">
        <v>60</v>
      </c>
      <c r="C705" s="1" t="s">
        <v>60</v>
      </c>
    </row>
    <row r="706">
      <c r="A706" s="18">
        <v>46362.0</v>
      </c>
      <c r="B706" s="1" t="s">
        <v>60</v>
      </c>
      <c r="C706" s="1" t="s">
        <v>60</v>
      </c>
    </row>
    <row r="707">
      <c r="A707" s="18">
        <v>46363.0</v>
      </c>
      <c r="B707" s="1" t="s">
        <v>60</v>
      </c>
      <c r="C707" s="1" t="s">
        <v>60</v>
      </c>
    </row>
    <row r="708">
      <c r="A708" s="18">
        <v>46364.0</v>
      </c>
      <c r="B708" s="1" t="s">
        <v>60</v>
      </c>
      <c r="C708" s="1" t="s">
        <v>60</v>
      </c>
    </row>
    <row r="709">
      <c r="A709" s="18">
        <v>46365.0</v>
      </c>
      <c r="B709" s="1" t="s">
        <v>932</v>
      </c>
      <c r="C709" s="4">
        <v>0.36944444444444446</v>
      </c>
    </row>
    <row r="710">
      <c r="A710" s="18">
        <v>46366.0</v>
      </c>
      <c r="B710" s="1" t="s">
        <v>60</v>
      </c>
      <c r="C710" s="1" t="s">
        <v>60</v>
      </c>
    </row>
    <row r="711">
      <c r="A711" s="18">
        <v>46367.0</v>
      </c>
      <c r="B711" s="1" t="s">
        <v>60</v>
      </c>
      <c r="C711" s="1" t="s">
        <v>60</v>
      </c>
    </row>
    <row r="712">
      <c r="A712" s="18">
        <v>46368.0</v>
      </c>
      <c r="B712" s="1" t="s">
        <v>60</v>
      </c>
      <c r="C712" s="1" t="s">
        <v>60</v>
      </c>
    </row>
    <row r="713">
      <c r="A713" s="18">
        <v>46369.0</v>
      </c>
      <c r="B713" s="1" t="s">
        <v>60</v>
      </c>
      <c r="C713" s="1" t="s">
        <v>60</v>
      </c>
    </row>
    <row r="714">
      <c r="A714" s="18">
        <v>46370.0</v>
      </c>
      <c r="B714" s="1" t="s">
        <v>60</v>
      </c>
      <c r="C714" s="1" t="s">
        <v>60</v>
      </c>
    </row>
    <row r="715">
      <c r="A715" s="18">
        <v>46371.0</v>
      </c>
      <c r="B715" s="1" t="s">
        <v>60</v>
      </c>
      <c r="C715" s="1" t="s">
        <v>60</v>
      </c>
    </row>
    <row r="716">
      <c r="A716" s="18">
        <v>46372.0</v>
      </c>
      <c r="B716" s="1" t="s">
        <v>60</v>
      </c>
      <c r="C716" s="1" t="s">
        <v>60</v>
      </c>
    </row>
    <row r="717">
      <c r="A717" s="18">
        <v>46373.0</v>
      </c>
      <c r="B717" s="1" t="s">
        <v>929</v>
      </c>
      <c r="C717" s="4">
        <v>0.5715277777777777</v>
      </c>
    </row>
    <row r="718">
      <c r="A718" s="18">
        <v>46374.0</v>
      </c>
      <c r="B718" s="1" t="s">
        <v>60</v>
      </c>
      <c r="C718" s="1" t="s">
        <v>60</v>
      </c>
    </row>
    <row r="719">
      <c r="A719" s="18">
        <v>46375.0</v>
      </c>
      <c r="B719" s="1" t="s">
        <v>60</v>
      </c>
      <c r="C719" s="1" t="s">
        <v>60</v>
      </c>
    </row>
    <row r="720">
      <c r="A720" s="18">
        <v>46376.0</v>
      </c>
      <c r="B720" s="1" t="s">
        <v>60</v>
      </c>
      <c r="C720" s="1" t="s">
        <v>60</v>
      </c>
    </row>
    <row r="721">
      <c r="A721" s="18">
        <v>46377.0</v>
      </c>
      <c r="B721" s="1" t="s">
        <v>60</v>
      </c>
      <c r="C721" s="1" t="s">
        <v>60</v>
      </c>
    </row>
    <row r="722">
      <c r="A722" s="18">
        <v>46378.0</v>
      </c>
      <c r="B722" s="1" t="s">
        <v>60</v>
      </c>
      <c r="C722" s="1" t="s">
        <v>60</v>
      </c>
    </row>
    <row r="723">
      <c r="A723" s="18">
        <v>46379.0</v>
      </c>
      <c r="B723" s="1" t="s">
        <v>60</v>
      </c>
      <c r="C723" s="1" t="s">
        <v>60</v>
      </c>
    </row>
    <row r="724">
      <c r="A724" s="18">
        <v>46380.0</v>
      </c>
      <c r="B724" s="1" t="s">
        <v>930</v>
      </c>
      <c r="C724" s="4">
        <v>0.39444444444444443</v>
      </c>
    </row>
    <row r="725">
      <c r="A725" s="18">
        <v>46381.0</v>
      </c>
      <c r="B725" s="1" t="s">
        <v>60</v>
      </c>
      <c r="C725" s="1" t="s">
        <v>60</v>
      </c>
    </row>
    <row r="726">
      <c r="A726" s="18">
        <v>46382.0</v>
      </c>
      <c r="B726" s="1" t="s">
        <v>60</v>
      </c>
      <c r="C726" s="1" t="s">
        <v>60</v>
      </c>
    </row>
    <row r="727">
      <c r="A727" s="18">
        <v>46383.0</v>
      </c>
      <c r="B727" s="1" t="s">
        <v>60</v>
      </c>
      <c r="C727" s="1" t="s">
        <v>60</v>
      </c>
    </row>
    <row r="728">
      <c r="A728" s="18">
        <v>46384.0</v>
      </c>
      <c r="B728" s="1" t="s">
        <v>60</v>
      </c>
      <c r="C728" s="1" t="s">
        <v>60</v>
      </c>
    </row>
    <row r="729">
      <c r="A729" s="18">
        <v>46385.0</v>
      </c>
      <c r="B729" s="1" t="s">
        <v>60</v>
      </c>
      <c r="C729" s="1" t="s">
        <v>60</v>
      </c>
    </row>
    <row r="730">
      <c r="A730" s="18">
        <v>46386.0</v>
      </c>
      <c r="B730" s="1" t="s">
        <v>60</v>
      </c>
      <c r="C730" s="1" t="s">
        <v>60</v>
      </c>
    </row>
    <row r="731">
      <c r="A731" s="18">
        <v>46387.0</v>
      </c>
      <c r="B731" s="1" t="s">
        <v>931</v>
      </c>
      <c r="C731" s="4">
        <v>0.12430555555555556</v>
      </c>
    </row>
    <row r="732">
      <c r="A732" s="18">
        <v>46388.0</v>
      </c>
      <c r="B732" s="1" t="s">
        <v>60</v>
      </c>
      <c r="C732" s="1" t="s">
        <v>60</v>
      </c>
    </row>
    <row r="733">
      <c r="A733" s="18">
        <v>46389.0</v>
      </c>
      <c r="B733" s="1" t="s">
        <v>60</v>
      </c>
      <c r="C733" s="1" t="s">
        <v>60</v>
      </c>
    </row>
    <row r="734">
      <c r="A734" s="18">
        <v>46390.0</v>
      </c>
      <c r="B734" s="1" t="s">
        <v>60</v>
      </c>
      <c r="C734" s="1" t="s">
        <v>60</v>
      </c>
    </row>
    <row r="735">
      <c r="A735" s="18">
        <v>46391.0</v>
      </c>
      <c r="B735" s="1" t="s">
        <v>60</v>
      </c>
      <c r="C735" s="1" t="s">
        <v>60</v>
      </c>
    </row>
    <row r="736">
      <c r="A736" s="18">
        <v>46392.0</v>
      </c>
      <c r="B736" s="1" t="s">
        <v>60</v>
      </c>
      <c r="C736" s="1" t="s">
        <v>60</v>
      </c>
    </row>
    <row r="737">
      <c r="A737" s="18">
        <v>46393.0</v>
      </c>
      <c r="B737" s="1" t="s">
        <v>60</v>
      </c>
      <c r="C737" s="1" t="s">
        <v>60</v>
      </c>
    </row>
    <row r="738">
      <c r="A738" s="18">
        <v>46394.0</v>
      </c>
      <c r="B738" s="1" t="s">
        <v>60</v>
      </c>
      <c r="C738" s="1" t="s">
        <v>60</v>
      </c>
    </row>
    <row r="739">
      <c r="A739" s="18">
        <v>46395.0</v>
      </c>
      <c r="B739" s="1" t="s">
        <v>932</v>
      </c>
      <c r="C739" s="4">
        <v>0.18333333333333332</v>
      </c>
    </row>
    <row r="740">
      <c r="A740" s="18">
        <v>46396.0</v>
      </c>
      <c r="B740" s="1" t="s">
        <v>60</v>
      </c>
      <c r="C740" s="1" t="s">
        <v>60</v>
      </c>
    </row>
    <row r="741">
      <c r="A741" s="18">
        <v>46397.0</v>
      </c>
      <c r="B741" s="1" t="s">
        <v>60</v>
      </c>
      <c r="C741" s="1" t="s">
        <v>60</v>
      </c>
    </row>
    <row r="742">
      <c r="A742" s="18">
        <v>46398.0</v>
      </c>
      <c r="B742" s="1" t="s">
        <v>60</v>
      </c>
      <c r="C742" s="1" t="s">
        <v>60</v>
      </c>
    </row>
    <row r="743">
      <c r="A743" s="18">
        <v>46399.0</v>
      </c>
      <c r="B743" s="1" t="s">
        <v>60</v>
      </c>
      <c r="C743" s="1" t="s">
        <v>60</v>
      </c>
    </row>
    <row r="744">
      <c r="A744" s="18">
        <v>46400.0</v>
      </c>
      <c r="B744" s="1" t="s">
        <v>60</v>
      </c>
      <c r="C744" s="1" t="s">
        <v>60</v>
      </c>
    </row>
    <row r="745">
      <c r="A745" s="18">
        <v>46401.0</v>
      </c>
      <c r="B745" s="1" t="s">
        <v>60</v>
      </c>
      <c r="C745" s="1" t="s">
        <v>60</v>
      </c>
    </row>
    <row r="746">
      <c r="A746" s="18">
        <v>46402.0</v>
      </c>
      <c r="B746" s="1" t="s">
        <v>60</v>
      </c>
      <c r="C746" s="1" t="s">
        <v>60</v>
      </c>
    </row>
    <row r="747">
      <c r="A747" s="18">
        <v>46403.0</v>
      </c>
      <c r="B747" s="1" t="s">
        <v>929</v>
      </c>
      <c r="C747" s="4">
        <v>0.19027777777777777</v>
      </c>
    </row>
    <row r="748">
      <c r="A748" s="18">
        <v>46404.0</v>
      </c>
      <c r="B748" s="1" t="s">
        <v>60</v>
      </c>
      <c r="C748" s="1" t="s">
        <v>60</v>
      </c>
    </row>
    <row r="749">
      <c r="A749" s="18">
        <v>46405.0</v>
      </c>
      <c r="B749" s="1" t="s">
        <v>60</v>
      </c>
      <c r="C749" s="1" t="s">
        <v>60</v>
      </c>
    </row>
    <row r="750">
      <c r="A750" s="18">
        <v>46406.0</v>
      </c>
      <c r="B750" s="1" t="s">
        <v>60</v>
      </c>
      <c r="C750" s="1" t="s">
        <v>60</v>
      </c>
    </row>
    <row r="751">
      <c r="A751" s="18">
        <v>46407.0</v>
      </c>
      <c r="B751" s="1" t="s">
        <v>60</v>
      </c>
      <c r="C751" s="1" t="s">
        <v>60</v>
      </c>
    </row>
    <row r="752">
      <c r="A752" s="18">
        <v>46408.0</v>
      </c>
      <c r="B752" s="1" t="s">
        <v>60</v>
      </c>
      <c r="C752" s="1" t="s">
        <v>60</v>
      </c>
    </row>
    <row r="753">
      <c r="A753" s="18">
        <v>46409.0</v>
      </c>
      <c r="B753" s="1" t="s">
        <v>930</v>
      </c>
      <c r="C753" s="4">
        <v>0.8451388888888889</v>
      </c>
    </row>
    <row r="754">
      <c r="A754" s="18">
        <v>46410.0</v>
      </c>
      <c r="B754" s="1" t="s">
        <v>60</v>
      </c>
      <c r="C754" s="1" t="s">
        <v>60</v>
      </c>
    </row>
    <row r="755">
      <c r="A755" s="18">
        <v>46411.0</v>
      </c>
      <c r="B755" s="1" t="s">
        <v>60</v>
      </c>
      <c r="C755" s="1" t="s">
        <v>60</v>
      </c>
    </row>
    <row r="756">
      <c r="A756" s="18">
        <v>46412.0</v>
      </c>
      <c r="B756" s="1" t="s">
        <v>60</v>
      </c>
      <c r="C756" s="1" t="s">
        <v>60</v>
      </c>
    </row>
    <row r="757">
      <c r="A757" s="18">
        <v>46413.0</v>
      </c>
      <c r="B757" s="1" t="s">
        <v>60</v>
      </c>
      <c r="C757" s="1" t="s">
        <v>60</v>
      </c>
    </row>
    <row r="758">
      <c r="A758" s="18">
        <v>46414.0</v>
      </c>
      <c r="B758" s="1" t="s">
        <v>60</v>
      </c>
      <c r="C758" s="1" t="s">
        <v>60</v>
      </c>
    </row>
    <row r="759">
      <c r="A759" s="18">
        <v>46415.0</v>
      </c>
      <c r="B759" s="1" t="s">
        <v>60</v>
      </c>
      <c r="C759" s="1" t="s">
        <v>60</v>
      </c>
    </row>
    <row r="760">
      <c r="A760" s="18">
        <v>46416.0</v>
      </c>
      <c r="B760" s="1" t="s">
        <v>931</v>
      </c>
      <c r="C760" s="4">
        <v>0.7881944444444444</v>
      </c>
    </row>
    <row r="761">
      <c r="A761" s="18">
        <v>46417.0</v>
      </c>
      <c r="B761" s="1" t="s">
        <v>60</v>
      </c>
      <c r="C761" s="1" t="s">
        <v>60</v>
      </c>
    </row>
    <row r="762">
      <c r="A762" s="18">
        <v>46418.0</v>
      </c>
      <c r="B762" s="1" t="s">
        <v>60</v>
      </c>
      <c r="C762" s="1" t="s">
        <v>60</v>
      </c>
    </row>
    <row r="763">
      <c r="A763" s="18">
        <v>46419.0</v>
      </c>
      <c r="B763" s="1" t="s">
        <v>60</v>
      </c>
      <c r="C763" s="1" t="s">
        <v>60</v>
      </c>
    </row>
    <row r="764">
      <c r="A764" s="18">
        <v>46420.0</v>
      </c>
      <c r="B764" s="1" t="s">
        <v>60</v>
      </c>
      <c r="C764" s="1" t="s">
        <v>60</v>
      </c>
    </row>
    <row r="765">
      <c r="A765" s="18">
        <v>46421.0</v>
      </c>
      <c r="B765" s="1" t="s">
        <v>60</v>
      </c>
      <c r="C765" s="1" t="s">
        <v>60</v>
      </c>
    </row>
    <row r="766">
      <c r="A766" s="18">
        <v>46422.0</v>
      </c>
      <c r="B766" s="1" t="s">
        <v>60</v>
      </c>
      <c r="C766" s="1" t="s">
        <v>60</v>
      </c>
    </row>
    <row r="767">
      <c r="A767" s="18">
        <v>46423.0</v>
      </c>
      <c r="B767" s="1" t="s">
        <v>60</v>
      </c>
      <c r="C767" s="1" t="s">
        <v>60</v>
      </c>
    </row>
    <row r="768">
      <c r="A768" s="18">
        <v>46424.0</v>
      </c>
      <c r="B768" s="1" t="s">
        <v>932</v>
      </c>
      <c r="C768" s="4">
        <v>0.9972222222222222</v>
      </c>
    </row>
    <row r="769">
      <c r="A769" s="18">
        <v>46425.0</v>
      </c>
      <c r="B769" s="1" t="s">
        <v>60</v>
      </c>
      <c r="C769" s="1" t="s">
        <v>60</v>
      </c>
    </row>
    <row r="770">
      <c r="A770" s="18">
        <v>46426.0</v>
      </c>
      <c r="B770" s="1" t="s">
        <v>60</v>
      </c>
      <c r="C770" s="1" t="s">
        <v>60</v>
      </c>
    </row>
    <row r="771">
      <c r="A771" s="18">
        <v>46427.0</v>
      </c>
      <c r="B771" s="1" t="s">
        <v>60</v>
      </c>
      <c r="C771" s="1" t="s">
        <v>60</v>
      </c>
    </row>
    <row r="772">
      <c r="A772" s="18">
        <v>46428.0</v>
      </c>
      <c r="B772" s="1" t="s">
        <v>60</v>
      </c>
      <c r="C772" s="1" t="s">
        <v>60</v>
      </c>
    </row>
    <row r="773">
      <c r="A773" s="18">
        <v>46429.0</v>
      </c>
      <c r="B773" s="1" t="s">
        <v>60</v>
      </c>
      <c r="C773" s="1" t="s">
        <v>60</v>
      </c>
    </row>
    <row r="774">
      <c r="A774" s="18">
        <v>46430.0</v>
      </c>
      <c r="B774" s="1" t="s">
        <v>60</v>
      </c>
      <c r="C774" s="1" t="s">
        <v>60</v>
      </c>
    </row>
    <row r="775">
      <c r="A775" s="18">
        <v>46431.0</v>
      </c>
      <c r="B775" s="1" t="s">
        <v>60</v>
      </c>
      <c r="C775" s="1" t="s">
        <v>60</v>
      </c>
    </row>
    <row r="776">
      <c r="A776" s="18">
        <v>46432.0</v>
      </c>
      <c r="B776" s="1" t="s">
        <v>929</v>
      </c>
      <c r="C776" s="4">
        <v>0.6652777777777777</v>
      </c>
    </row>
    <row r="777">
      <c r="A777" s="18">
        <v>46433.0</v>
      </c>
      <c r="B777" s="1" t="s">
        <v>60</v>
      </c>
      <c r="C777" s="1" t="s">
        <v>60</v>
      </c>
    </row>
    <row r="778">
      <c r="A778" s="18">
        <v>46434.0</v>
      </c>
      <c r="B778" s="1" t="s">
        <v>60</v>
      </c>
      <c r="C778" s="1" t="s">
        <v>60</v>
      </c>
    </row>
    <row r="779">
      <c r="A779" s="18">
        <v>46435.0</v>
      </c>
      <c r="B779" s="1" t="s">
        <v>60</v>
      </c>
      <c r="C779" s="1" t="s">
        <v>60</v>
      </c>
    </row>
    <row r="780">
      <c r="A780" s="18">
        <v>46436.0</v>
      </c>
      <c r="B780" s="1" t="s">
        <v>60</v>
      </c>
      <c r="C780" s="1" t="s">
        <v>60</v>
      </c>
    </row>
    <row r="781">
      <c r="A781" s="18">
        <v>46437.0</v>
      </c>
      <c r="B781" s="1" t="s">
        <v>60</v>
      </c>
      <c r="C781" s="1" t="s">
        <v>60</v>
      </c>
    </row>
    <row r="782">
      <c r="A782" s="18">
        <v>46438.0</v>
      </c>
      <c r="B782" s="1" t="s">
        <v>60</v>
      </c>
      <c r="C782" s="1" t="s">
        <v>60</v>
      </c>
    </row>
    <row r="783">
      <c r="A783" s="18">
        <v>46439.0</v>
      </c>
      <c r="B783" s="1" t="s">
        <v>930</v>
      </c>
      <c r="C783" s="4">
        <v>0.30833333333333335</v>
      </c>
    </row>
    <row r="784">
      <c r="A784" s="18">
        <v>46440.0</v>
      </c>
      <c r="B784" s="1" t="s">
        <v>60</v>
      </c>
      <c r="C784" s="1" t="s">
        <v>60</v>
      </c>
    </row>
    <row r="785">
      <c r="A785" s="18">
        <v>46441.0</v>
      </c>
      <c r="B785" s="1" t="s">
        <v>60</v>
      </c>
      <c r="C785" s="1" t="s">
        <v>60</v>
      </c>
    </row>
    <row r="786">
      <c r="A786" s="18">
        <v>46442.0</v>
      </c>
      <c r="B786" s="1" t="s">
        <v>60</v>
      </c>
      <c r="C786" s="1" t="s">
        <v>60</v>
      </c>
    </row>
    <row r="787">
      <c r="A787" s="18">
        <v>46443.0</v>
      </c>
      <c r="B787" s="1" t="s">
        <v>60</v>
      </c>
      <c r="C787" s="1" t="s">
        <v>60</v>
      </c>
    </row>
    <row r="788">
      <c r="A788" s="18">
        <v>46444.0</v>
      </c>
      <c r="B788" s="1" t="s">
        <v>60</v>
      </c>
      <c r="C788" s="1" t="s">
        <v>60</v>
      </c>
    </row>
    <row r="789">
      <c r="A789" s="18">
        <v>46445.0</v>
      </c>
      <c r="B789" s="1" t="s">
        <v>60</v>
      </c>
      <c r="C789" s="1" t="s">
        <v>60</v>
      </c>
    </row>
    <row r="790">
      <c r="A790" s="18">
        <v>46446.0</v>
      </c>
      <c r="B790" s="1" t="s">
        <v>931</v>
      </c>
      <c r="C790" s="4">
        <v>0.5527777777777778</v>
      </c>
    </row>
    <row r="791">
      <c r="A791" s="18">
        <v>46447.0</v>
      </c>
      <c r="B791" s="1" t="s">
        <v>60</v>
      </c>
      <c r="C791" s="1" t="s">
        <v>60</v>
      </c>
    </row>
    <row r="792">
      <c r="A792" s="18">
        <v>46448.0</v>
      </c>
      <c r="B792" s="1" t="s">
        <v>60</v>
      </c>
      <c r="C792" s="1" t="s">
        <v>60</v>
      </c>
    </row>
    <row r="793">
      <c r="A793" s="18">
        <v>46449.0</v>
      </c>
      <c r="B793" s="1" t="s">
        <v>60</v>
      </c>
      <c r="C793" s="1" t="s">
        <v>60</v>
      </c>
    </row>
    <row r="794">
      <c r="A794" s="18">
        <v>46450.0</v>
      </c>
      <c r="B794" s="1" t="s">
        <v>60</v>
      </c>
      <c r="C794" s="1" t="s">
        <v>60</v>
      </c>
    </row>
    <row r="795">
      <c r="A795" s="18">
        <v>46451.0</v>
      </c>
      <c r="B795" s="1" t="s">
        <v>60</v>
      </c>
      <c r="C795" s="1" t="s">
        <v>60</v>
      </c>
    </row>
    <row r="796">
      <c r="A796" s="18">
        <v>46452.0</v>
      </c>
      <c r="B796" s="1" t="s">
        <v>60</v>
      </c>
      <c r="C796" s="1" t="s">
        <v>60</v>
      </c>
    </row>
    <row r="797">
      <c r="A797" s="18">
        <v>46453.0</v>
      </c>
      <c r="B797" s="1" t="s">
        <v>60</v>
      </c>
      <c r="C797" s="1" t="s">
        <v>60</v>
      </c>
    </row>
    <row r="798">
      <c r="A798" s="18">
        <v>46454.0</v>
      </c>
      <c r="B798" s="1" t="s">
        <v>932</v>
      </c>
      <c r="C798" s="4">
        <v>0.7284722222222222</v>
      </c>
    </row>
    <row r="799">
      <c r="A799" s="18">
        <v>46455.0</v>
      </c>
      <c r="B799" s="1" t="s">
        <v>60</v>
      </c>
      <c r="C799" s="1" t="s">
        <v>60</v>
      </c>
    </row>
    <row r="800">
      <c r="A800" s="18">
        <v>46456.0</v>
      </c>
      <c r="B800" s="1" t="s">
        <v>60</v>
      </c>
      <c r="C800" s="1" t="s">
        <v>60</v>
      </c>
    </row>
    <row r="801">
      <c r="A801" s="18">
        <v>46457.0</v>
      </c>
      <c r="B801" s="1" t="s">
        <v>60</v>
      </c>
      <c r="C801" s="1" t="s">
        <v>60</v>
      </c>
    </row>
    <row r="802">
      <c r="A802" s="18">
        <v>46458.0</v>
      </c>
      <c r="B802" s="1" t="s">
        <v>60</v>
      </c>
      <c r="C802" s="1" t="s">
        <v>60</v>
      </c>
    </row>
    <row r="803">
      <c r="A803" s="18">
        <v>46459.0</v>
      </c>
      <c r="B803" s="1" t="s">
        <v>60</v>
      </c>
      <c r="C803" s="1" t="s">
        <v>60</v>
      </c>
    </row>
    <row r="804">
      <c r="A804" s="18">
        <v>46460.0</v>
      </c>
      <c r="B804" s="1" t="s">
        <v>60</v>
      </c>
      <c r="C804" s="1" t="s">
        <v>60</v>
      </c>
    </row>
    <row r="805">
      <c r="A805" s="18">
        <v>46461.0</v>
      </c>
      <c r="B805" s="1" t="s">
        <v>60</v>
      </c>
      <c r="C805" s="1" t="s">
        <v>60</v>
      </c>
    </row>
    <row r="806">
      <c r="A806" s="18">
        <v>46462.0</v>
      </c>
      <c r="B806" s="1" t="s">
        <v>929</v>
      </c>
      <c r="C806" s="4">
        <v>0.017361111111111112</v>
      </c>
    </row>
    <row r="807">
      <c r="A807" s="18">
        <v>46463.0</v>
      </c>
      <c r="B807" s="1" t="s">
        <v>60</v>
      </c>
      <c r="C807" s="1" t="s">
        <v>60</v>
      </c>
    </row>
    <row r="808">
      <c r="A808" s="18">
        <v>46464.0</v>
      </c>
      <c r="B808" s="1" t="s">
        <v>60</v>
      </c>
      <c r="C808" s="1" t="s">
        <v>60</v>
      </c>
    </row>
    <row r="809">
      <c r="A809" s="18">
        <v>46465.0</v>
      </c>
      <c r="B809" s="1" t="s">
        <v>60</v>
      </c>
      <c r="C809" s="1" t="s">
        <v>60</v>
      </c>
    </row>
    <row r="810">
      <c r="A810" s="18">
        <v>46466.0</v>
      </c>
      <c r="B810" s="1" t="s">
        <v>60</v>
      </c>
      <c r="C810" s="1" t="s">
        <v>60</v>
      </c>
    </row>
    <row r="811">
      <c r="A811" s="18">
        <v>46467.0</v>
      </c>
      <c r="B811" s="1" t="s">
        <v>60</v>
      </c>
      <c r="C811" s="1" t="s">
        <v>60</v>
      </c>
    </row>
    <row r="812">
      <c r="A812" s="18">
        <v>46468.0</v>
      </c>
      <c r="B812" s="1" t="s">
        <v>930</v>
      </c>
      <c r="C812" s="4">
        <v>0.7805555555555556</v>
      </c>
    </row>
    <row r="813">
      <c r="A813" s="18">
        <v>46469.0</v>
      </c>
      <c r="B813" s="1" t="s">
        <v>60</v>
      </c>
      <c r="C813" s="1" t="s">
        <v>60</v>
      </c>
    </row>
    <row r="814">
      <c r="A814" s="18">
        <v>46470.0</v>
      </c>
      <c r="B814" s="1" t="s">
        <v>60</v>
      </c>
      <c r="C814" s="1" t="s">
        <v>60</v>
      </c>
    </row>
    <row r="815">
      <c r="A815" s="18">
        <v>46471.0</v>
      </c>
      <c r="B815" s="1" t="s">
        <v>60</v>
      </c>
      <c r="C815" s="1" t="s">
        <v>60</v>
      </c>
    </row>
    <row r="816">
      <c r="A816" s="18">
        <v>46472.0</v>
      </c>
      <c r="B816" s="1" t="s">
        <v>60</v>
      </c>
      <c r="C816" s="1" t="s">
        <v>60</v>
      </c>
    </row>
    <row r="817">
      <c r="A817" s="18">
        <v>46473.0</v>
      </c>
      <c r="B817" s="1" t="s">
        <v>60</v>
      </c>
      <c r="C817" s="1" t="s">
        <v>60</v>
      </c>
    </row>
    <row r="818">
      <c r="A818" s="18">
        <v>46474.0</v>
      </c>
      <c r="B818" s="1" t="s">
        <v>60</v>
      </c>
      <c r="C818" s="1" t="s">
        <v>60</v>
      </c>
    </row>
    <row r="819">
      <c r="A819" s="18">
        <v>46475.0</v>
      </c>
      <c r="B819" s="1" t="s">
        <v>60</v>
      </c>
      <c r="C819" s="1" t="s">
        <v>60</v>
      </c>
    </row>
    <row r="820">
      <c r="A820" s="18">
        <v>46476.0</v>
      </c>
      <c r="B820" s="1" t="s">
        <v>931</v>
      </c>
      <c r="C820" s="4">
        <v>0.37083333333333335</v>
      </c>
    </row>
    <row r="821">
      <c r="A821" s="18">
        <v>46477.0</v>
      </c>
      <c r="B821" s="1" t="s">
        <v>60</v>
      </c>
      <c r="C821" s="1" t="s">
        <v>60</v>
      </c>
    </row>
    <row r="822">
      <c r="A822" s="18">
        <v>46478.0</v>
      </c>
      <c r="B822" s="1" t="s">
        <v>60</v>
      </c>
      <c r="C822" s="1" t="s">
        <v>60</v>
      </c>
    </row>
    <row r="823">
      <c r="A823" s="18">
        <v>46479.0</v>
      </c>
      <c r="B823" s="1" t="s">
        <v>60</v>
      </c>
      <c r="C823" s="1" t="s">
        <v>60</v>
      </c>
    </row>
    <row r="824">
      <c r="A824" s="18">
        <v>46480.0</v>
      </c>
      <c r="B824" s="1" t="s">
        <v>60</v>
      </c>
      <c r="C824" s="1" t="s">
        <v>60</v>
      </c>
    </row>
    <row r="825">
      <c r="A825" s="18">
        <v>46481.0</v>
      </c>
      <c r="B825" s="1" t="s">
        <v>60</v>
      </c>
      <c r="C825" s="1" t="s">
        <v>60</v>
      </c>
    </row>
    <row r="826">
      <c r="A826" s="18">
        <v>46482.0</v>
      </c>
      <c r="B826" s="1" t="s">
        <v>60</v>
      </c>
      <c r="C826" s="1" t="s">
        <v>60</v>
      </c>
    </row>
    <row r="827">
      <c r="A827" s="18">
        <v>46483.0</v>
      </c>
      <c r="B827" s="1" t="s">
        <v>60</v>
      </c>
      <c r="C827" s="1" t="s">
        <v>60</v>
      </c>
    </row>
    <row r="828">
      <c r="A828" s="18">
        <v>46484.0</v>
      </c>
      <c r="B828" s="1" t="s">
        <v>932</v>
      </c>
      <c r="C828" s="4">
        <v>0.32708333333333334</v>
      </c>
    </row>
    <row r="829">
      <c r="A829" s="18">
        <v>46485.0</v>
      </c>
      <c r="B829" s="1" t="s">
        <v>60</v>
      </c>
      <c r="C829" s="1" t="s">
        <v>60</v>
      </c>
    </row>
    <row r="830">
      <c r="A830" s="18">
        <v>46486.0</v>
      </c>
      <c r="B830" s="1" t="s">
        <v>60</v>
      </c>
      <c r="C830" s="1" t="s">
        <v>60</v>
      </c>
    </row>
    <row r="831">
      <c r="A831" s="18">
        <v>46487.0</v>
      </c>
      <c r="B831" s="1" t="s">
        <v>60</v>
      </c>
      <c r="C831" s="1" t="s">
        <v>60</v>
      </c>
    </row>
    <row r="832">
      <c r="A832" s="18">
        <v>46488.0</v>
      </c>
      <c r="B832" s="1" t="s">
        <v>60</v>
      </c>
      <c r="C832" s="1" t="s">
        <v>60</v>
      </c>
    </row>
    <row r="833">
      <c r="A833" s="18">
        <v>46489.0</v>
      </c>
      <c r="B833" s="1" t="s">
        <v>60</v>
      </c>
      <c r="C833" s="1" t="s">
        <v>60</v>
      </c>
    </row>
    <row r="834">
      <c r="A834" s="18">
        <v>46490.0</v>
      </c>
      <c r="B834" s="1" t="s">
        <v>60</v>
      </c>
      <c r="C834" s="1" t="s">
        <v>60</v>
      </c>
    </row>
    <row r="835">
      <c r="A835" s="18">
        <v>46491.0</v>
      </c>
      <c r="B835" s="1" t="s">
        <v>929</v>
      </c>
      <c r="C835" s="4">
        <v>0.28958333333333336</v>
      </c>
    </row>
    <row r="836">
      <c r="A836" s="18">
        <v>46492.0</v>
      </c>
      <c r="B836" s="1" t="s">
        <v>60</v>
      </c>
      <c r="C836" s="1" t="s">
        <v>60</v>
      </c>
    </row>
    <row r="837">
      <c r="A837" s="18">
        <v>46493.0</v>
      </c>
      <c r="B837" s="1" t="s">
        <v>60</v>
      </c>
      <c r="C837" s="1" t="s">
        <v>60</v>
      </c>
    </row>
    <row r="838">
      <c r="A838" s="18">
        <v>46494.0</v>
      </c>
      <c r="B838" s="1" t="s">
        <v>60</v>
      </c>
      <c r="C838" s="1" t="s">
        <v>60</v>
      </c>
    </row>
    <row r="839">
      <c r="A839" s="18">
        <v>46495.0</v>
      </c>
      <c r="B839" s="1" t="s">
        <v>60</v>
      </c>
      <c r="C839" s="1" t="s">
        <v>60</v>
      </c>
    </row>
    <row r="840">
      <c r="A840" s="18">
        <v>46496.0</v>
      </c>
      <c r="B840" s="1" t="s">
        <v>60</v>
      </c>
      <c r="C840" s="1" t="s">
        <v>60</v>
      </c>
    </row>
    <row r="841">
      <c r="A841" s="18">
        <v>46497.0</v>
      </c>
      <c r="B841" s="1" t="s">
        <v>60</v>
      </c>
      <c r="C841" s="1" t="s">
        <v>60</v>
      </c>
    </row>
    <row r="842">
      <c r="A842" s="18">
        <v>46498.0</v>
      </c>
      <c r="B842" s="1" t="s">
        <v>930</v>
      </c>
      <c r="C842" s="4">
        <v>0.26875</v>
      </c>
    </row>
    <row r="843">
      <c r="A843" s="18">
        <v>46499.0</v>
      </c>
      <c r="B843" s="1" t="s">
        <v>60</v>
      </c>
      <c r="C843" s="1" t="s">
        <v>60</v>
      </c>
    </row>
    <row r="844">
      <c r="A844" s="18">
        <v>46500.0</v>
      </c>
      <c r="B844" s="1" t="s">
        <v>60</v>
      </c>
      <c r="C844" s="1" t="s">
        <v>60</v>
      </c>
    </row>
    <row r="845">
      <c r="A845" s="18">
        <v>46501.0</v>
      </c>
      <c r="B845" s="1" t="s">
        <v>60</v>
      </c>
      <c r="C845" s="1" t="s">
        <v>60</v>
      </c>
    </row>
    <row r="846">
      <c r="A846" s="18">
        <v>46502.0</v>
      </c>
      <c r="B846" s="1" t="s">
        <v>60</v>
      </c>
      <c r="C846" s="1" t="s">
        <v>60</v>
      </c>
    </row>
    <row r="847">
      <c r="A847" s="18">
        <v>46503.0</v>
      </c>
      <c r="B847" s="1" t="s">
        <v>60</v>
      </c>
      <c r="C847" s="1" t="s">
        <v>60</v>
      </c>
    </row>
    <row r="848">
      <c r="A848" s="18">
        <v>46504.0</v>
      </c>
      <c r="B848" s="1" t="s">
        <v>60</v>
      </c>
      <c r="C848" s="1" t="s">
        <v>60</v>
      </c>
    </row>
    <row r="849">
      <c r="A849" s="18">
        <v>46505.0</v>
      </c>
      <c r="B849" s="1" t="s">
        <v>60</v>
      </c>
      <c r="C849" s="1" t="s">
        <v>60</v>
      </c>
    </row>
    <row r="850">
      <c r="A850" s="18">
        <v>46506.0</v>
      </c>
      <c r="B850" s="1" t="s">
        <v>931</v>
      </c>
      <c r="C850" s="4">
        <v>0.17916666666666667</v>
      </c>
    </row>
    <row r="851">
      <c r="A851" s="18">
        <v>46507.0</v>
      </c>
      <c r="B851" s="1" t="s">
        <v>60</v>
      </c>
      <c r="C851" s="1" t="s">
        <v>60</v>
      </c>
    </row>
    <row r="852">
      <c r="A852" s="18">
        <v>46508.0</v>
      </c>
      <c r="B852" s="1" t="s">
        <v>60</v>
      </c>
      <c r="C852" s="1" t="s">
        <v>60</v>
      </c>
    </row>
    <row r="853">
      <c r="A853" s="18">
        <v>46509.0</v>
      </c>
      <c r="B853" s="1" t="s">
        <v>60</v>
      </c>
      <c r="C853" s="1" t="s">
        <v>60</v>
      </c>
    </row>
    <row r="854">
      <c r="A854" s="18">
        <v>46510.0</v>
      </c>
      <c r="B854" s="1" t="s">
        <v>60</v>
      </c>
      <c r="C854" s="1" t="s">
        <v>60</v>
      </c>
    </row>
    <row r="855">
      <c r="A855" s="18">
        <v>46511.0</v>
      </c>
      <c r="B855" s="1" t="s">
        <v>60</v>
      </c>
      <c r="C855" s="1" t="s">
        <v>60</v>
      </c>
    </row>
    <row r="856">
      <c r="A856" s="18">
        <v>46512.0</v>
      </c>
      <c r="B856" s="1" t="s">
        <v>60</v>
      </c>
      <c r="C856" s="1" t="s">
        <v>60</v>
      </c>
    </row>
    <row r="857">
      <c r="A857" s="18">
        <v>46513.0</v>
      </c>
      <c r="B857" s="1" t="s">
        <v>932</v>
      </c>
      <c r="C857" s="4">
        <v>0.7909722222222222</v>
      </c>
    </row>
    <row r="858">
      <c r="A858" s="18">
        <v>46514.0</v>
      </c>
      <c r="B858" s="1" t="s">
        <v>60</v>
      </c>
      <c r="C858" s="1" t="s">
        <v>60</v>
      </c>
    </row>
    <row r="859">
      <c r="A859" s="18">
        <v>46515.0</v>
      </c>
      <c r="B859" s="1" t="s">
        <v>60</v>
      </c>
      <c r="C859" s="1" t="s">
        <v>60</v>
      </c>
    </row>
    <row r="860">
      <c r="A860" s="18">
        <v>46516.0</v>
      </c>
      <c r="B860" s="1" t="s">
        <v>60</v>
      </c>
      <c r="C860" s="1" t="s">
        <v>60</v>
      </c>
    </row>
    <row r="861">
      <c r="A861" s="18">
        <v>46517.0</v>
      </c>
      <c r="B861" s="1" t="s">
        <v>60</v>
      </c>
      <c r="C861" s="1" t="s">
        <v>60</v>
      </c>
    </row>
    <row r="862">
      <c r="A862" s="18">
        <v>46518.0</v>
      </c>
      <c r="B862" s="1" t="s">
        <v>60</v>
      </c>
      <c r="C862" s="1" t="s">
        <v>60</v>
      </c>
    </row>
    <row r="863">
      <c r="A863" s="18">
        <v>46519.0</v>
      </c>
      <c r="B863" s="1" t="s">
        <v>60</v>
      </c>
      <c r="C863" s="1" t="s">
        <v>60</v>
      </c>
    </row>
    <row r="864">
      <c r="A864" s="18">
        <v>46520.0</v>
      </c>
      <c r="B864" s="1" t="s">
        <v>929</v>
      </c>
      <c r="C864" s="4">
        <v>0.5305555555555556</v>
      </c>
    </row>
    <row r="865">
      <c r="A865" s="18">
        <v>46521.0</v>
      </c>
      <c r="B865" s="1" t="s">
        <v>60</v>
      </c>
      <c r="C865" s="1" t="s">
        <v>60</v>
      </c>
    </row>
    <row r="866">
      <c r="A866" s="18">
        <v>46522.0</v>
      </c>
      <c r="B866" s="1" t="s">
        <v>60</v>
      </c>
      <c r="C866" s="1" t="s">
        <v>60</v>
      </c>
    </row>
    <row r="867">
      <c r="A867" s="18">
        <v>46523.0</v>
      </c>
      <c r="B867" s="1" t="s">
        <v>60</v>
      </c>
      <c r="C867" s="1" t="s">
        <v>60</v>
      </c>
    </row>
    <row r="868">
      <c r="A868" s="18">
        <v>46524.0</v>
      </c>
      <c r="B868" s="1" t="s">
        <v>60</v>
      </c>
      <c r="C868" s="1" t="s">
        <v>60</v>
      </c>
    </row>
    <row r="869">
      <c r="A869" s="18">
        <v>46525.0</v>
      </c>
      <c r="B869" s="1" t="s">
        <v>60</v>
      </c>
      <c r="C869" s="1" t="s">
        <v>60</v>
      </c>
    </row>
    <row r="870">
      <c r="A870" s="18">
        <v>46526.0</v>
      </c>
      <c r="B870" s="1" t="s">
        <v>60</v>
      </c>
      <c r="C870" s="1" t="s">
        <v>60</v>
      </c>
    </row>
    <row r="871">
      <c r="A871" s="18">
        <v>46527.0</v>
      </c>
      <c r="B871" s="1" t="s">
        <v>930</v>
      </c>
      <c r="C871" s="4">
        <v>0.7909722222222222</v>
      </c>
    </row>
    <row r="872">
      <c r="A872" s="18">
        <v>46528.0</v>
      </c>
      <c r="B872" s="1" t="s">
        <v>60</v>
      </c>
      <c r="C872" s="1" t="s">
        <v>60</v>
      </c>
    </row>
    <row r="873">
      <c r="A873" s="18">
        <v>46529.0</v>
      </c>
      <c r="B873" s="1" t="s">
        <v>60</v>
      </c>
      <c r="C873" s="1" t="s">
        <v>60</v>
      </c>
    </row>
    <row r="874">
      <c r="A874" s="18">
        <v>46530.0</v>
      </c>
      <c r="B874" s="1" t="s">
        <v>60</v>
      </c>
      <c r="C874" s="1" t="s">
        <v>60</v>
      </c>
    </row>
    <row r="875">
      <c r="A875" s="18">
        <v>46531.0</v>
      </c>
      <c r="B875" s="1" t="s">
        <v>60</v>
      </c>
      <c r="C875" s="1" t="s">
        <v>60</v>
      </c>
    </row>
    <row r="876">
      <c r="A876" s="18">
        <v>46532.0</v>
      </c>
      <c r="B876" s="1" t="s">
        <v>60</v>
      </c>
      <c r="C876" s="1" t="s">
        <v>60</v>
      </c>
    </row>
    <row r="877">
      <c r="A877" s="18">
        <v>46533.0</v>
      </c>
      <c r="B877" s="1" t="s">
        <v>60</v>
      </c>
      <c r="C877" s="1" t="s">
        <v>60</v>
      </c>
    </row>
    <row r="878">
      <c r="A878" s="18">
        <v>46534.0</v>
      </c>
      <c r="B878" s="1" t="s">
        <v>60</v>
      </c>
      <c r="C878" s="1" t="s">
        <v>60</v>
      </c>
    </row>
    <row r="879">
      <c r="A879" s="18">
        <v>46535.0</v>
      </c>
      <c r="B879" s="1" t="s">
        <v>931</v>
      </c>
      <c r="C879" s="4">
        <v>0.9152777777777777</v>
      </c>
    </row>
    <row r="880">
      <c r="A880" s="18">
        <v>46536.0</v>
      </c>
      <c r="B880" s="1" t="s">
        <v>60</v>
      </c>
      <c r="C880" s="1" t="s">
        <v>60</v>
      </c>
    </row>
    <row r="881">
      <c r="A881" s="18">
        <v>46537.0</v>
      </c>
      <c r="B881" s="1" t="s">
        <v>60</v>
      </c>
      <c r="C881" s="1" t="s">
        <v>60</v>
      </c>
    </row>
    <row r="882">
      <c r="A882" s="18">
        <v>46538.0</v>
      </c>
      <c r="B882" s="1" t="s">
        <v>60</v>
      </c>
      <c r="C882" s="1" t="s">
        <v>60</v>
      </c>
    </row>
    <row r="883">
      <c r="A883" s="18">
        <v>46539.0</v>
      </c>
      <c r="B883" s="1" t="s">
        <v>60</v>
      </c>
      <c r="C883" s="1" t="s">
        <v>60</v>
      </c>
    </row>
    <row r="884">
      <c r="A884" s="18">
        <v>46540.0</v>
      </c>
      <c r="B884" s="1" t="s">
        <v>60</v>
      </c>
      <c r="C884" s="1" t="s">
        <v>60</v>
      </c>
    </row>
    <row r="885">
      <c r="A885" s="18">
        <v>46541.0</v>
      </c>
      <c r="B885" s="1" t="s">
        <v>60</v>
      </c>
      <c r="C885" s="1" t="s">
        <v>60</v>
      </c>
    </row>
    <row r="886">
      <c r="A886" s="18">
        <v>46542.0</v>
      </c>
      <c r="B886" s="1" t="s">
        <v>60</v>
      </c>
      <c r="C886" s="1" t="s">
        <v>60</v>
      </c>
    </row>
    <row r="887">
      <c r="A887" s="18">
        <v>46543.0</v>
      </c>
      <c r="B887" s="1" t="s">
        <v>932</v>
      </c>
      <c r="C887" s="4">
        <v>0.1527777777777778</v>
      </c>
    </row>
    <row r="888">
      <c r="A888" s="18">
        <v>46544.0</v>
      </c>
      <c r="B888" s="1" t="s">
        <v>60</v>
      </c>
      <c r="C888" s="1" t="s">
        <v>60</v>
      </c>
    </row>
    <row r="889">
      <c r="A889" s="18">
        <v>46545.0</v>
      </c>
      <c r="B889" s="1" t="s">
        <v>60</v>
      </c>
      <c r="C889" s="1" t="s">
        <v>60</v>
      </c>
    </row>
    <row r="890">
      <c r="A890" s="18">
        <v>46546.0</v>
      </c>
      <c r="B890" s="1" t="s">
        <v>60</v>
      </c>
      <c r="C890" s="1" t="s">
        <v>60</v>
      </c>
    </row>
    <row r="891">
      <c r="A891" s="18">
        <v>46547.0</v>
      </c>
      <c r="B891" s="1" t="s">
        <v>60</v>
      </c>
      <c r="C891" s="1" t="s">
        <v>60</v>
      </c>
    </row>
    <row r="892">
      <c r="A892" s="18">
        <v>46548.0</v>
      </c>
      <c r="B892" s="1" t="s">
        <v>60</v>
      </c>
      <c r="C892" s="1" t="s">
        <v>60</v>
      </c>
    </row>
    <row r="893">
      <c r="A893" s="18">
        <v>46549.0</v>
      </c>
      <c r="B893" s="1" t="s">
        <v>929</v>
      </c>
      <c r="C893" s="4">
        <v>0.7888888888888889</v>
      </c>
    </row>
    <row r="894">
      <c r="A894" s="18">
        <v>46550.0</v>
      </c>
      <c r="B894" s="1" t="s">
        <v>60</v>
      </c>
      <c r="C894" s="1" t="s">
        <v>60</v>
      </c>
    </row>
    <row r="895">
      <c r="A895" s="18">
        <v>46551.0</v>
      </c>
      <c r="B895" s="1" t="s">
        <v>60</v>
      </c>
      <c r="C895" s="1" t="s">
        <v>60</v>
      </c>
    </row>
    <row r="896">
      <c r="A896" s="18">
        <v>46552.0</v>
      </c>
      <c r="B896" s="1" t="s">
        <v>60</v>
      </c>
      <c r="C896" s="1" t="s">
        <v>60</v>
      </c>
    </row>
    <row r="897">
      <c r="A897" s="18">
        <v>46553.0</v>
      </c>
      <c r="B897" s="1" t="s">
        <v>60</v>
      </c>
      <c r="C897" s="1" t="s">
        <v>60</v>
      </c>
    </row>
    <row r="898">
      <c r="A898" s="18">
        <v>46554.0</v>
      </c>
      <c r="B898" s="1" t="s">
        <v>60</v>
      </c>
      <c r="C898" s="1" t="s">
        <v>60</v>
      </c>
    </row>
    <row r="899">
      <c r="A899" s="18">
        <v>46555.0</v>
      </c>
      <c r="B899" s="1" t="s">
        <v>60</v>
      </c>
      <c r="C899" s="1" t="s">
        <v>60</v>
      </c>
    </row>
    <row r="900">
      <c r="A900" s="18">
        <v>46556.0</v>
      </c>
      <c r="B900" s="1" t="s">
        <v>60</v>
      </c>
      <c r="C900" s="1" t="s">
        <v>60</v>
      </c>
    </row>
    <row r="901">
      <c r="A901" s="18">
        <v>46557.0</v>
      </c>
      <c r="B901" s="1" t="s">
        <v>930</v>
      </c>
      <c r="C901" s="4">
        <v>0.3638888888888889</v>
      </c>
    </row>
    <row r="902">
      <c r="A902" s="18">
        <v>46558.0</v>
      </c>
      <c r="B902" s="1" t="s">
        <v>60</v>
      </c>
      <c r="C902" s="1" t="s">
        <v>60</v>
      </c>
    </row>
    <row r="903">
      <c r="A903" s="18">
        <v>46559.0</v>
      </c>
      <c r="B903" s="1" t="s">
        <v>60</v>
      </c>
      <c r="C903" s="1" t="s">
        <v>60</v>
      </c>
    </row>
    <row r="904">
      <c r="A904" s="18">
        <v>46560.0</v>
      </c>
      <c r="B904" s="1" t="s">
        <v>60</v>
      </c>
      <c r="C904" s="1" t="s">
        <v>60</v>
      </c>
    </row>
    <row r="905">
      <c r="A905" s="18">
        <v>46561.0</v>
      </c>
      <c r="B905" s="1" t="s">
        <v>60</v>
      </c>
      <c r="C905" s="1" t="s">
        <v>60</v>
      </c>
    </row>
    <row r="906">
      <c r="A906" s="18">
        <v>46562.0</v>
      </c>
      <c r="B906" s="1" t="s">
        <v>60</v>
      </c>
      <c r="C906" s="1" t="s">
        <v>60</v>
      </c>
    </row>
    <row r="907">
      <c r="A907" s="18">
        <v>46563.0</v>
      </c>
      <c r="B907" s="1" t="s">
        <v>60</v>
      </c>
      <c r="C907" s="1" t="s">
        <v>60</v>
      </c>
    </row>
    <row r="908">
      <c r="A908" s="18">
        <v>46564.0</v>
      </c>
      <c r="B908" s="1" t="s">
        <v>60</v>
      </c>
      <c r="C908" s="1" t="s">
        <v>60</v>
      </c>
    </row>
    <row r="909">
      <c r="A909" s="18">
        <v>46565.0</v>
      </c>
      <c r="B909" s="1" t="s">
        <v>931</v>
      </c>
      <c r="C909" s="4">
        <v>0.5375</v>
      </c>
    </row>
    <row r="910">
      <c r="A910" s="18">
        <v>46566.0</v>
      </c>
      <c r="B910" s="1" t="s">
        <v>60</v>
      </c>
      <c r="C910" s="1" t="s">
        <v>60</v>
      </c>
    </row>
    <row r="911">
      <c r="A911" s="18">
        <v>46567.0</v>
      </c>
      <c r="B911" s="1" t="s">
        <v>60</v>
      </c>
      <c r="C911" s="1" t="s">
        <v>60</v>
      </c>
    </row>
    <row r="912">
      <c r="A912" s="18">
        <v>46568.0</v>
      </c>
      <c r="B912" s="1" t="s">
        <v>60</v>
      </c>
      <c r="C912" s="1" t="s">
        <v>60</v>
      </c>
    </row>
    <row r="913">
      <c r="A913" s="18">
        <v>46569.0</v>
      </c>
      <c r="B913" s="1" t="s">
        <v>60</v>
      </c>
      <c r="C913" s="1" t="s">
        <v>60</v>
      </c>
    </row>
    <row r="914">
      <c r="A914" s="18">
        <v>46570.0</v>
      </c>
      <c r="B914" s="1" t="s">
        <v>60</v>
      </c>
      <c r="C914" s="1" t="s">
        <v>60</v>
      </c>
    </row>
    <row r="915">
      <c r="A915" s="18">
        <v>46571.0</v>
      </c>
      <c r="B915" s="1" t="s">
        <v>60</v>
      </c>
      <c r="C915" s="1" t="s">
        <v>60</v>
      </c>
    </row>
    <row r="916">
      <c r="A916" s="18">
        <v>46572.0</v>
      </c>
      <c r="B916" s="1" t="s">
        <v>932</v>
      </c>
      <c r="C916" s="4">
        <v>0.4597222222222222</v>
      </c>
    </row>
    <row r="917">
      <c r="A917" s="18">
        <v>46573.0</v>
      </c>
      <c r="B917" s="1" t="s">
        <v>60</v>
      </c>
      <c r="C917" s="1" t="s">
        <v>60</v>
      </c>
    </row>
    <row r="918">
      <c r="A918" s="18">
        <v>46574.0</v>
      </c>
      <c r="B918" s="1" t="s">
        <v>60</v>
      </c>
      <c r="C918" s="1" t="s">
        <v>60</v>
      </c>
    </row>
    <row r="919">
      <c r="A919" s="18">
        <v>46575.0</v>
      </c>
      <c r="B919" s="1" t="s">
        <v>60</v>
      </c>
      <c r="C919" s="1" t="s">
        <v>60</v>
      </c>
    </row>
    <row r="920">
      <c r="A920" s="18">
        <v>46576.0</v>
      </c>
      <c r="B920" s="1" t="s">
        <v>60</v>
      </c>
      <c r="C920" s="1" t="s">
        <v>60</v>
      </c>
    </row>
    <row r="921">
      <c r="A921" s="18">
        <v>46577.0</v>
      </c>
      <c r="B921" s="1" t="s">
        <v>60</v>
      </c>
      <c r="C921" s="1" t="s">
        <v>60</v>
      </c>
    </row>
    <row r="922">
      <c r="A922" s="18">
        <v>46578.0</v>
      </c>
      <c r="B922" s="1" t="s">
        <v>60</v>
      </c>
      <c r="C922" s="1" t="s">
        <v>60</v>
      </c>
    </row>
    <row r="923">
      <c r="A923" s="18">
        <v>46579.0</v>
      </c>
      <c r="B923" s="1" t="s">
        <v>929</v>
      </c>
      <c r="C923" s="4">
        <v>0.11041666666666666</v>
      </c>
    </row>
    <row r="924">
      <c r="A924" s="18">
        <v>46580.0</v>
      </c>
      <c r="B924" s="1" t="s">
        <v>60</v>
      </c>
      <c r="C924" s="1" t="s">
        <v>60</v>
      </c>
    </row>
    <row r="925">
      <c r="A925" s="18">
        <v>46581.0</v>
      </c>
      <c r="B925" s="1" t="s">
        <v>60</v>
      </c>
      <c r="C925" s="1" t="s">
        <v>60</v>
      </c>
    </row>
    <row r="926">
      <c r="A926" s="18">
        <v>46582.0</v>
      </c>
      <c r="B926" s="1" t="s">
        <v>60</v>
      </c>
      <c r="C926" s="1" t="s">
        <v>60</v>
      </c>
    </row>
    <row r="927">
      <c r="A927" s="18">
        <v>46583.0</v>
      </c>
      <c r="B927" s="1" t="s">
        <v>60</v>
      </c>
      <c r="C927" s="1" t="s">
        <v>60</v>
      </c>
    </row>
    <row r="928">
      <c r="A928" s="18">
        <v>46584.0</v>
      </c>
      <c r="B928" s="1" t="s">
        <v>60</v>
      </c>
      <c r="C928" s="1" t="s">
        <v>60</v>
      </c>
    </row>
    <row r="929">
      <c r="A929" s="18">
        <v>46585.0</v>
      </c>
      <c r="B929" s="1" t="s">
        <v>60</v>
      </c>
      <c r="C929" s="1" t="s">
        <v>60</v>
      </c>
    </row>
    <row r="930">
      <c r="A930" s="18">
        <v>46586.0</v>
      </c>
      <c r="B930" s="1" t="s">
        <v>930</v>
      </c>
      <c r="C930" s="4">
        <v>0.9895833333333334</v>
      </c>
    </row>
    <row r="931">
      <c r="A931" s="18">
        <v>46587.0</v>
      </c>
      <c r="B931" s="1" t="s">
        <v>60</v>
      </c>
      <c r="C931" s="1" t="s">
        <v>60</v>
      </c>
    </row>
    <row r="932">
      <c r="A932" s="18">
        <v>46588.0</v>
      </c>
      <c r="B932" s="1" t="s">
        <v>60</v>
      </c>
      <c r="C932" s="1" t="s">
        <v>60</v>
      </c>
    </row>
    <row r="933">
      <c r="A933" s="18">
        <v>46589.0</v>
      </c>
      <c r="B933" s="1" t="s">
        <v>60</v>
      </c>
      <c r="C933" s="1" t="s">
        <v>60</v>
      </c>
    </row>
    <row r="934">
      <c r="A934" s="18">
        <v>46590.0</v>
      </c>
      <c r="B934" s="1" t="s">
        <v>60</v>
      </c>
      <c r="C934" s="1" t="s">
        <v>60</v>
      </c>
    </row>
    <row r="935">
      <c r="A935" s="18">
        <v>46591.0</v>
      </c>
      <c r="B935" s="1" t="s">
        <v>60</v>
      </c>
      <c r="C935" s="1" t="s">
        <v>60</v>
      </c>
    </row>
    <row r="936">
      <c r="A936" s="18">
        <v>46592.0</v>
      </c>
      <c r="B936" s="1" t="s">
        <v>60</v>
      </c>
      <c r="C936" s="1" t="s">
        <v>60</v>
      </c>
    </row>
    <row r="937">
      <c r="A937" s="18">
        <v>46593.0</v>
      </c>
      <c r="B937" s="1" t="s">
        <v>60</v>
      </c>
      <c r="C937" s="1" t="s">
        <v>60</v>
      </c>
    </row>
    <row r="938">
      <c r="A938" s="18">
        <v>46594.0</v>
      </c>
      <c r="B938" s="1" t="s">
        <v>60</v>
      </c>
      <c r="C938" s="1" t="s">
        <v>60</v>
      </c>
    </row>
    <row r="939">
      <c r="A939" s="18">
        <v>46595.0</v>
      </c>
      <c r="B939" s="1" t="s">
        <v>931</v>
      </c>
      <c r="C939" s="4">
        <v>0.03819444444444445</v>
      </c>
    </row>
    <row r="940">
      <c r="A940" s="18">
        <v>46596.0</v>
      </c>
      <c r="B940" s="1" t="s">
        <v>60</v>
      </c>
      <c r="C940" s="1" t="s">
        <v>60</v>
      </c>
    </row>
    <row r="941">
      <c r="A941" s="18">
        <v>46597.0</v>
      </c>
      <c r="B941" s="1" t="s">
        <v>60</v>
      </c>
      <c r="C941" s="1" t="s">
        <v>60</v>
      </c>
    </row>
    <row r="942">
      <c r="A942" s="18">
        <v>46598.0</v>
      </c>
      <c r="B942" s="1" t="s">
        <v>60</v>
      </c>
      <c r="C942" s="1" t="s">
        <v>60</v>
      </c>
    </row>
    <row r="943">
      <c r="A943" s="18">
        <v>46599.0</v>
      </c>
      <c r="B943" s="1" t="s">
        <v>60</v>
      </c>
      <c r="C943" s="1" t="s">
        <v>60</v>
      </c>
    </row>
    <row r="944">
      <c r="A944" s="18">
        <v>46600.0</v>
      </c>
      <c r="B944" s="1" t="s">
        <v>60</v>
      </c>
      <c r="C944" s="1" t="s">
        <v>60</v>
      </c>
    </row>
    <row r="945">
      <c r="A945" s="18">
        <v>46601.0</v>
      </c>
      <c r="B945" s="1" t="s">
        <v>932</v>
      </c>
      <c r="C945" s="4">
        <v>0.7534722222222222</v>
      </c>
    </row>
    <row r="946">
      <c r="A946" s="18">
        <v>46602.0</v>
      </c>
      <c r="B946" s="1" t="s">
        <v>60</v>
      </c>
      <c r="C946" s="1" t="s">
        <v>60</v>
      </c>
    </row>
    <row r="947">
      <c r="A947" s="18">
        <v>46603.0</v>
      </c>
      <c r="B947" s="1" t="s">
        <v>60</v>
      </c>
      <c r="C947" s="1" t="s">
        <v>60</v>
      </c>
    </row>
    <row r="948">
      <c r="A948" s="18">
        <v>46604.0</v>
      </c>
      <c r="B948" s="1" t="s">
        <v>60</v>
      </c>
      <c r="C948" s="1" t="s">
        <v>60</v>
      </c>
    </row>
    <row r="949">
      <c r="A949" s="18">
        <v>46605.0</v>
      </c>
      <c r="B949" s="1" t="s">
        <v>60</v>
      </c>
      <c r="C949" s="1" t="s">
        <v>60</v>
      </c>
    </row>
    <row r="950">
      <c r="A950" s="18">
        <v>46606.0</v>
      </c>
      <c r="B950" s="1" t="s">
        <v>60</v>
      </c>
      <c r="C950" s="1" t="s">
        <v>60</v>
      </c>
    </row>
    <row r="951">
      <c r="A951" s="18">
        <v>46607.0</v>
      </c>
      <c r="B951" s="1" t="s">
        <v>60</v>
      </c>
      <c r="C951" s="1" t="s">
        <v>60</v>
      </c>
    </row>
    <row r="952">
      <c r="A952" s="18">
        <v>46608.0</v>
      </c>
      <c r="B952" s="1" t="s">
        <v>929</v>
      </c>
      <c r="C952" s="4">
        <v>0.5375</v>
      </c>
    </row>
    <row r="953">
      <c r="A953" s="18">
        <v>46609.0</v>
      </c>
      <c r="B953" s="1" t="s">
        <v>60</v>
      </c>
      <c r="C953" s="1" t="s">
        <v>60</v>
      </c>
    </row>
    <row r="954">
      <c r="A954" s="18">
        <v>46610.0</v>
      </c>
      <c r="B954" s="1" t="s">
        <v>60</v>
      </c>
      <c r="C954" s="1" t="s">
        <v>60</v>
      </c>
    </row>
    <row r="955">
      <c r="A955" s="18">
        <v>46611.0</v>
      </c>
      <c r="B955" s="1" t="s">
        <v>60</v>
      </c>
      <c r="C955" s="1" t="s">
        <v>60</v>
      </c>
    </row>
    <row r="956">
      <c r="A956" s="18">
        <v>46612.0</v>
      </c>
      <c r="B956" s="1" t="s">
        <v>60</v>
      </c>
      <c r="C956" s="1" t="s">
        <v>60</v>
      </c>
    </row>
    <row r="957">
      <c r="A957" s="18">
        <v>46613.0</v>
      </c>
      <c r="B957" s="1" t="s">
        <v>60</v>
      </c>
      <c r="C957" s="1" t="s">
        <v>60</v>
      </c>
    </row>
    <row r="958">
      <c r="A958" s="18">
        <v>46614.0</v>
      </c>
      <c r="B958" s="1" t="s">
        <v>60</v>
      </c>
      <c r="C958" s="1" t="s">
        <v>60</v>
      </c>
    </row>
    <row r="959">
      <c r="A959" s="18">
        <v>46615.0</v>
      </c>
      <c r="B959" s="1" t="s">
        <v>60</v>
      </c>
      <c r="C959" s="1" t="s">
        <v>60</v>
      </c>
    </row>
    <row r="960">
      <c r="A960" s="18">
        <v>46616.0</v>
      </c>
      <c r="B960" s="1" t="s">
        <v>930</v>
      </c>
      <c r="C960" s="4">
        <v>0.6451388888888889</v>
      </c>
    </row>
    <row r="961">
      <c r="A961" s="18">
        <v>46617.0</v>
      </c>
      <c r="B961" s="1" t="s">
        <v>60</v>
      </c>
      <c r="C961" s="1" t="s">
        <v>60</v>
      </c>
    </row>
    <row r="962">
      <c r="A962" s="18">
        <v>46618.0</v>
      </c>
      <c r="B962" s="1" t="s">
        <v>60</v>
      </c>
      <c r="C962" s="1" t="s">
        <v>60</v>
      </c>
    </row>
    <row r="963">
      <c r="A963" s="18">
        <v>46619.0</v>
      </c>
      <c r="B963" s="1" t="s">
        <v>60</v>
      </c>
      <c r="C963" s="1" t="s">
        <v>60</v>
      </c>
    </row>
    <row r="964">
      <c r="A964" s="18">
        <v>46620.0</v>
      </c>
      <c r="B964" s="1" t="s">
        <v>60</v>
      </c>
      <c r="C964" s="1" t="s">
        <v>60</v>
      </c>
    </row>
    <row r="965">
      <c r="A965" s="18">
        <v>46621.0</v>
      </c>
      <c r="B965" s="1" t="s">
        <v>60</v>
      </c>
      <c r="C965" s="1" t="s">
        <v>60</v>
      </c>
    </row>
    <row r="966">
      <c r="A966" s="18">
        <v>46622.0</v>
      </c>
      <c r="B966" s="1" t="s">
        <v>60</v>
      </c>
      <c r="C966" s="1" t="s">
        <v>60</v>
      </c>
    </row>
    <row r="967">
      <c r="A967" s="18">
        <v>46623.0</v>
      </c>
      <c r="B967" s="1" t="s">
        <v>60</v>
      </c>
      <c r="C967" s="1" t="s">
        <v>60</v>
      </c>
    </row>
    <row r="968">
      <c r="A968" s="18">
        <v>46624.0</v>
      </c>
      <c r="B968" s="1" t="s">
        <v>931</v>
      </c>
      <c r="C968" s="4">
        <v>0.4354166666666667</v>
      </c>
    </row>
    <row r="969">
      <c r="A969" s="18">
        <v>46625.0</v>
      </c>
      <c r="B969" s="1" t="s">
        <v>60</v>
      </c>
      <c r="C969" s="1" t="s">
        <v>60</v>
      </c>
    </row>
    <row r="970">
      <c r="A970" s="18">
        <v>46626.0</v>
      </c>
      <c r="B970" s="1" t="s">
        <v>60</v>
      </c>
      <c r="C970" s="1" t="s">
        <v>60</v>
      </c>
    </row>
    <row r="971">
      <c r="A971" s="18">
        <v>46627.0</v>
      </c>
      <c r="B971" s="1" t="s">
        <v>60</v>
      </c>
      <c r="C971" s="1" t="s">
        <v>60</v>
      </c>
    </row>
    <row r="972">
      <c r="A972" s="18">
        <v>46628.0</v>
      </c>
      <c r="B972" s="1" t="s">
        <v>60</v>
      </c>
      <c r="C972" s="1" t="s">
        <v>60</v>
      </c>
    </row>
    <row r="973">
      <c r="A973" s="18">
        <v>46629.0</v>
      </c>
      <c r="B973" s="1" t="s">
        <v>60</v>
      </c>
      <c r="C973" s="1" t="s">
        <v>60</v>
      </c>
    </row>
    <row r="974">
      <c r="A974" s="18">
        <v>46630.0</v>
      </c>
      <c r="B974" s="1" t="s">
        <v>60</v>
      </c>
      <c r="C974" s="1" t="s">
        <v>60</v>
      </c>
    </row>
    <row r="975">
      <c r="A975" s="18">
        <v>46631.0</v>
      </c>
      <c r="B975" s="1" t="s">
        <v>932</v>
      </c>
      <c r="C975" s="4">
        <v>0.07013888888888889</v>
      </c>
    </row>
    <row r="976">
      <c r="A976" s="18">
        <v>46632.0</v>
      </c>
      <c r="B976" s="1" t="s">
        <v>60</v>
      </c>
      <c r="C976" s="1" t="s">
        <v>60</v>
      </c>
    </row>
    <row r="977">
      <c r="A977" s="18">
        <v>46633.0</v>
      </c>
      <c r="B977" s="1" t="s">
        <v>60</v>
      </c>
      <c r="C977" s="1" t="s">
        <v>60</v>
      </c>
    </row>
    <row r="978">
      <c r="A978" s="18">
        <v>46634.0</v>
      </c>
      <c r="B978" s="1" t="s">
        <v>60</v>
      </c>
      <c r="C978" s="1" t="s">
        <v>60</v>
      </c>
    </row>
    <row r="979">
      <c r="A979" s="18">
        <v>46635.0</v>
      </c>
      <c r="B979" s="1" t="s">
        <v>60</v>
      </c>
      <c r="C979" s="1" t="s">
        <v>60</v>
      </c>
    </row>
    <row r="980">
      <c r="A980" s="18">
        <v>46636.0</v>
      </c>
      <c r="B980" s="1" t="s">
        <v>60</v>
      </c>
      <c r="C980" s="1" t="s">
        <v>60</v>
      </c>
    </row>
    <row r="981">
      <c r="A981" s="18">
        <v>46637.0</v>
      </c>
      <c r="B981" s="1" t="s">
        <v>60</v>
      </c>
      <c r="C981" s="1" t="s">
        <v>60</v>
      </c>
    </row>
    <row r="982">
      <c r="A982" s="18">
        <v>46638.0</v>
      </c>
      <c r="B982" s="1" t="s">
        <v>929</v>
      </c>
      <c r="C982" s="4">
        <v>0.10486111111111111</v>
      </c>
    </row>
    <row r="983">
      <c r="A983" s="18">
        <v>46639.0</v>
      </c>
      <c r="B983" s="1" t="s">
        <v>60</v>
      </c>
      <c r="C983" s="1" t="s">
        <v>60</v>
      </c>
    </row>
    <row r="984">
      <c r="A984" s="18">
        <v>46640.0</v>
      </c>
      <c r="B984" s="1" t="s">
        <v>60</v>
      </c>
      <c r="C984" s="1" t="s">
        <v>60</v>
      </c>
    </row>
    <row r="985">
      <c r="A985" s="18">
        <v>46641.0</v>
      </c>
      <c r="B985" s="1" t="s">
        <v>60</v>
      </c>
      <c r="C985" s="1" t="s">
        <v>60</v>
      </c>
    </row>
    <row r="986">
      <c r="A986" s="18">
        <v>46642.0</v>
      </c>
      <c r="B986" s="1" t="s">
        <v>60</v>
      </c>
      <c r="C986" s="1" t="s">
        <v>60</v>
      </c>
    </row>
    <row r="987">
      <c r="A987" s="18">
        <v>46643.0</v>
      </c>
      <c r="B987" s="1" t="s">
        <v>60</v>
      </c>
      <c r="C987" s="1" t="s">
        <v>60</v>
      </c>
    </row>
    <row r="988">
      <c r="A988" s="18">
        <v>46644.0</v>
      </c>
      <c r="B988" s="1" t="s">
        <v>60</v>
      </c>
      <c r="C988" s="1" t="s">
        <v>60</v>
      </c>
    </row>
    <row r="989">
      <c r="A989" s="18">
        <v>46645.0</v>
      </c>
      <c r="B989" s="1" t="s">
        <v>60</v>
      </c>
      <c r="C989" s="1" t="s">
        <v>60</v>
      </c>
    </row>
    <row r="990">
      <c r="A990" s="18">
        <v>46646.0</v>
      </c>
      <c r="B990" s="1" t="s">
        <v>930</v>
      </c>
      <c r="C990" s="4">
        <v>0.29375</v>
      </c>
    </row>
    <row r="991">
      <c r="A991" s="18">
        <v>46647.0</v>
      </c>
      <c r="B991" s="1" t="s">
        <v>60</v>
      </c>
      <c r="C991" s="1" t="s">
        <v>60</v>
      </c>
    </row>
    <row r="992">
      <c r="A992" s="18">
        <v>46648.0</v>
      </c>
      <c r="B992" s="1" t="s">
        <v>60</v>
      </c>
      <c r="C992" s="1" t="s">
        <v>60</v>
      </c>
    </row>
    <row r="993">
      <c r="A993" s="18">
        <v>46649.0</v>
      </c>
      <c r="B993" s="1" t="s">
        <v>60</v>
      </c>
      <c r="C993" s="1" t="s">
        <v>60</v>
      </c>
    </row>
    <row r="994">
      <c r="A994" s="18">
        <v>46650.0</v>
      </c>
      <c r="B994" s="1" t="s">
        <v>60</v>
      </c>
      <c r="C994" s="1" t="s">
        <v>60</v>
      </c>
    </row>
    <row r="995">
      <c r="A995" s="18">
        <v>46651.0</v>
      </c>
      <c r="B995" s="1" t="s">
        <v>60</v>
      </c>
      <c r="C995" s="1" t="s">
        <v>60</v>
      </c>
    </row>
    <row r="996">
      <c r="A996" s="18">
        <v>46652.0</v>
      </c>
      <c r="B996" s="1" t="s">
        <v>60</v>
      </c>
      <c r="C996" s="1" t="s">
        <v>60</v>
      </c>
    </row>
    <row r="997">
      <c r="A997" s="18">
        <v>46653.0</v>
      </c>
      <c r="B997" s="1" t="s">
        <v>931</v>
      </c>
      <c r="C997" s="4">
        <v>0.7638888888888888</v>
      </c>
    </row>
    <row r="998">
      <c r="A998" s="18">
        <v>46654.0</v>
      </c>
      <c r="B998" s="1" t="s">
        <v>60</v>
      </c>
      <c r="C998" s="1" t="s">
        <v>60</v>
      </c>
    </row>
    <row r="999">
      <c r="A999" s="18">
        <v>46655.0</v>
      </c>
      <c r="B999" s="1" t="s">
        <v>60</v>
      </c>
      <c r="C999" s="1" t="s">
        <v>60</v>
      </c>
    </row>
    <row r="1000">
      <c r="A1000" s="18">
        <v>46656.0</v>
      </c>
      <c r="B1000" s="1" t="s">
        <v>60</v>
      </c>
      <c r="C1000" s="1" t="s">
        <v>60</v>
      </c>
    </row>
    <row r="1001">
      <c r="A1001" s="18">
        <v>46657.0</v>
      </c>
      <c r="B1001" s="1" t="s">
        <v>60</v>
      </c>
      <c r="C1001" s="1" t="s">
        <v>60</v>
      </c>
    </row>
    <row r="1002">
      <c r="A1002" s="18">
        <v>46658.0</v>
      </c>
      <c r="B1002" s="1" t="s">
        <v>60</v>
      </c>
      <c r="C1002" s="1" t="s">
        <v>60</v>
      </c>
    </row>
    <row r="1003">
      <c r="A1003" s="18">
        <v>46659.0</v>
      </c>
      <c r="B1003" s="1" t="s">
        <v>60</v>
      </c>
      <c r="C1003" s="1" t="s">
        <v>60</v>
      </c>
    </row>
    <row r="1004">
      <c r="A1004" s="18">
        <v>46660.0</v>
      </c>
      <c r="B1004" s="1" t="s">
        <v>932</v>
      </c>
      <c r="C1004" s="4">
        <v>0.44166666666666665</v>
      </c>
    </row>
    <row r="1005">
      <c r="A1005" s="18">
        <v>46661.0</v>
      </c>
      <c r="B1005" s="1" t="s">
        <v>60</v>
      </c>
      <c r="C1005" s="1" t="s">
        <v>60</v>
      </c>
    </row>
    <row r="1006">
      <c r="A1006" s="18">
        <v>46662.0</v>
      </c>
      <c r="B1006" s="1" t="s">
        <v>60</v>
      </c>
      <c r="C1006" s="1" t="s">
        <v>60</v>
      </c>
    </row>
    <row r="1007">
      <c r="A1007" s="18">
        <v>46663.0</v>
      </c>
      <c r="B1007" s="1" t="s">
        <v>60</v>
      </c>
      <c r="C1007" s="1" t="s">
        <v>60</v>
      </c>
    </row>
    <row r="1008">
      <c r="A1008" s="18">
        <v>46664.0</v>
      </c>
      <c r="B1008" s="1" t="s">
        <v>60</v>
      </c>
      <c r="C1008" s="1" t="s">
        <v>60</v>
      </c>
    </row>
    <row r="1009">
      <c r="A1009" s="18">
        <v>46665.0</v>
      </c>
      <c r="B1009" s="1" t="s">
        <v>60</v>
      </c>
      <c r="C1009" s="1" t="s">
        <v>60</v>
      </c>
    </row>
    <row r="1010">
      <c r="A1010" s="18">
        <v>46666.0</v>
      </c>
      <c r="B1010" s="1" t="s">
        <v>60</v>
      </c>
      <c r="C1010" s="1" t="s">
        <v>60</v>
      </c>
    </row>
    <row r="1011">
      <c r="A1011" s="18">
        <v>46667.0</v>
      </c>
      <c r="B1011" s="1" t="s">
        <v>929</v>
      </c>
      <c r="C1011" s="4">
        <v>0.8243055555555555</v>
      </c>
    </row>
    <row r="1012">
      <c r="A1012" s="18">
        <v>46668.0</v>
      </c>
      <c r="B1012" s="1" t="s">
        <v>60</v>
      </c>
      <c r="C1012" s="1" t="s">
        <v>60</v>
      </c>
    </row>
    <row r="1013">
      <c r="A1013" s="18">
        <v>46669.0</v>
      </c>
      <c r="B1013" s="1" t="s">
        <v>60</v>
      </c>
      <c r="C1013" s="1" t="s">
        <v>60</v>
      </c>
    </row>
    <row r="1014">
      <c r="A1014" s="18">
        <v>46670.0</v>
      </c>
      <c r="B1014" s="1" t="s">
        <v>60</v>
      </c>
      <c r="C1014" s="1" t="s">
        <v>60</v>
      </c>
    </row>
    <row r="1015">
      <c r="A1015" s="18">
        <v>46671.0</v>
      </c>
      <c r="B1015" s="1" t="s">
        <v>60</v>
      </c>
      <c r="C1015" s="1" t="s">
        <v>60</v>
      </c>
    </row>
    <row r="1016">
      <c r="A1016" s="18">
        <v>46672.0</v>
      </c>
      <c r="B1016" s="1" t="s">
        <v>60</v>
      </c>
      <c r="C1016" s="1" t="s">
        <v>60</v>
      </c>
    </row>
    <row r="1017">
      <c r="A1017" s="18">
        <v>46673.0</v>
      </c>
      <c r="B1017" s="1" t="s">
        <v>60</v>
      </c>
      <c r="C1017" s="1" t="s">
        <v>60</v>
      </c>
    </row>
    <row r="1018">
      <c r="A1018" s="18">
        <v>46674.0</v>
      </c>
      <c r="B1018" s="1" t="s">
        <v>60</v>
      </c>
      <c r="C1018" s="1" t="s">
        <v>60</v>
      </c>
    </row>
    <row r="1019">
      <c r="A1019" s="18">
        <v>46675.0</v>
      </c>
      <c r="B1019" s="1" t="s">
        <v>930</v>
      </c>
      <c r="C1019" s="4">
        <v>0.9076388888888889</v>
      </c>
    </row>
    <row r="1020">
      <c r="A1020" s="18">
        <v>46676.0</v>
      </c>
      <c r="B1020" s="1" t="s">
        <v>60</v>
      </c>
      <c r="C1020" s="1" t="s">
        <v>60</v>
      </c>
    </row>
    <row r="1021">
      <c r="A1021" s="18">
        <v>46677.0</v>
      </c>
      <c r="B1021" s="1" t="s">
        <v>60</v>
      </c>
      <c r="C1021" s="1" t="s">
        <v>60</v>
      </c>
    </row>
    <row r="1022">
      <c r="A1022" s="18">
        <v>46678.0</v>
      </c>
      <c r="B1022" s="1" t="s">
        <v>60</v>
      </c>
      <c r="C1022" s="1" t="s">
        <v>60</v>
      </c>
    </row>
    <row r="1023">
      <c r="A1023" s="18">
        <v>46679.0</v>
      </c>
      <c r="B1023" s="1" t="s">
        <v>60</v>
      </c>
      <c r="C1023" s="1" t="s">
        <v>60</v>
      </c>
    </row>
    <row r="1024">
      <c r="A1024" s="18">
        <v>46680.0</v>
      </c>
      <c r="B1024" s="1" t="s">
        <v>60</v>
      </c>
      <c r="C1024" s="1" t="s">
        <v>60</v>
      </c>
    </row>
    <row r="1025">
      <c r="A1025" s="18">
        <v>46681.0</v>
      </c>
      <c r="B1025" s="1" t="s">
        <v>60</v>
      </c>
      <c r="C1025" s="1" t="s">
        <v>60</v>
      </c>
    </row>
    <row r="1026">
      <c r="A1026" s="18">
        <v>46682.0</v>
      </c>
      <c r="B1026" s="1" t="s">
        <v>60</v>
      </c>
      <c r="C1026" s="1" t="s">
        <v>60</v>
      </c>
    </row>
    <row r="1027">
      <c r="A1027" s="18">
        <v>46683.0</v>
      </c>
      <c r="B1027" s="1" t="s">
        <v>931</v>
      </c>
      <c r="C1027" s="4">
        <v>0.06180555555555556</v>
      </c>
    </row>
    <row r="1028">
      <c r="A1028" s="18">
        <v>46684.0</v>
      </c>
      <c r="B1028" s="1" t="s">
        <v>60</v>
      </c>
      <c r="C1028" s="1" t="s">
        <v>60</v>
      </c>
    </row>
    <row r="1029">
      <c r="A1029" s="18">
        <v>46685.0</v>
      </c>
      <c r="B1029" s="1" t="s">
        <v>60</v>
      </c>
      <c r="C1029" s="1" t="s">
        <v>60</v>
      </c>
    </row>
    <row r="1030">
      <c r="A1030" s="18">
        <v>46686.0</v>
      </c>
      <c r="B1030" s="1" t="s">
        <v>60</v>
      </c>
      <c r="C1030" s="1" t="s">
        <v>60</v>
      </c>
    </row>
    <row r="1031">
      <c r="A1031" s="18">
        <v>46687.0</v>
      </c>
      <c r="B1031" s="1" t="s">
        <v>60</v>
      </c>
      <c r="C1031" s="1" t="s">
        <v>60</v>
      </c>
    </row>
    <row r="1032">
      <c r="A1032" s="18">
        <v>46688.0</v>
      </c>
      <c r="B1032" s="1" t="s">
        <v>60</v>
      </c>
      <c r="C1032" s="1" t="s">
        <v>60</v>
      </c>
    </row>
    <row r="1033">
      <c r="A1033" s="18">
        <v>46689.0</v>
      </c>
      <c r="B1033" s="1" t="s">
        <v>932</v>
      </c>
      <c r="C1033" s="4">
        <v>0.9</v>
      </c>
    </row>
    <row r="1034">
      <c r="A1034" s="18">
        <v>46690.0</v>
      </c>
      <c r="B1034" s="1" t="s">
        <v>60</v>
      </c>
      <c r="C1034" s="1" t="s">
        <v>60</v>
      </c>
    </row>
    <row r="1035">
      <c r="A1035" s="18">
        <v>46691.0</v>
      </c>
      <c r="B1035" s="1" t="s">
        <v>60</v>
      </c>
      <c r="C1035" s="1" t="s">
        <v>60</v>
      </c>
    </row>
    <row r="1036">
      <c r="A1036" s="18">
        <v>46692.0</v>
      </c>
      <c r="B1036" s="1" t="s">
        <v>60</v>
      </c>
      <c r="C1036" s="1" t="s">
        <v>60</v>
      </c>
    </row>
    <row r="1037">
      <c r="A1037" s="18">
        <v>46693.0</v>
      </c>
      <c r="B1037" s="1" t="s">
        <v>60</v>
      </c>
      <c r="C1037" s="1" t="s">
        <v>60</v>
      </c>
    </row>
    <row r="1038">
      <c r="A1038" s="18">
        <v>46694.0</v>
      </c>
      <c r="B1038" s="1" t="s">
        <v>60</v>
      </c>
      <c r="C1038" s="1" t="s">
        <v>60</v>
      </c>
    </row>
    <row r="1039">
      <c r="A1039" s="18">
        <v>46695.0</v>
      </c>
      <c r="B1039" s="1" t="s">
        <v>60</v>
      </c>
      <c r="C1039" s="1" t="s">
        <v>60</v>
      </c>
    </row>
    <row r="1040">
      <c r="A1040" s="18">
        <v>46696.0</v>
      </c>
      <c r="B1040" s="1" t="s">
        <v>60</v>
      </c>
      <c r="C1040" s="1" t="s">
        <v>60</v>
      </c>
    </row>
    <row r="1041">
      <c r="A1041" s="18">
        <v>46697.0</v>
      </c>
      <c r="B1041" s="1" t="s">
        <v>929</v>
      </c>
      <c r="C1041" s="4">
        <v>0.6666666666666666</v>
      </c>
    </row>
    <row r="1042">
      <c r="A1042" s="18">
        <v>46698.0</v>
      </c>
      <c r="B1042" s="1" t="s">
        <v>60</v>
      </c>
      <c r="C1042" s="1" t="s">
        <v>60</v>
      </c>
    </row>
    <row r="1043">
      <c r="A1043" s="18">
        <v>46699.0</v>
      </c>
      <c r="B1043" s="1" t="s">
        <v>60</v>
      </c>
      <c r="C1043" s="1" t="s">
        <v>60</v>
      </c>
    </row>
    <row r="1044">
      <c r="A1044" s="18">
        <v>46700.0</v>
      </c>
      <c r="B1044" s="1" t="s">
        <v>60</v>
      </c>
      <c r="C1044" s="1" t="s">
        <v>60</v>
      </c>
    </row>
    <row r="1045">
      <c r="A1045" s="18">
        <v>46701.0</v>
      </c>
      <c r="B1045" s="1" t="s">
        <v>60</v>
      </c>
      <c r="C1045" s="1" t="s">
        <v>60</v>
      </c>
    </row>
    <row r="1046">
      <c r="A1046" s="18">
        <v>46702.0</v>
      </c>
      <c r="B1046" s="1" t="s">
        <v>60</v>
      </c>
      <c r="C1046" s="1" t="s">
        <v>60</v>
      </c>
    </row>
    <row r="1047">
      <c r="A1047" s="18">
        <v>46703.0</v>
      </c>
      <c r="B1047" s="1" t="s">
        <v>60</v>
      </c>
      <c r="C1047" s="1" t="s">
        <v>60</v>
      </c>
    </row>
    <row r="1048">
      <c r="A1048" s="18">
        <v>46704.0</v>
      </c>
      <c r="B1048" s="1" t="s">
        <v>60</v>
      </c>
      <c r="C1048" s="1" t="s">
        <v>60</v>
      </c>
    </row>
    <row r="1049">
      <c r="A1049" s="18">
        <v>46705.0</v>
      </c>
      <c r="B1049" s="1" t="s">
        <v>930</v>
      </c>
      <c r="C1049" s="4">
        <v>0.47638888888888886</v>
      </c>
    </row>
    <row r="1050">
      <c r="A1050" s="18">
        <v>46706.0</v>
      </c>
      <c r="B1050" s="1" t="s">
        <v>60</v>
      </c>
      <c r="C1050" s="1" t="s">
        <v>60</v>
      </c>
    </row>
    <row r="1051">
      <c r="A1051" s="18">
        <v>46707.0</v>
      </c>
      <c r="B1051" s="1" t="s">
        <v>60</v>
      </c>
      <c r="C1051" s="1" t="s">
        <v>60</v>
      </c>
    </row>
    <row r="1052">
      <c r="A1052" s="18">
        <v>46708.0</v>
      </c>
      <c r="B1052" s="1" t="s">
        <v>60</v>
      </c>
      <c r="C1052" s="1" t="s">
        <v>60</v>
      </c>
    </row>
    <row r="1053">
      <c r="A1053" s="18">
        <v>46709.0</v>
      </c>
      <c r="B1053" s="1" t="s">
        <v>60</v>
      </c>
      <c r="C1053" s="1" t="s">
        <v>60</v>
      </c>
    </row>
    <row r="1054">
      <c r="A1054" s="18">
        <v>46710.0</v>
      </c>
      <c r="B1054" s="1" t="s">
        <v>60</v>
      </c>
      <c r="C1054" s="1" t="s">
        <v>60</v>
      </c>
    </row>
    <row r="1055">
      <c r="A1055" s="18">
        <v>46711.0</v>
      </c>
      <c r="B1055" s="1" t="s">
        <v>60</v>
      </c>
      <c r="C1055" s="1" t="s">
        <v>60</v>
      </c>
    </row>
    <row r="1056">
      <c r="A1056" s="18">
        <v>46712.0</v>
      </c>
      <c r="B1056" s="1" t="s">
        <v>931</v>
      </c>
      <c r="C1056" s="4">
        <v>0.36666666666666664</v>
      </c>
    </row>
    <row r="1057">
      <c r="A1057" s="18">
        <v>46713.0</v>
      </c>
      <c r="B1057" s="1" t="s">
        <v>60</v>
      </c>
      <c r="C1057" s="1" t="s">
        <v>60</v>
      </c>
    </row>
    <row r="1058">
      <c r="A1058" s="18">
        <v>46714.0</v>
      </c>
      <c r="B1058" s="1" t="s">
        <v>60</v>
      </c>
      <c r="C1058" s="1" t="s">
        <v>60</v>
      </c>
    </row>
    <row r="1059">
      <c r="A1059" s="18">
        <v>46715.0</v>
      </c>
      <c r="B1059" s="1" t="s">
        <v>60</v>
      </c>
      <c r="C1059" s="1" t="s">
        <v>60</v>
      </c>
    </row>
    <row r="1060">
      <c r="A1060" s="18">
        <v>46716.0</v>
      </c>
      <c r="B1060" s="1" t="s">
        <v>60</v>
      </c>
      <c r="C1060" s="1" t="s">
        <v>60</v>
      </c>
    </row>
    <row r="1061">
      <c r="A1061" s="18">
        <v>46717.0</v>
      </c>
      <c r="B1061" s="1" t="s">
        <v>60</v>
      </c>
      <c r="C1061" s="1" t="s">
        <v>60</v>
      </c>
    </row>
    <row r="1062">
      <c r="A1062" s="18">
        <v>46718.0</v>
      </c>
      <c r="B1062" s="1" t="s">
        <v>60</v>
      </c>
      <c r="C1062" s="1" t="s">
        <v>60</v>
      </c>
    </row>
    <row r="1063">
      <c r="A1063" s="18">
        <v>46719.0</v>
      </c>
      <c r="B1063" s="1" t="s">
        <v>932</v>
      </c>
      <c r="C1063" s="4">
        <v>0.475</v>
      </c>
    </row>
    <row r="1064">
      <c r="A1064" s="18">
        <v>46720.0</v>
      </c>
      <c r="B1064" s="1" t="s">
        <v>60</v>
      </c>
      <c r="C1064" s="1" t="s">
        <v>60</v>
      </c>
    </row>
    <row r="1065">
      <c r="A1065" s="18">
        <v>46721.0</v>
      </c>
      <c r="B1065" s="1" t="s">
        <v>60</v>
      </c>
      <c r="C1065" s="1" t="s">
        <v>60</v>
      </c>
    </row>
    <row r="1066">
      <c r="A1066" s="18">
        <v>46722.0</v>
      </c>
      <c r="B1066" s="1" t="s">
        <v>60</v>
      </c>
      <c r="C1066" s="1" t="s">
        <v>60</v>
      </c>
    </row>
    <row r="1067">
      <c r="A1067" s="18">
        <v>46723.0</v>
      </c>
      <c r="B1067" s="1" t="s">
        <v>60</v>
      </c>
      <c r="C1067" s="1" t="s">
        <v>60</v>
      </c>
    </row>
    <row r="1068">
      <c r="A1068" s="18">
        <v>46724.0</v>
      </c>
      <c r="B1068" s="1" t="s">
        <v>60</v>
      </c>
      <c r="C1068" s="1" t="s">
        <v>60</v>
      </c>
    </row>
    <row r="1069">
      <c r="A1069" s="18">
        <v>46725.0</v>
      </c>
      <c r="B1069" s="1" t="s">
        <v>60</v>
      </c>
      <c r="C1069" s="1" t="s">
        <v>60</v>
      </c>
    </row>
    <row r="1070">
      <c r="A1070" s="18">
        <v>46726.0</v>
      </c>
      <c r="B1070" s="1" t="s">
        <v>60</v>
      </c>
      <c r="C1070" s="1" t="s">
        <v>60</v>
      </c>
    </row>
    <row r="1071">
      <c r="A1071" s="18">
        <v>46727.0</v>
      </c>
      <c r="B1071" s="1" t="s">
        <v>929</v>
      </c>
      <c r="C1071" s="4">
        <v>0.5569444444444445</v>
      </c>
    </row>
    <row r="1072">
      <c r="A1072" s="18">
        <v>46728.0</v>
      </c>
      <c r="B1072" s="1" t="s">
        <v>60</v>
      </c>
      <c r="C1072" s="1" t="s">
        <v>60</v>
      </c>
    </row>
    <row r="1073">
      <c r="A1073" s="18">
        <v>46729.0</v>
      </c>
      <c r="B1073" s="1" t="s">
        <v>60</v>
      </c>
      <c r="C1073" s="1" t="s">
        <v>60</v>
      </c>
    </row>
    <row r="1074">
      <c r="A1074" s="18">
        <v>46730.0</v>
      </c>
      <c r="B1074" s="1" t="s">
        <v>60</v>
      </c>
      <c r="C1074" s="1" t="s">
        <v>60</v>
      </c>
    </row>
    <row r="1075">
      <c r="A1075" s="18">
        <v>46731.0</v>
      </c>
      <c r="B1075" s="1" t="s">
        <v>60</v>
      </c>
      <c r="C1075" s="1" t="s">
        <v>60</v>
      </c>
    </row>
    <row r="1076">
      <c r="A1076" s="18">
        <v>46732.0</v>
      </c>
      <c r="B1076" s="1" t="s">
        <v>60</v>
      </c>
      <c r="C1076" s="1" t="s">
        <v>60</v>
      </c>
    </row>
    <row r="1077">
      <c r="A1077" s="18">
        <v>46733.0</v>
      </c>
      <c r="B1077" s="1" t="s">
        <v>60</v>
      </c>
      <c r="C1077" s="1" t="s">
        <v>60</v>
      </c>
    </row>
    <row r="1078">
      <c r="A1078" s="18">
        <v>46734.0</v>
      </c>
      <c r="B1078" s="1" t="s">
        <v>60</v>
      </c>
      <c r="C1078" s="1" t="s">
        <v>60</v>
      </c>
    </row>
    <row r="1079">
      <c r="A1079" s="18">
        <v>46735.0</v>
      </c>
      <c r="B1079" s="1" t="s">
        <v>930</v>
      </c>
      <c r="C1079" s="4">
        <v>0.00625</v>
      </c>
    </row>
    <row r="1080">
      <c r="A1080" s="18">
        <v>46736.0</v>
      </c>
      <c r="B1080" s="1" t="s">
        <v>60</v>
      </c>
      <c r="C1080" s="1" t="s">
        <v>60</v>
      </c>
    </row>
    <row r="1081">
      <c r="A1081" s="18">
        <v>46737.0</v>
      </c>
      <c r="B1081" s="1" t="s">
        <v>60</v>
      </c>
      <c r="C1081" s="1" t="s">
        <v>60</v>
      </c>
    </row>
    <row r="1082">
      <c r="A1082" s="18">
        <v>46738.0</v>
      </c>
      <c r="B1082" s="1" t="s">
        <v>60</v>
      </c>
      <c r="C1082" s="1" t="s">
        <v>60</v>
      </c>
    </row>
    <row r="1083">
      <c r="A1083" s="18">
        <v>46739.0</v>
      </c>
      <c r="B1083" s="1" t="s">
        <v>60</v>
      </c>
      <c r="C1083" s="1" t="s">
        <v>60</v>
      </c>
    </row>
    <row r="1084">
      <c r="A1084" s="18">
        <v>46740.0</v>
      </c>
      <c r="B1084" s="1" t="s">
        <v>60</v>
      </c>
      <c r="C1084" s="1" t="s">
        <v>60</v>
      </c>
    </row>
    <row r="1085">
      <c r="A1085" s="18">
        <v>46741.0</v>
      </c>
      <c r="B1085" s="1" t="s">
        <v>931</v>
      </c>
      <c r="C1085" s="4">
        <v>0.7159722222222222</v>
      </c>
    </row>
    <row r="1086">
      <c r="A1086" s="18">
        <v>46742.0</v>
      </c>
      <c r="B1086" s="1" t="s">
        <v>60</v>
      </c>
      <c r="C1086" s="1" t="s">
        <v>60</v>
      </c>
    </row>
    <row r="1087">
      <c r="A1087" s="18">
        <v>46743.0</v>
      </c>
      <c r="B1087" s="1" t="s">
        <v>60</v>
      </c>
      <c r="C1087" s="1" t="s">
        <v>60</v>
      </c>
    </row>
    <row r="1088">
      <c r="A1088" s="18">
        <v>46744.0</v>
      </c>
      <c r="B1088" s="1" t="s">
        <v>60</v>
      </c>
      <c r="C1088" s="1" t="s">
        <v>60</v>
      </c>
    </row>
    <row r="1089">
      <c r="A1089" s="18">
        <v>46745.0</v>
      </c>
      <c r="B1089" s="1" t="s">
        <v>60</v>
      </c>
      <c r="C1089" s="1" t="s">
        <v>60</v>
      </c>
    </row>
    <row r="1090">
      <c r="A1090" s="18">
        <v>46746.0</v>
      </c>
      <c r="B1090" s="1" t="s">
        <v>60</v>
      </c>
      <c r="C1090" s="1" t="s">
        <v>60</v>
      </c>
    </row>
    <row r="1091">
      <c r="A1091" s="18">
        <v>46747.0</v>
      </c>
      <c r="B1091" s="1" t="s">
        <v>60</v>
      </c>
      <c r="C1091" s="1" t="s">
        <v>60</v>
      </c>
    </row>
    <row r="1092">
      <c r="A1092" s="18">
        <v>46748.0</v>
      </c>
      <c r="B1092" s="1" t="s">
        <v>60</v>
      </c>
      <c r="C1092" s="1" t="s">
        <v>60</v>
      </c>
    </row>
    <row r="1093">
      <c r="A1093" s="18">
        <v>46749.0</v>
      </c>
      <c r="B1093" s="1" t="s">
        <v>932</v>
      </c>
      <c r="C1093" s="4">
        <v>0.175</v>
      </c>
    </row>
    <row r="1094">
      <c r="A1094" s="18">
        <v>46750.0</v>
      </c>
      <c r="B1094" s="1" t="s">
        <v>60</v>
      </c>
      <c r="C1094" s="1" t="s">
        <v>60</v>
      </c>
    </row>
    <row r="1095">
      <c r="A1095" s="18">
        <v>46751.0</v>
      </c>
      <c r="B1095" s="1" t="s">
        <v>60</v>
      </c>
      <c r="C1095" s="1" t="s">
        <v>60</v>
      </c>
    </row>
    <row r="1096">
      <c r="A1096" s="18">
        <v>46752.0</v>
      </c>
      <c r="B1096" s="1" t="s">
        <v>60</v>
      </c>
      <c r="C1096" s="1" t="s">
        <v>60</v>
      </c>
    </row>
  </sheetData>
  <drawing r:id="rId1"/>
</worksheet>
</file>